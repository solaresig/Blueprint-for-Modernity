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Dropbox\blueprint\Blueprint for modernity\2023\Database method paper\csvs and code\"/>
    </mc:Choice>
  </mc:AlternateContent>
  <xr:revisionPtr revIDLastSave="0" documentId="13_ncr:1_{53B8F9E3-F288-41E2-9BAF-5325BCD8DB71}" xr6:coauthVersionLast="47" xr6:coauthVersionMax="47" xr10:uidLastSave="{00000000-0000-0000-0000-000000000000}"/>
  <bookViews>
    <workbookView xWindow="28680" yWindow="6120" windowWidth="29040" windowHeight="15720" activeTab="7" xr2:uid="{C21DE6BD-A800-4C3D-AE8F-DDA6B922975E}"/>
  </bookViews>
  <sheets>
    <sheet name="mybt" sheetId="1" r:id="rId1"/>
    <sheet name="ammt" sheetId="3" r:id="rId2"/>
    <sheet name="mmmt" sheetId="2" r:id="rId3"/>
    <sheet name="alumnit" sheetId="4" r:id="rId4"/>
    <sheet name="aime" sheetId="5" r:id="rId5"/>
    <sheet name="mybprueba" sheetId="6" r:id="rId6"/>
    <sheet name="mybprueba (2)" sheetId="7" r:id="rId7"/>
    <sheet name="Sheet1" sheetId="8" r:id="rId8"/>
  </sheets>
  <definedNames>
    <definedName name="_xlnm._FilterDatabase" localSheetId="4" hidden="1">aime!$A$1:$P$385</definedName>
    <definedName name="_xlnm._FilterDatabase" localSheetId="3" hidden="1">alumnit!$A$1:$R$387</definedName>
    <definedName name="_xlnm._FilterDatabase" localSheetId="1" hidden="1">ammt!$A$1:$AC$387</definedName>
    <definedName name="_xlnm._FilterDatabase" localSheetId="2" hidden="1">mmmt!$A$1:$AF$371</definedName>
    <definedName name="_xlnm._FilterDatabase" localSheetId="0" hidden="1">mybt!$A$1:$AD$412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8" l="1"/>
  <c r="H24" i="8"/>
  <c r="Q24" i="8" s="1"/>
  <c r="H23" i="8"/>
  <c r="Q23" i="8" s="1"/>
  <c r="G25" i="8"/>
  <c r="F25" i="8"/>
  <c r="H25" i="8"/>
  <c r="Q25" i="8" s="1"/>
  <c r="H21" i="8"/>
  <c r="Q21" i="8" s="1"/>
  <c r="H20" i="8"/>
  <c r="Q20" i="8" s="1"/>
  <c r="H17" i="8"/>
  <c r="Q17" i="8"/>
  <c r="Q18" i="8"/>
  <c r="K14" i="8"/>
  <c r="L14" i="8"/>
  <c r="M14" i="8"/>
  <c r="N14" i="8"/>
  <c r="O14" i="8"/>
  <c r="P14" i="8"/>
  <c r="Q14" i="8"/>
  <c r="K15" i="8"/>
  <c r="L15" i="8"/>
  <c r="M15" i="8"/>
  <c r="N15" i="8"/>
  <c r="O15" i="8"/>
  <c r="P15" i="8"/>
  <c r="Q15" i="8"/>
  <c r="K16" i="8"/>
  <c r="L16" i="8"/>
  <c r="M16" i="8"/>
  <c r="N16" i="8"/>
  <c r="Q16" i="8"/>
  <c r="K17" i="8"/>
  <c r="L17" i="8"/>
  <c r="M17" i="8"/>
  <c r="N17" i="8"/>
  <c r="O17" i="8"/>
  <c r="K18" i="8"/>
  <c r="L18" i="8"/>
  <c r="M18" i="8"/>
  <c r="N18" i="8"/>
  <c r="P18" i="8"/>
  <c r="K19" i="8"/>
  <c r="L19" i="8"/>
  <c r="M19" i="8"/>
  <c r="N19" i="8"/>
  <c r="O19" i="8"/>
  <c r="P19" i="8"/>
  <c r="Q19" i="8"/>
  <c r="K20" i="8"/>
  <c r="L20" i="8"/>
  <c r="M20" i="8"/>
  <c r="N20" i="8"/>
  <c r="O20" i="8"/>
  <c r="K21" i="8"/>
  <c r="L21" i="8"/>
  <c r="M21" i="8"/>
  <c r="N21" i="8"/>
  <c r="O21" i="8"/>
  <c r="K22" i="8"/>
  <c r="L22" i="8"/>
  <c r="M22" i="8"/>
  <c r="N22" i="8"/>
  <c r="O22" i="8"/>
  <c r="P22" i="8"/>
  <c r="Q22" i="8"/>
  <c r="P23" i="8"/>
  <c r="P24" i="8"/>
  <c r="K25" i="8"/>
  <c r="L25" i="8"/>
  <c r="M25" i="8"/>
  <c r="N25" i="8"/>
  <c r="O25" i="8"/>
  <c r="P25" i="8"/>
  <c r="L13" i="8"/>
  <c r="M13" i="8"/>
  <c r="N13" i="8"/>
  <c r="O13" i="8"/>
  <c r="P13" i="8"/>
  <c r="Q13" i="8"/>
  <c r="L12" i="8"/>
  <c r="M12" i="8"/>
  <c r="N12" i="8"/>
  <c r="O12" i="8"/>
  <c r="P12" i="8"/>
  <c r="Q12" i="8"/>
  <c r="R12" i="8"/>
  <c r="H15" i="8"/>
  <c r="H16" i="8"/>
  <c r="H19" i="8"/>
  <c r="H22" i="8"/>
  <c r="H14" i="8"/>
  <c r="H13" i="8"/>
  <c r="E15" i="8"/>
  <c r="E16" i="8"/>
  <c r="E17" i="8"/>
  <c r="E18" i="8"/>
  <c r="E19" i="8"/>
  <c r="E20" i="8"/>
  <c r="E21" i="8"/>
  <c r="E22" i="8"/>
  <c r="E23" i="8"/>
  <c r="E24" i="8"/>
  <c r="E25" i="8"/>
  <c r="E14" i="8"/>
  <c r="E13" i="8"/>
  <c r="K13" i="8"/>
  <c r="G14" i="8"/>
  <c r="D14" i="8"/>
  <c r="G24" i="8"/>
  <c r="G23" i="8"/>
  <c r="G22" i="8"/>
  <c r="G19" i="8"/>
  <c r="G18" i="8"/>
  <c r="G15" i="8"/>
  <c r="D22" i="8"/>
  <c r="D21" i="8"/>
  <c r="D20" i="8"/>
  <c r="D19" i="8"/>
  <c r="D18" i="8"/>
  <c r="D17" i="8"/>
  <c r="D16" i="8"/>
  <c r="D15" i="8"/>
  <c r="C14" i="8"/>
  <c r="C22" i="8"/>
  <c r="C21" i="8"/>
  <c r="C20" i="8"/>
  <c r="C19" i="8"/>
  <c r="C18" i="8"/>
  <c r="C17" i="8"/>
  <c r="C16" i="8"/>
  <c r="C15" i="8"/>
  <c r="B14" i="8"/>
  <c r="B22" i="8"/>
  <c r="B21" i="8"/>
  <c r="B20" i="8"/>
  <c r="B19" i="8"/>
  <c r="B18" i="8"/>
  <c r="B17" i="8"/>
  <c r="B16" i="8"/>
  <c r="B15" i="8"/>
  <c r="O384"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2" i="5"/>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2" i="4"/>
  <c r="Q386" i="4"/>
  <c r="AE370"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2" i="2"/>
  <c r="Y387" i="3"/>
  <c r="Z386" i="3"/>
  <c r="Y386"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2" i="3"/>
  <c r="AA2" i="1"/>
  <c r="AA3" i="1"/>
  <c r="AA410" i="1"/>
  <c r="AA409" i="1"/>
  <c r="AA408" i="1"/>
  <c r="AA407" i="1"/>
  <c r="AA406" i="1"/>
  <c r="AA405" i="1"/>
  <c r="AA404" i="1"/>
  <c r="AA403" i="1"/>
  <c r="AA402" i="1"/>
  <c r="AA401" i="1"/>
  <c r="AA400" i="1"/>
  <c r="AA398" i="1"/>
  <c r="AA397" i="1"/>
  <c r="AA395" i="1"/>
  <c r="AA394" i="1"/>
  <c r="AA393" i="1"/>
  <c r="AA392" i="1"/>
  <c r="AA391" i="1"/>
  <c r="AA390" i="1"/>
  <c r="AA389" i="1"/>
  <c r="AA388" i="1"/>
  <c r="AA387" i="1"/>
  <c r="AA386" i="1"/>
  <c r="AA385" i="1"/>
  <c r="AA384" i="1"/>
  <c r="AA383" i="1"/>
  <c r="AA382" i="1"/>
  <c r="AA381" i="1"/>
  <c r="AA380" i="1"/>
  <c r="AA379" i="1"/>
  <c r="AA378" i="1"/>
  <c r="AA377" i="1"/>
  <c r="AA376" i="1"/>
  <c r="AA375" i="1"/>
  <c r="AA374" i="1"/>
  <c r="AA373" i="1"/>
  <c r="AA372" i="1"/>
  <c r="AA371" i="1"/>
  <c r="AA370" i="1"/>
  <c r="AA365" i="1"/>
  <c r="AA364" i="1"/>
  <c r="AA363" i="1"/>
  <c r="AA362" i="1"/>
  <c r="AA361" i="1"/>
  <c r="AA360" i="1"/>
  <c r="AA359" i="1"/>
  <c r="AA358" i="1"/>
  <c r="AA357" i="1"/>
  <c r="AA356" i="1"/>
  <c r="AA355" i="1"/>
  <c r="AA353" i="1"/>
  <c r="AA352" i="1"/>
  <c r="AA351" i="1"/>
  <c r="AA350" i="1"/>
  <c r="AA349" i="1"/>
  <c r="AA348" i="1"/>
  <c r="AA347" i="1"/>
  <c r="AA346" i="1"/>
  <c r="AA345" i="1"/>
  <c r="AA344" i="1"/>
  <c r="AA343" i="1"/>
  <c r="AA342" i="1"/>
  <c r="AA341" i="1"/>
  <c r="AA340" i="1"/>
  <c r="AA339" i="1"/>
  <c r="AA338" i="1"/>
  <c r="AA337" i="1"/>
  <c r="AA336" i="1"/>
  <c r="AA335" i="1"/>
  <c r="AA334" i="1"/>
  <c r="AA333" i="1"/>
  <c r="AA331" i="1"/>
  <c r="AA330" i="1"/>
  <c r="AA329" i="1"/>
  <c r="AA328" i="1"/>
  <c r="AA327" i="1"/>
  <c r="AA326" i="1"/>
  <c r="AA325" i="1"/>
  <c r="AA324" i="1"/>
  <c r="AA323" i="1"/>
  <c r="AA322" i="1"/>
  <c r="AA321" i="1"/>
  <c r="AA320" i="1"/>
  <c r="AA319" i="1"/>
  <c r="AA317" i="1"/>
  <c r="AA316" i="1"/>
  <c r="AA315" i="1"/>
  <c r="AA314" i="1"/>
  <c r="AA313" i="1"/>
  <c r="AA312" i="1"/>
  <c r="AA311" i="1"/>
  <c r="AA309" i="1"/>
  <c r="AA308" i="1"/>
  <c r="AA307" i="1"/>
  <c r="AA304" i="1"/>
  <c r="AA303" i="1"/>
  <c r="AA302" i="1"/>
  <c r="AA301" i="1"/>
  <c r="AA300" i="1"/>
  <c r="AA299" i="1"/>
  <c r="AA298" i="1"/>
  <c r="AA296" i="1"/>
  <c r="AA295" i="1"/>
  <c r="AA294" i="1"/>
  <c r="AA293" i="1"/>
  <c r="AA292" i="1"/>
  <c r="AA291" i="1"/>
  <c r="AA290" i="1"/>
  <c r="AA289" i="1"/>
  <c r="AA288" i="1"/>
  <c r="AA287" i="1"/>
  <c r="AA286" i="1"/>
  <c r="AA285" i="1"/>
  <c r="AA284" i="1"/>
  <c r="AA283" i="1"/>
  <c r="AA281" i="1"/>
  <c r="AA280" i="1"/>
  <c r="AA279" i="1"/>
  <c r="AA278" i="1"/>
  <c r="AA277" i="1"/>
  <c r="AA276" i="1"/>
  <c r="AA275" i="1"/>
  <c r="AA274" i="1"/>
  <c r="AA273" i="1"/>
  <c r="AA271" i="1"/>
  <c r="AA270" i="1"/>
  <c r="AA269" i="1"/>
  <c r="AA268" i="1"/>
  <c r="AA266" i="1"/>
  <c r="AA265" i="1"/>
  <c r="AA264" i="1"/>
  <c r="AA262" i="1"/>
  <c r="AA261" i="1"/>
  <c r="AA260" i="1"/>
  <c r="AA259" i="1"/>
  <c r="AA258" i="1"/>
  <c r="AA257" i="1"/>
  <c r="AA256" i="1"/>
  <c r="AA255" i="1"/>
  <c r="AA254" i="1"/>
  <c r="AA253" i="1"/>
  <c r="AA252" i="1"/>
  <c r="AA251" i="1"/>
  <c r="AA250" i="1"/>
  <c r="AA249" i="1"/>
  <c r="AA248" i="1"/>
  <c r="AA246" i="1"/>
  <c r="AA245" i="1"/>
  <c r="AA244" i="1"/>
  <c r="AA243" i="1"/>
  <c r="AA242" i="1"/>
  <c r="AA241" i="1"/>
  <c r="AA240" i="1"/>
  <c r="AA239" i="1"/>
  <c r="AA237" i="1"/>
  <c r="AA236" i="1"/>
  <c r="AA235" i="1"/>
  <c r="AA234" i="1"/>
  <c r="AA232" i="1"/>
  <c r="AA231" i="1"/>
  <c r="AA230" i="1"/>
  <c r="AA229" i="1"/>
  <c r="AA228" i="1"/>
  <c r="AA223" i="1"/>
  <c r="AA222" i="1"/>
  <c r="AA221" i="1"/>
  <c r="AA220" i="1"/>
  <c r="AA219" i="1"/>
  <c r="AA218" i="1"/>
  <c r="AA217" i="1"/>
  <c r="AA216" i="1"/>
  <c r="AA215" i="1"/>
  <c r="AA214" i="1"/>
  <c r="AA213" i="1"/>
  <c r="AA212" i="1"/>
  <c r="AA211" i="1"/>
  <c r="AA210" i="1"/>
  <c r="AA209" i="1"/>
  <c r="AA208" i="1"/>
  <c r="AA206" i="1"/>
  <c r="AA205" i="1"/>
  <c r="AA203" i="1"/>
  <c r="AA202" i="1"/>
  <c r="AA201" i="1"/>
  <c r="AA200" i="1"/>
  <c r="AA199" i="1"/>
  <c r="AA198" i="1"/>
  <c r="AA197" i="1"/>
  <c r="AA196" i="1"/>
  <c r="AA195" i="1"/>
  <c r="AA194" i="1"/>
  <c r="AA193" i="1"/>
  <c r="AA192" i="1"/>
  <c r="AA191" i="1"/>
  <c r="AA190" i="1"/>
  <c r="AA189" i="1"/>
  <c r="AA188" i="1"/>
  <c r="AA187" i="1"/>
  <c r="AA186" i="1"/>
  <c r="AA185" i="1"/>
  <c r="AA184" i="1"/>
  <c r="AA183" i="1"/>
  <c r="AA182" i="1"/>
  <c r="AA181" i="1"/>
  <c r="AA179" i="1"/>
  <c r="AA178" i="1"/>
  <c r="AA177" i="1"/>
  <c r="AA176" i="1"/>
  <c r="AA175" i="1"/>
  <c r="AA174" i="1"/>
  <c r="AA173" i="1"/>
  <c r="AA172" i="1"/>
  <c r="AA170" i="1"/>
  <c r="AA169" i="1"/>
  <c r="AA168" i="1"/>
  <c r="AA167" i="1"/>
  <c r="AA166" i="1"/>
  <c r="AA165" i="1"/>
  <c r="AA164" i="1"/>
  <c r="AA163" i="1"/>
  <c r="AA162" i="1"/>
  <c r="AA161" i="1"/>
  <c r="AA160" i="1"/>
  <c r="AA158" i="1"/>
  <c r="AA157" i="1"/>
  <c r="AA156" i="1"/>
  <c r="AA155" i="1"/>
  <c r="AA154" i="1"/>
  <c r="AA153" i="1"/>
  <c r="AA152" i="1"/>
  <c r="AA151" i="1"/>
  <c r="AA150" i="1"/>
  <c r="AA148" i="1"/>
  <c r="AA146" i="1"/>
  <c r="AA145" i="1"/>
  <c r="AA144" i="1"/>
  <c r="AA142" i="1"/>
  <c r="AA141" i="1"/>
  <c r="AA140" i="1"/>
  <c r="AA139" i="1"/>
  <c r="AA138" i="1"/>
  <c r="AA137" i="1"/>
  <c r="AA132" i="1"/>
  <c r="AA131" i="1"/>
  <c r="AA130" i="1"/>
  <c r="AA129" i="1"/>
  <c r="AA128" i="1"/>
  <c r="AA127" i="1"/>
  <c r="AA126" i="1"/>
  <c r="AA125" i="1"/>
  <c r="AA124" i="1"/>
  <c r="AA123" i="1"/>
  <c r="AA122" i="1"/>
  <c r="AA121" i="1"/>
  <c r="AA120" i="1"/>
  <c r="AA119" i="1"/>
  <c r="AA118" i="1"/>
  <c r="AA117" i="1"/>
  <c r="AA116" i="1"/>
  <c r="AA115" i="1"/>
  <c r="AA114" i="1"/>
  <c r="AA113" i="1"/>
  <c r="AA111" i="1"/>
  <c r="AA110" i="1"/>
  <c r="AA109" i="1"/>
  <c r="AA108" i="1"/>
  <c r="AA106" i="1"/>
  <c r="AA105" i="1"/>
  <c r="AA104" i="1"/>
  <c r="AA103" i="1"/>
  <c r="AA102" i="1"/>
  <c r="AA101" i="1"/>
  <c r="AA100" i="1"/>
  <c r="AA99" i="1"/>
  <c r="AA97" i="1"/>
  <c r="AA96"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7" i="1"/>
  <c r="AA36" i="1"/>
  <c r="AA35" i="1"/>
  <c r="AA34"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5" i="1"/>
  <c r="AA4" i="1"/>
  <c r="AA33" i="1"/>
  <c r="AA38" i="1"/>
  <c r="AA66" i="1"/>
  <c r="AA93" i="1"/>
  <c r="AA94" i="1"/>
  <c r="AA95" i="1"/>
  <c r="AA98" i="1"/>
  <c r="AA107" i="1"/>
  <c r="AA112" i="1"/>
  <c r="AA133" i="1"/>
  <c r="AA134" i="1"/>
  <c r="AA135" i="1"/>
  <c r="AA136" i="1"/>
  <c r="AA143" i="1"/>
  <c r="AA147" i="1"/>
  <c r="AA149" i="1"/>
  <c r="AA159" i="1"/>
  <c r="AA171" i="1"/>
  <c r="AA180" i="1"/>
  <c r="AA204" i="1"/>
  <c r="AA207" i="1"/>
  <c r="AA224" i="1"/>
  <c r="AA225" i="1"/>
  <c r="AA226" i="1"/>
  <c r="AA227" i="1"/>
  <c r="AA233" i="1"/>
  <c r="AA238" i="1"/>
  <c r="AA247" i="1"/>
  <c r="AA263" i="1"/>
  <c r="AA267" i="1"/>
  <c r="AA272" i="1"/>
  <c r="AA282" i="1"/>
  <c r="AA297" i="1"/>
  <c r="AA305" i="1"/>
  <c r="AA306" i="1"/>
  <c r="AA310" i="1"/>
  <c r="AA318" i="1"/>
  <c r="AA332" i="1"/>
  <c r="AA354" i="1"/>
  <c r="AA366" i="1"/>
  <c r="AA367" i="1"/>
  <c r="AA368" i="1"/>
  <c r="AA369" i="1"/>
  <c r="AA396" i="1"/>
  <c r="AA399" i="1"/>
  <c r="C39" i="8"/>
  <c r="L2" i="8"/>
  <c r="L3" i="8"/>
  <c r="L4" i="8"/>
  <c r="L5" i="8"/>
  <c r="L6" i="8"/>
  <c r="J12" i="8"/>
  <c r="K12" i="8"/>
  <c r="J15" i="8"/>
  <c r="J16" i="8"/>
  <c r="J17" i="8"/>
  <c r="J18" i="8"/>
  <c r="J19" i="8"/>
  <c r="J20" i="8"/>
  <c r="J21" i="8"/>
  <c r="J22" i="8"/>
  <c r="J23" i="8"/>
  <c r="J24" i="8"/>
  <c r="J25" i="8"/>
  <c r="N384" i="5"/>
  <c r="N385" i="5" s="1"/>
  <c r="M384" i="5"/>
  <c r="M385" i="5" s="1"/>
  <c r="L384" i="5"/>
  <c r="L385" i="5" s="1"/>
  <c r="K384" i="5"/>
  <c r="K385" i="5" s="1"/>
  <c r="J384" i="5"/>
  <c r="J385" i="5" s="1"/>
  <c r="I384" i="5"/>
  <c r="I385" i="5" s="1"/>
  <c r="J386" i="4"/>
  <c r="J387" i="4" s="1"/>
  <c r="F17" i="8" s="1"/>
  <c r="O386" i="4"/>
  <c r="O387" i="4" s="1"/>
  <c r="F15" i="8" s="1"/>
  <c r="N386" i="4"/>
  <c r="N387" i="4" s="1"/>
  <c r="F22" i="8" s="1"/>
  <c r="M386" i="4"/>
  <c r="M387" i="4" s="1"/>
  <c r="F21" i="8" s="1"/>
  <c r="L386" i="4"/>
  <c r="L387" i="4" s="1"/>
  <c r="F20" i="8" s="1"/>
  <c r="K386" i="4"/>
  <c r="K387" i="4" s="1"/>
  <c r="F19" i="8" s="1"/>
  <c r="R370" i="2"/>
  <c r="R371" i="2" s="1"/>
  <c r="S370" i="2"/>
  <c r="S371" i="2" s="1"/>
  <c r="T370" i="2"/>
  <c r="T371" i="2" s="1"/>
  <c r="U370" i="2"/>
  <c r="U371" i="2" s="1"/>
  <c r="V370" i="2"/>
  <c r="V371" i="2" s="1"/>
  <c r="W370" i="2"/>
  <c r="W371" i="2" s="1"/>
  <c r="X370" i="2"/>
  <c r="X371" i="2" s="1"/>
  <c r="Y370" i="2"/>
  <c r="Y371" i="2" s="1"/>
  <c r="Z370" i="2"/>
  <c r="Z371" i="2" s="1"/>
  <c r="AA370" i="2"/>
  <c r="AA371" i="2" s="1"/>
  <c r="AB370" i="2"/>
  <c r="AB371" i="2" s="1"/>
  <c r="AC370" i="2"/>
  <c r="AC371" i="2" s="1"/>
  <c r="AD370" i="2"/>
  <c r="AD371" i="2" s="1"/>
  <c r="Q370" i="2"/>
  <c r="Q371" i="2" s="1"/>
  <c r="D25" i="8" l="1"/>
  <c r="B25" i="8"/>
  <c r="C25" i="8"/>
  <c r="P384" i="5"/>
  <c r="O385" i="5" s="1"/>
  <c r="R386" i="4"/>
  <c r="Q387" i="4" s="1"/>
  <c r="F14" i="8" s="1"/>
  <c r="AF370" i="2"/>
  <c r="AE371" i="2" s="1"/>
  <c r="AA411" i="1"/>
  <c r="Z412" i="1" s="1"/>
  <c r="O386" i="3"/>
  <c r="O387" i="3" s="1"/>
  <c r="P386" i="3"/>
  <c r="P387" i="3" s="1"/>
  <c r="Q386" i="3"/>
  <c r="Q387" i="3" s="1"/>
  <c r="R386" i="3"/>
  <c r="R387" i="3" s="1"/>
  <c r="S386" i="3"/>
  <c r="S387" i="3" s="1"/>
  <c r="T386" i="3"/>
  <c r="T387" i="3" s="1"/>
  <c r="U386" i="3"/>
  <c r="U387" i="3" s="1"/>
  <c r="V386" i="3"/>
  <c r="V387" i="3" s="1"/>
  <c r="W386" i="3"/>
  <c r="W387" i="3" s="1"/>
  <c r="X386" i="3"/>
  <c r="X387" i="3" s="1"/>
  <c r="N386" i="3"/>
  <c r="N387" i="3" s="1"/>
  <c r="O411" i="1"/>
  <c r="P411" i="1" l="1"/>
  <c r="P412" i="1" s="1"/>
  <c r="Q411" i="1"/>
  <c r="Q412" i="1" s="1"/>
  <c r="R411" i="1"/>
  <c r="R412" i="1" s="1"/>
  <c r="S411" i="1"/>
  <c r="S412" i="1" s="1"/>
  <c r="T411" i="1"/>
  <c r="T412" i="1" s="1"/>
  <c r="U411" i="1"/>
  <c r="U412" i="1" s="1"/>
  <c r="V411" i="1"/>
  <c r="V412" i="1" s="1"/>
  <c r="W411" i="1"/>
  <c r="W412" i="1" s="1"/>
  <c r="X411" i="1"/>
  <c r="X412" i="1" s="1"/>
  <c r="Y411" i="1"/>
  <c r="Y412" i="1" s="1"/>
  <c r="O412" i="1"/>
  <c r="Z4" i="1"/>
  <c r="Z4"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tc={8C50064A-90C3-47C0-AB65-2EC1622A1828}</author>
    <author>tc={862E0815-37D2-4CAA-87B0-D76CBCAF5F18}</author>
    <author>tc={06DF9050-C0AD-4E7C-AA08-90580002F655}</author>
    <author>tc={EBC219D4-7AAF-4CF9-B3C9-98446C0FCF4A}</author>
    <author>tc={0710E73E-783A-469B-B312-E19705CEC59D}</author>
    <author>tc={29D80408-5BA0-4F37-BA50-798FA0CFC081}</author>
    <author>tc={FEFB8407-4C47-4E5F-8333-E5E21EABBC23}</author>
    <author>tc={B2743D19-E3CF-43BB-ADC5-94F8E0E0D45C}</author>
    <author>tc={2138A98B-837A-4BE6-913C-2166F7AB2CCA}</author>
    <author>tc={E23A351E-58F8-463B-8D62-D0EEA8082C7A}</author>
    <author>tc={C421963B-3A32-4FE8-858C-73F7C947FFED}</author>
    <author>tc={5D37BDB0-AF82-4BFC-B684-5A873B43DA44}</author>
    <author>tc={2BA80700-A149-4A07-95CA-4BBE4C5F0971}</author>
    <author>tc={4975EA02-95C4-427E-BB95-99CE6326239A}</author>
    <author>tc={D51FB62E-873E-4DD5-848E-33971DD65791}</author>
    <author>tc={A57D19F3-B141-4F50-BE52-AED48600C691}</author>
    <author>tc={0881623A-4201-460F-B274-4D70D706A6CE}</author>
    <author>tc={271582B2-70F6-4577-8B46-94B968F1CE26}</author>
    <author>tc={5BAA384F-7E3F-4335-80C1-0CCA514746DF}</author>
    <author>tc={79EA80F5-2B14-4553-8AC9-CF2F1324D7E5}</author>
    <author>tc={DABC9A9E-1C07-4A89-A34F-CECB04067376}</author>
    <author>tc={19EFC38B-50D4-4E97-932B-FE336D32ECDD}</author>
    <author>tc={C4F80DEF-5842-41DF-BF3C-DDC6D18641ED}</author>
    <author>tc={CF9B8AC8-DE82-4245-B1D8-7540A839358E}</author>
    <author>tc={4F6D7C59-4414-4094-8ACB-A603C884690B}</author>
    <author>tc={D233CD48-4331-46D5-B7C6-EC5F3190378A}</author>
    <author>tc={A823474A-934F-416D-A6A2-23BA3200168F}</author>
    <author>tc={6FE52310-FD24-4B5B-8194-8EA58FB213DC}</author>
    <author>tc={33619EB0-6A29-4163-A4CA-0AFA76247C71}</author>
    <author>tc={3F989162-1E12-4BB9-8E36-995E2F6F717E}</author>
    <author>tc={A621A1B5-E786-41BE-BA97-64753E6B9F46}</author>
    <author>tc={D58D44E1-E207-45A8-B3D7-780884C9E2A9}</author>
    <author>tc={747393B4-075A-43D2-882E-08F660B2BEDF}</author>
    <author>tc={B13CAEDD-88AF-4142-B08D-11918CC199E9}</author>
    <author>tc={58493878-6A19-4AEA-84FD-0DECD59590F6}</author>
    <author>tc={63B992ED-DFCB-4B49-B61E-F29302FD9E56}</author>
    <author>tc={0A4680F5-5201-4B9C-BFC9-464E6358269C}</author>
    <author>tc={0797736C-C7C7-489E-96ED-0A2C68A93AF2}</author>
    <author>tc={66C842C1-1717-4D26-9CBD-445A5075A037}</author>
    <author>tc={DE5981E0-2F05-4DED-B63E-250E38B752C2}</author>
    <author>tc={5FE3E16F-2D94-43A4-8874-76733EC8D0B6}</author>
  </authors>
  <commentList>
    <comment ref="U18" authorId="0" shapeId="0" xr:uid="{8C50064A-90C3-47C0-AB65-2EC1622A1828}">
      <text>
        <t>[Threaded comment]
Your version of Excel allows you to read this threaded comment; however, any edits to it will get removed if the file is opened in a newer version of Excel. Learn more: https://go.microsoft.com/fwlink/?linkid=870924
Comment:
    this is a tricky one, but it is actually correct. The firm had offices in london, and their main operation was in Colombia, but it also owned properties in Bolivia.</t>
      </text>
    </comment>
    <comment ref="J19" authorId="1" shapeId="0" xr:uid="{862E0815-37D2-4CAA-87B0-D76CBCAF5F18}">
      <text>
        <t>[Threaded comment]
Your version of Excel allows you to read this threaded comment; however, any edits to it will get removed if the file is opened in a newer version of Excel. Learn more: https://go.microsoft.com/fwlink/?linkid=870924
Comment:
    This text, company, and location lead me to a number of possible instances in the manual. How should I classify this line?</t>
      </text>
    </comment>
    <comment ref="J31" authorId="2" shapeId="0" xr:uid="{06DF9050-C0AD-4E7C-AA08-90580002F655}">
      <text>
        <t>[Threaded comment]
Your version of Excel allows you to read this threaded comment; however, any edits to it will get removed if the file is opened in a newer version of Excel. Learn more: https://go.microsoft.com/fwlink/?linkid=870924
Comment:
    Similar problem here as with myb47091</t>
      </text>
    </comment>
    <comment ref="O33" authorId="3" shapeId="0" xr:uid="{EBC219D4-7AAF-4CF9-B3C9-98446C0FCF4A}">
      <text>
        <t>[Threaded comment]
Your version of Excel allows you to read this threaded comment; however, any edits to it will get removed if the file is opened in a newer version of Excel. Learn more: https://go.microsoft.com/fwlink/?linkid=870924
Comment:
    This is just off by a few characters
Reply:
    a mistake</t>
      </text>
    </comment>
    <comment ref="O38" authorId="4" shapeId="0" xr:uid="{0710E73E-783A-469B-B312-E19705CEC59D}">
      <text>
        <t>[Threaded comment]
Your version of Excel allows you to read this threaded comment; however, any edits to it will get removed if the file is opened in a newer version of Excel. Learn more: https://go.microsoft.com/fwlink/?linkid=870924
Comment:
    this is an "a"</t>
      </text>
    </comment>
    <comment ref="J39" authorId="5" shapeId="0" xr:uid="{29D80408-5BA0-4F37-BA50-798FA0CFC081}">
      <text>
        <t>[Threaded comment]
Your version of Excel allows you to read this threaded comment; however, any edits to it will get removed if the file is opened in a newer version of Excel. Learn more: https://go.microsoft.com/fwlink/?linkid=870924
Comment:
    Similar problem as with myb47091</t>
      </text>
    </comment>
    <comment ref="J41" authorId="6" shapeId="0" xr:uid="{FEFB8407-4C47-4E5F-8333-E5E21EABBC23}">
      <text>
        <t>[Threaded comment]
Your version of Excel allows you to read this threaded comment; however, any edits to it will get removed if the file is opened in a newer version of Excel. Learn more: https://go.microsoft.com/fwlink/?linkid=870924
Comment:
    I found this company but the text wasn't associated with it</t>
      </text>
    </comment>
    <comment ref="W49" authorId="7" shapeId="0" xr:uid="{B2743D19-E3CF-43BB-ADC5-94F8E0E0D45C}">
      <text>
        <t>[Threaded comment]
Your version of Excel allows you to read this threaded comment; however, any edits to it will get removed if the file is opened in a newer version of Excel. Learn more: https://go.microsoft.com/fwlink/?linkid=870924
Comment:
    F. became frederick and M. became morton. Mistake?</t>
      </text>
    </comment>
    <comment ref="R51" authorId="8" shapeId="0" xr:uid="{2138A98B-837A-4BE6-913C-2166F7AB2CCA}">
      <text>
        <t>[Threaded comment]
Your version of Excel allows you to read this threaded comment; however, any edits to it will get removed if the file is opened in a newer version of Excel. Learn more: https://go.microsoft.com/fwlink/?linkid=870924
Comment:
    b</t>
      </text>
    </comment>
    <comment ref="U54" authorId="9" shapeId="0" xr:uid="{E23A351E-58F8-463B-8D62-D0EEA8082C7A}">
      <text>
        <t>[Threaded comment]
Your version of Excel allows you to read this threaded comment; however, any edits to it will get removed if the file is opened in a newer version of Excel. Learn more: https://go.microsoft.com/fwlink/?linkid=870924
Comment:
    b</t>
      </text>
    </comment>
    <comment ref="J64" authorId="10" shapeId="0" xr:uid="{C421963B-3A32-4FE8-858C-73F7C947FFED}">
      <text>
        <t>[Threaded comment]
Your version of Excel allows you to read this threaded comment; however, any edits to it will get removed if the file is opened in a newer version of Excel. Learn more: https://go.microsoft.com/fwlink/?linkid=870924
Comment:
    Can't find this one</t>
      </text>
    </comment>
    <comment ref="O66" authorId="11" shapeId="0" xr:uid="{5D37BDB0-AF82-4BFC-B684-5A873B43DA44}">
      <text>
        <t>[Threaded comment]
Your version of Excel allows you to read this threaded comment; however, any edits to it will get removed if the file is opened in a newer version of Excel. Learn more: https://go.microsoft.com/fwlink/?linkid=870924
Comment:
    this is an "a"</t>
      </text>
    </comment>
    <comment ref="O72" authorId="12" shapeId="0" xr:uid="{2BA80700-A149-4A07-95CA-4BBE4C5F0971}">
      <text>
        <t>[Threaded comment]
Your version of Excel allows you to read this threaded comment; however, any edits to it will get removed if the file is opened in a newer version of Excel. Learn more: https://go.microsoft.com/fwlink/?linkid=870924
Comment:
    How to classify when something is extracted but nothing should be?
Reply:
    b</t>
      </text>
    </comment>
    <comment ref="O73" authorId="13" shapeId="0" xr:uid="{4975EA02-95C4-427E-BB95-99CE6326239A}">
      <text>
        <t>[Threaded comment]
Your version of Excel allows you to read this threaded comment; however, any edits to it will get removed if the file is opened in a newer version of Excel. Learn more: https://go.microsoft.com/fwlink/?linkid=870924
Comment:
    same</t>
      </text>
    </comment>
    <comment ref="J75" authorId="14" shapeId="0" xr:uid="{D51FB62E-873E-4DD5-848E-33971DD65791}">
      <text>
        <t>[Threaded comment]
Your version of Excel allows you to read this threaded comment; however, any edits to it will get removed if the file is opened in a newer version of Excel. Learn more: https://go.microsoft.com/fwlink/?linkid=870924
Comment:
    This line is a copy of myb215149</t>
      </text>
    </comment>
    <comment ref="C93" authorId="15" shapeId="0" xr:uid="{A57D19F3-B141-4F50-BE52-AED48600C691}">
      <text>
        <t>[Threaded comment]
Your version of Excel allows you to read this threaded comment; however, any edits to it will get removed if the file is opened in a newer version of Excel. Learn more: https://go.microsoft.com/fwlink/?linkid=870924
Comment:
    This is the right company but it is copied wrong. t or f?
Reply:
    a</t>
      </text>
    </comment>
    <comment ref="C94" authorId="16" shapeId="0" xr:uid="{0881623A-4201-460F-B274-4D70D706A6CE}">
      <text>
        <t>[Threaded comment]
Your version of Excel allows you to read this threaded comment; however, any edits to it will get removed if the file is opened in a newer version of Excel. Learn more: https://go.microsoft.com/fwlink/?linkid=870924
Comment:
    Same as above</t>
      </text>
    </comment>
    <comment ref="C113" authorId="17" shapeId="0" xr:uid="{271582B2-70F6-4577-8B46-94B968F1CE26}">
      <text>
        <t>[Threaded comment]
Your version of Excel allows you to read this threaded comment; however, any edits to it will get removed if the file is opened in a newer version of Excel. Learn more: https://go.microsoft.com/fwlink/?linkid=870924
Comment:
    text error</t>
      </text>
    </comment>
    <comment ref="U114" authorId="18" shapeId="0" xr:uid="{5BAA384F-7E3F-4335-80C1-0CCA514746DF}">
      <text>
        <t>[Threaded comment]
Your version of Excel allows you to read this threaded comment; however, any edits to it will get removed if the file is opened in a newer version of Excel. Learn more: https://go.microsoft.com/fwlink/?linkid=870924
Comment:
    Transvaal?</t>
      </text>
    </comment>
    <comment ref="O126" authorId="19" shapeId="0" xr:uid="{79EA80F5-2B14-4553-8AC9-CF2F1324D7E5}">
      <text>
        <t>[Threaded comment]
Your version of Excel allows you to read this threaded comment; however, any edits to it will get removed if the file is opened in a newer version of Excel. Learn more: https://go.microsoft.com/fwlink/?linkid=870924
Comment:
    couldnt find the text, but the company and loc are good</t>
      </text>
    </comment>
    <comment ref="U131" authorId="20" shapeId="0" xr:uid="{DABC9A9E-1C07-4A89-A34F-CECB04067376}">
      <text>
        <t>[Threaded comment]
Your version of Excel allows you to read this threaded comment; however, any edits to it will get removed if the file is opened in a newer version of Excel. Learn more: https://go.microsoft.com/fwlink/?linkid=870924
Comment:
    b</t>
      </text>
    </comment>
    <comment ref="W133" authorId="21" shapeId="0" xr:uid="{19EFC38B-50D4-4E97-932B-FE336D32ECDD}">
      <text>
        <t>[Threaded comment]
Your version of Excel allows you to read this threaded comment; however, any edits to it will get removed if the file is opened in a newer version of Excel. Learn more: https://go.microsoft.com/fwlink/?linkid=870924
Comment:
    is this a mistake?</t>
      </text>
    </comment>
    <comment ref="O147" authorId="22" shapeId="0" xr:uid="{C4F80DEF-5842-41DF-BF3C-DDC6D18641ED}">
      <text>
        <t>[Threaded comment]
Your version of Excel allows you to read this threaded comment; however, any edits to it will get removed if the file is opened in a newer version of Excel. Learn more: https://go.microsoft.com/fwlink/?linkid=870924
Comment:
    B should be an R?</t>
      </text>
    </comment>
    <comment ref="J174" authorId="23" shapeId="0" xr:uid="{CF9B8AC8-DE82-4245-B1D8-7540A839358E}">
      <text>
        <t>[Threaded comment]
Your version of Excel allows you to read this threaded comment; however, any edits to it will get removed if the file is opened in a newer version of Excel. Learn more: https://go.microsoft.com/fwlink/?linkid=870924
Comment:
    How do I go about solving this one?</t>
      </text>
    </comment>
    <comment ref="U177" authorId="24" shapeId="0" xr:uid="{4F6D7C59-4414-4094-8ACB-A603C884690B}">
      <text>
        <t>[Threaded comment]
Your version of Excel allows you to read this threaded comment; however, any edits to it will get removed if the file is opened in a newer version of Excel. Learn more: https://go.microsoft.com/fwlink/?linkid=870924
Comment:
    "nine miles east of" is in the manual, but is not quite the location
Reply:
    b</t>
      </text>
    </comment>
    <comment ref="J188" authorId="25" shapeId="0" xr:uid="{D233CD48-4331-46D5-B7C6-EC5F3190378A}">
      <text>
        <t>[Threaded comment]
Your version of Excel allows you to read this threaded comment; however, any edits to it will get removed if the file is opened in a newer version of Excel. Learn more: https://go.microsoft.com/fwlink/?linkid=870924
Comment:
    cant find this one</t>
      </text>
    </comment>
    <comment ref="I191" authorId="26" shapeId="0" xr:uid="{A823474A-934F-416D-A6A2-23BA3200168F}">
      <text>
        <t>[Threaded comment]
Your version of Excel allows you to read this threaded comment; however, any edits to it will get removed if the file is opened in a newer version of Excel. Learn more: https://go.microsoft.com/fwlink/?linkid=870924
Comment:
    broken hill?</t>
      </text>
    </comment>
    <comment ref="J206" authorId="27" shapeId="0" xr:uid="{6FE52310-FD24-4B5B-8194-8EA58FB213DC}">
      <text>
        <t>[Threaded comment]
Your version of Excel allows you to read this threaded comment; however, any edits to it will get removed if the file is opened in a newer version of Excel. Learn more: https://go.microsoft.com/fwlink/?linkid=870924
Comment:
    can't find it
Reply:
    highlight yellow</t>
      </text>
    </comment>
    <comment ref="J211" authorId="28" shapeId="0" xr:uid="{33619EB0-6A29-4163-A4CA-0AFA76247C71}">
      <text>
        <t>[Threaded comment]
Your version of Excel allows you to read this threaded comment; however, any edits to it will get removed if the file is opened in a newer version of Excel. Learn more: https://go.microsoft.com/fwlink/?linkid=870924
Comment:
    cant find it</t>
      </text>
    </comment>
    <comment ref="J213" authorId="29" shapeId="0" xr:uid="{3F989162-1E12-4BB9-8E36-995E2F6F717E}">
      <text>
        <t>[Threaded comment]
Your version of Excel allows you to read this threaded comment; however, any edits to it will get removed if the file is opened in a newer version of Excel. Learn more: https://go.microsoft.com/fwlink/?linkid=870924
Comment:
    cant find it</t>
      </text>
    </comment>
    <comment ref="U217" authorId="30" shapeId="0" xr:uid="{A621A1B5-E786-41BE-BA97-64753E6B9F46}">
      <text>
        <t>[Threaded comment]
Your version of Excel allows you to read this threaded comment; however, any edits to it will get removed if the file is opened in a newer version of Excel. Learn more: https://go.microsoft.com/fwlink/?linkid=870924
Comment:
    b</t>
      </text>
    </comment>
    <comment ref="J219" authorId="31" shapeId="0" xr:uid="{D58D44E1-E207-45A8-B3D7-780884C9E2A9}">
      <text>
        <t>[Threaded comment]
Your version of Excel allows you to read this threaded comment; however, any edits to it will get removed if the file is opened in a newer version of Excel. Learn more: https://go.microsoft.com/fwlink/?linkid=870924
Comment:
    cant find it</t>
      </text>
    </comment>
    <comment ref="J226" authorId="32" shapeId="0" xr:uid="{747393B4-075A-43D2-882E-08F660B2BEDF}">
      <text>
        <t>[Threaded comment]
Your version of Excel allows you to read this threaded comment; however, any edits to it will get removed if the file is opened in a newer version of Excel. Learn more: https://go.microsoft.com/fwlink/?linkid=870924
Comment:
    Something is wrong with this text</t>
      </text>
    </comment>
    <comment ref="J238" authorId="33" shapeId="0" xr:uid="{B13CAEDD-88AF-4142-B08D-11918CC199E9}">
      <text>
        <t>[Threaded comment]
Your version of Excel allows you to read this threaded comment; however, any edits to it will get removed if the file is opened in a newer version of Excel. Learn more: https://go.microsoft.com/fwlink/?linkid=870924
Comment:
    This text is off, can't find it anywhere</t>
      </text>
    </comment>
    <comment ref="U240" authorId="34" shapeId="0" xr:uid="{58493878-6A19-4AEA-84FD-0DECD59590F6}">
      <text>
        <t>[Threaded comment]
Your version of Excel allows you to read this threaded comment; however, any edits to it will get removed if the file is opened in a newer version of Excel. Learn more: https://go.microsoft.com/fwlink/?linkid=870924
Comment:
    Rosario is included in the name of a company in the text, but not a location</t>
      </text>
    </comment>
    <comment ref="O260" authorId="35" shapeId="0" xr:uid="{63B992ED-DFCB-4B49-B61E-F29302FD9E56}">
      <text>
        <t>[Threaded comment]
Your version of Excel allows you to read this threaded comment; however, any edits to it will get removed if the file is opened in a newer version of Excel. Learn more: https://go.microsoft.com/fwlink/?linkid=870924
Comment:
    A large fraction of the errors in this column are because it lists the previous mining comany's name rather than the correct one.</t>
      </text>
    </comment>
    <comment ref="W270" authorId="36" shapeId="0" xr:uid="{0A4680F5-5201-4B9C-BFC9-464E6358269C}">
      <text>
        <t>[Threaded comment]
Your version of Excel allows you to read this threaded comment; however, any edits to it will get removed if the file is opened in a newer version of Excel. Learn more: https://go.microsoft.com/fwlink/?linkid=870924
Comment:
    H. to Howard</t>
      </text>
    </comment>
    <comment ref="J274" authorId="37" shapeId="0" xr:uid="{0797736C-C7C7-489E-96ED-0A2C68A93AF2}">
      <text>
        <t>[Threaded comment]
Your version of Excel allows you to read this threaded comment; however, any edits to it will get removed if the file is opened in a newer version of Excel. Learn more: https://go.microsoft.com/fwlink/?linkid=870924
Comment:
    Don't know which instance of this text to refer to to check the location</t>
      </text>
    </comment>
    <comment ref="U364" authorId="38" shapeId="0" xr:uid="{66C842C1-1717-4D26-9CBD-445A5075A037}">
      <text>
        <t>[Threaded comment]
Your version of Excel allows you to read this threaded comment; however, any edits to it will get removed if the file is opened in a newer version of Excel. Learn more: https://go.microsoft.com/fwlink/?linkid=870924
Comment:
    Portland is part of the office address, but it is not in portland?</t>
      </text>
    </comment>
    <comment ref="U377" authorId="39" shapeId="0" xr:uid="{DE5981E0-2F05-4DED-B63E-250E38B752C2}">
      <text>
        <t>[Threaded comment]
Your version of Excel allows you to read this threaded comment; however, any edits to it will get removed if the file is opened in a newer version of Excel. Learn more: https://go.microsoft.com/fwlink/?linkid=870924
Comment:
    Portland House, London
Reply:
    ?</t>
      </text>
    </comment>
    <comment ref="U393" authorId="40" shapeId="0" xr:uid="{5FE3E16F-2D94-43A4-8874-76733EC8D0B6}">
      <text>
        <t>[Threaded comment]
Your version of Excel allows you to read this threaded comment; however, any edits to it will get removed if the file is opened in a newer version of Excel. Learn more: https://go.microsoft.com/fwlink/?linkid=870924
Comment:
    Salisbury House?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tc={4697069B-40DC-48A5-ADD8-B8D698084F69}</author>
    <author>tc={0FF9116C-57BD-41DF-8066-AD2F1B407119}</author>
    <author>tc={A2675595-7E4D-4314-BD64-A7C2B5C175ED}</author>
    <author>tc={68B3B45D-E3D4-4A6B-873B-1E9790AFFB67}</author>
    <author>tc={65232CF9-A6A1-4B8E-8FEA-B518F495C63A}</author>
    <author>tc={79C7F518-EB70-45E2-B6EF-B4C7F7D68FD3}</author>
    <author>tc={C2F57468-CA16-427A-A83D-B96DAC2DFB2F}</author>
    <author>tc={519800C2-7F9F-42DE-8CE5-1545EC66743D}</author>
    <author>tc={825F1673-DDE1-41DC-B792-C84F92D81A70}</author>
    <author>tc={448907D0-D80D-4D67-9782-F5955A90A3A9}</author>
    <author>tc={9B157C46-BF1A-461F-AD48-AB119673D907}</author>
    <author>tc={1C7D5343-75C8-4541-B471-483B6406E0CB}</author>
    <author>tc={59657766-7695-4C09-84F1-59D5A6D7EC28}</author>
    <author>tc={D07118CC-BD4F-4A2C-B034-7539171EB2B4}</author>
    <author>tc={EDCF1A2C-3AD6-4B53-9D2C-281344103747}</author>
    <author>tc={2FCF9476-3137-4213-A399-96FA0D04F8BF}</author>
    <author>tc={E18E103E-9D50-4C39-8768-1FF68ABB3B20}</author>
    <author>tc={9DC36BD2-67D5-4009-8F81-EB6ABC731327}</author>
    <author>tc={33DB9444-E2F3-4B6A-B0D9-2BC313525F82}</author>
    <author>tc={8C7A8060-7518-4DCB-984E-F5C27EFC9026}</author>
    <author>tc={85BE8CF1-C62F-4C97-9667-E12BA433D568}</author>
    <author>tc={0FC0380B-F6C2-4A97-8E08-E7EE6B263527}</author>
    <author>tc={5F9C78A4-377F-4641-86A3-705C7F14921D}</author>
    <author>tc={82374F43-8CC2-4287-A93D-4FCEDF121974}</author>
    <author>tc={4002BAF6-0593-4143-B702-4B64A533D4AE}</author>
    <author>tc={99C20DF5-99DF-4727-B660-A9EC6B946007}</author>
    <author>tc={319F41DC-10E9-405C-B85E-26B11DBCDCE9}</author>
    <author>tc={D98151ED-CC9F-4990-9832-F29A0A4BFB3D}</author>
    <author>tc={AFA33CD4-1B0F-49E0-9442-2341F24915F9}</author>
    <author>tc={08A3A584-32CA-45E2-AEAA-7D289993300B}</author>
    <author>tc={CADC9EAC-F981-4613-9062-684600998FD2}</author>
    <author>tc={1DFE5BA7-61A8-414A-BDC5-36827EADEE45}</author>
    <author>tc={76F24FD8-B221-4271-86F6-370450155349}</author>
    <author>tc={DF3CAAF8-2D74-4019-9449-E24B69698520}</author>
    <author>tc={F1175231-6A32-47B2-9343-968F55AA8BD9}</author>
    <author>tc={899FF884-9A6C-491C-9ED9-F01AB45F7861}</author>
  </authors>
  <commentList>
    <comment ref="X138" authorId="0" shapeId="0" xr:uid="{4697069B-40DC-48A5-ADD8-B8D698084F69}">
      <text>
        <t>[Threaded comment]
Your version of Excel allows you to read this threaded comment; however, any edits to it will get removed if the file is opened in a newer version of Excel. Learn more: https://go.microsoft.com/fwlink/?linkid=870924
Comment:
    Says Chief instead of Chief Engineer</t>
      </text>
    </comment>
    <comment ref="S142" authorId="1" shapeId="0" xr:uid="{0FF9116C-57BD-41DF-8066-AD2F1B407119}">
      <text>
        <t>[Threaded comment]
Your version of Excel allows you to read this threaded comment; however, any edits to it will get removed if the file is opened in a newer version of Excel. Learn more: https://go.microsoft.com/fwlink/?linkid=870924
Comment:
    Here, is duluth an acceptable loc?</t>
      </text>
    </comment>
    <comment ref="S170" authorId="2" shapeId="0" xr:uid="{A2675595-7E4D-4314-BD64-A7C2B5C175ED}">
      <text>
        <t>[Threaded comment]
Your version of Excel allows you to read this threaded comment; however, any edits to it will get removed if the file is opened in a newer version of Excel. Learn more: https://go.microsoft.com/fwlink/?linkid=870924
Comment:
    check loc</t>
      </text>
    </comment>
    <comment ref="U176" authorId="3" shapeId="0" xr:uid="{68B3B45D-E3D4-4A6B-873B-1E9790AFFB67}">
      <text>
        <t>[Threaded comment]
Your version of Excel allows you to read this threaded comment; however, any edits to it will get removed if the file is opened in a newer version of Excel. Learn more: https://go.microsoft.com/fwlink/?linkid=870924
Comment:
    Not sure which is first name or last name here</t>
      </text>
    </comment>
    <comment ref="X180" authorId="4" shapeId="0" xr:uid="{65232CF9-A6A1-4B8E-8FEA-B518F495C63A}">
      <text>
        <t>[Threaded comment]
Your version of Excel allows you to read this threaded comment; however, any edits to it will get removed if the file is opened in a newer version of Excel. Learn more: https://go.microsoft.com/fwlink/?linkid=870924
Comment:
    "Chief" Engineer?</t>
      </text>
    </comment>
    <comment ref="G195" authorId="5" shapeId="0" xr:uid="{79C7F518-EB70-45E2-B6EF-B4C7F7D68FD3}">
      <text>
        <t>[Threaded comment]
Your version of Excel allows you to read this threaded comment; however, any edits to it will get removed if the file is opened in a newer version of Excel. Learn more: https://go.microsoft.com/fwlink/?linkid=870924
Comment:
    What is this column? is this an acceptable entry?</t>
      </text>
    </comment>
    <comment ref="S208" authorId="6" shapeId="0" xr:uid="{C2F57468-CA16-427A-A83D-B96DAC2DFB2F}">
      <text>
        <t>[Threaded comment]
Your version of Excel allows you to read this threaded comment; however, any edits to it will get removed if the file is opened in a newer version of Excel. Learn more: https://go.microsoft.com/fwlink/?linkid=870924
Comment:
    Check loc</t>
      </text>
    </comment>
    <comment ref="S216" authorId="7" shapeId="0" xr:uid="{519800C2-7F9F-42DE-8CE5-1545EC66743D}">
      <text>
        <t>[Threaded comment]
Your version of Excel allows you to read this threaded comment; however, any edits to it will get removed if the file is opened in a newer version of Excel. Learn more: https://go.microsoft.com/fwlink/?linkid=870924
Comment:
    check loc</t>
      </text>
    </comment>
    <comment ref="G220" authorId="8" shapeId="0" xr:uid="{825F1673-DDE1-41DC-B792-C84F92D81A70}">
      <text>
        <t>[Threaded comment]
Your version of Excel allows you to read this threaded comment; however, any edits to it will get removed if the file is opened in a newer version of Excel. Learn more: https://go.microsoft.com/fwlink/?linkid=870924
Comment:
    Arizona?</t>
      </text>
    </comment>
    <comment ref="N230" authorId="9" shapeId="0" xr:uid="{448907D0-D80D-4D67-9782-F5955A90A3A9}">
      <text>
        <t>[Threaded comment]
Your version of Excel allows you to read this threaded comment; however, any edits to it will get removed if the file is opened in a newer version of Excel. Learn more: https://go.microsoft.com/fwlink/?linkid=870924
Comment:
    &amp;?</t>
      </text>
    </comment>
    <comment ref="N236" authorId="10" shapeId="0" xr:uid="{9B157C46-BF1A-461F-AD48-AB119673D907}">
      <text>
        <t>[Threaded comment]
Your version of Excel allows you to read this threaded comment; however, any edits to it will get removed if the file is opened in a newer version of Excel. Learn more: https://go.microsoft.com/fwlink/?linkid=870924
Comment:
    &amp;?</t>
      </text>
    </comment>
    <comment ref="N239" authorId="11" shapeId="0" xr:uid="{1C7D5343-75C8-4541-B471-483B6406E0CB}">
      <text>
        <t>[Threaded comment]
Your version of Excel allows you to read this threaded comment; however, any edits to it will get removed if the file is opened in a newer version of Excel. Learn more: https://go.microsoft.com/fwlink/?linkid=870924
Comment:
    &amp;?</t>
      </text>
    </comment>
    <comment ref="G246" authorId="12" shapeId="0" xr:uid="{59657766-7695-4C09-84F1-59D5A6D7EC28}">
      <text>
        <t>[Threaded comment]
Your version of Excel allows you to read this threaded comment; however, any edits to it will get removed if the file is opened in a newer version of Excel. Learn more: https://go.microsoft.com/fwlink/?linkid=870924
Comment:
    Delaware?</t>
      </text>
    </comment>
    <comment ref="S250" authorId="13" shapeId="0" xr:uid="{D07118CC-BD4F-4A2C-B034-7539171EB2B4}">
      <text>
        <t>[Threaded comment]
Your version of Excel allows you to read this threaded comment; however, any edits to it will get removed if the file is opened in a newer version of Excel. Learn more: https://go.microsoft.com/fwlink/?linkid=870924
Comment:
    check loc</t>
      </text>
    </comment>
    <comment ref="N251" authorId="14" shapeId="0" xr:uid="{EDCF1A2C-3AD6-4B53-9D2C-281344103747}">
      <text>
        <t>[Threaded comment]
Your version of Excel allows you to read this threaded comment; however, any edits to it will get removed if the file is opened in a newer version of Excel. Learn more: https://go.microsoft.com/fwlink/?linkid=870924
Comment:
    check</t>
      </text>
    </comment>
    <comment ref="N254" authorId="15" shapeId="0" xr:uid="{2FCF9476-3137-4213-A399-96FA0D04F8BF}">
      <text>
        <t>[Threaded comment]
Your version of Excel allows you to read this threaded comment; however, any edits to it will get removed if the file is opened in a newer version of Excel. Learn more: https://go.microsoft.com/fwlink/?linkid=870924
Comment:
    check this line</t>
      </text>
    </comment>
    <comment ref="N262" authorId="16" shapeId="0" xr:uid="{E18E103E-9D50-4C39-8768-1FF68ABB3B20}">
      <text>
        <t>[Threaded comment]
Your version of Excel allows you to read this threaded comment; however, any edits to it will get removed if the file is opened in a newer version of Excel. Learn more: https://go.microsoft.com/fwlink/?linkid=870924
Comment:
    check this line</t>
      </text>
    </comment>
    <comment ref="N264" authorId="17" shapeId="0" xr:uid="{9DC36BD2-67D5-4009-8F81-EB6ABC731327}">
      <text>
        <t>[Threaded comment]
Your version of Excel allows you to read this threaded comment; however, any edits to it will get removed if the file is opened in a newer version of Excel. Learn more: https://go.microsoft.com/fwlink/?linkid=870924
Comment:
    &amp;</t>
      </text>
    </comment>
    <comment ref="N292" authorId="18" shapeId="0" xr:uid="{33DB9444-E2F3-4B6A-B0D9-2BC313525F82}">
      <text>
        <t>[Threaded comment]
Your version of Excel allows you to read this threaded comment; however, any edits to it will get removed if the file is opened in a newer version of Excel. Learn more: https://go.microsoft.com/fwlink/?linkid=870924
Comment:
    &amp;</t>
      </text>
    </comment>
    <comment ref="N298" authorId="19" shapeId="0" xr:uid="{8C7A8060-7518-4DCB-984E-F5C27EFC9026}">
      <text>
        <t>[Threaded comment]
Your version of Excel allows you to read this threaded comment; however, any edits to it will get removed if the file is opened in a newer version of Excel. Learn more: https://go.microsoft.com/fwlink/?linkid=870924
Comment:
    &amp;</t>
      </text>
    </comment>
    <comment ref="N310" authorId="20" shapeId="0" xr:uid="{85BE8CF1-C62F-4C97-9667-E12BA433D568}">
      <text>
        <t>[Threaded comment]
Your version of Excel allows you to read this threaded comment; however, any edits to it will get removed if the file is opened in a newer version of Excel. Learn more: https://go.microsoft.com/fwlink/?linkid=870924
Comment:
    &amp;</t>
      </text>
    </comment>
    <comment ref="N312" authorId="21" shapeId="0" xr:uid="{0FC0380B-F6C2-4A97-8E08-E7EE6B263527}">
      <text>
        <t>[Threaded comment]
Your version of Excel allows you to read this threaded comment; however, any edits to it will get removed if the file is opened in a newer version of Excel. Learn more: https://go.microsoft.com/fwlink/?linkid=870924
Comment:
    &amp;</t>
      </text>
    </comment>
    <comment ref="S330" authorId="22" shapeId="0" xr:uid="{5F9C78A4-377F-4641-86A3-705C7F14921D}">
      <text>
        <t>[Threaded comment]
Your version of Excel allows you to read this threaded comment; however, any edits to it will get removed if the file is opened in a newer version of Excel. Learn more: https://go.microsoft.com/fwlink/?linkid=870924
Comment:
    Check loc</t>
      </text>
    </comment>
    <comment ref="N334" authorId="23" shapeId="0" xr:uid="{82374F43-8CC2-4287-A93D-4FCEDF121974}">
      <text>
        <t>[Threaded comment]
Your version of Excel allows you to read this threaded comment; however, any edits to it will get removed if the file is opened in a newer version of Excel. Learn more: https://go.microsoft.com/fwlink/?linkid=870924
Comment:
    &amp;</t>
      </text>
    </comment>
    <comment ref="O343" authorId="24" shapeId="0" xr:uid="{4002BAF6-0593-4143-B702-4B64A533D4AE}">
      <text>
        <t>[Threaded comment]
Your version of Excel allows you to read this threaded comment; however, any edits to it will get removed if the file is opened in a newer version of Excel. Learn more: https://go.microsoft.com/fwlink/?linkid=870924
Comment:
    bonds = stock?</t>
      </text>
    </comment>
    <comment ref="N344" authorId="25" shapeId="0" xr:uid="{99C20DF5-99DF-4727-B660-A9EC6B946007}">
      <text>
        <t>[Threaded comment]
Your version of Excel allows you to read this threaded comment; however, any edits to it will get removed if the file is opened in a newer version of Excel. Learn more: https://go.microsoft.com/fwlink/?linkid=870924
Comment:
    &amp;</t>
      </text>
    </comment>
    <comment ref="N345" authorId="26" shapeId="0" xr:uid="{319F41DC-10E9-405C-B85E-26B11DBCDCE9}">
      <text>
        <t>[Threaded comment]
Your version of Excel allows you to read this threaded comment; however, any edits to it will get removed if the file is opened in a newer version of Excel. Learn more: https://go.microsoft.com/fwlink/?linkid=870924
Comment:
    Check name</t>
      </text>
    </comment>
    <comment ref="N349" authorId="27" shapeId="0" xr:uid="{D98151ED-CC9F-4990-9832-F29A0A4BFB3D}">
      <text>
        <t>[Threaded comment]
Your version of Excel allows you to read this threaded comment; however, any edits to it will get removed if the file is opened in a newer version of Excel. Learn more: https://go.microsoft.com/fwlink/?linkid=870924
Comment:
    &amp;</t>
      </text>
    </comment>
    <comment ref="N350" authorId="28" shapeId="0" xr:uid="{AFA33CD4-1B0F-49E0-9442-2341F24915F9}">
      <text>
        <t>[Threaded comment]
Your version of Excel allows you to read this threaded comment; however, any edits to it will get removed if the file is opened in a newer version of Excel. Learn more: https://go.microsoft.com/fwlink/?linkid=870924
Comment:
    &amp;</t>
      </text>
    </comment>
    <comment ref="N355" authorId="29" shapeId="0" xr:uid="{08A3A584-32CA-45E2-AEAA-7D289993300B}">
      <text>
        <t>[Threaded comment]
Your version of Excel allows you to read this threaded comment; however, any edits to it will get removed if the file is opened in a newer version of Excel. Learn more: https://go.microsoft.com/fwlink/?linkid=870924
Comment:
    &amp;</t>
      </text>
    </comment>
    <comment ref="N361" authorId="30" shapeId="0" xr:uid="{CADC9EAC-F981-4613-9062-684600998FD2}">
      <text>
        <t>[Threaded comment]
Your version of Excel allows you to read this threaded comment; however, any edits to it will get removed if the file is opened in a newer version of Excel. Learn more: https://go.microsoft.com/fwlink/?linkid=870924
Comment:
    &amp;</t>
      </text>
    </comment>
    <comment ref="N364" authorId="31" shapeId="0" xr:uid="{1DFE5BA7-61A8-414A-BDC5-36827EADEE45}">
      <text>
        <t>[Threaded comment]
Your version of Excel allows you to read this threaded comment; however, any edits to it will get removed if the file is opened in a newer version of Excel. Learn more: https://go.microsoft.com/fwlink/?linkid=870924
Comment:
    &amp;</t>
      </text>
    </comment>
    <comment ref="N373" authorId="32" shapeId="0" xr:uid="{76F24FD8-B221-4271-86F6-370450155349}">
      <text>
        <t>[Threaded comment]
Your version of Excel allows you to read this threaded comment; however, any edits to it will get removed if the file is opened in a newer version of Excel. Learn more: https://go.microsoft.com/fwlink/?linkid=870924
Comment:
    Too much info
Reply:
    a?</t>
      </text>
    </comment>
    <comment ref="N376" authorId="33" shapeId="0" xr:uid="{DF3CAAF8-2D74-4019-9449-E24B69698520}">
      <text>
        <t>[Threaded comment]
Your version of Excel allows you to read this threaded comment; however, any edits to it will get removed if the file is opened in a newer version of Excel. Learn more: https://go.microsoft.com/fwlink/?linkid=870924
Comment:
    &amp;</t>
      </text>
    </comment>
    <comment ref="N380" authorId="34" shapeId="0" xr:uid="{F1175231-6A32-47B2-9343-968F55AA8BD9}">
      <text>
        <t>[Threaded comment]
Your version of Excel allows you to read this threaded comment; however, any edits to it will get removed if the file is opened in a newer version of Excel. Learn more: https://go.microsoft.com/fwlink/?linkid=870924
Comment:
    Check name</t>
      </text>
    </comment>
    <comment ref="N384" authorId="35" shapeId="0" xr:uid="{899FF884-9A6C-491C-9ED9-F01AB45F7861}">
      <text>
        <t>[Threaded comment]
Your version of Excel allows you to read this threaded comment; however, any edits to it will get removed if the file is opened in a newer version of Excel. Learn more: https://go.microsoft.com/fwlink/?linkid=870924
Comment:
    &amp;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tc={AB39BB5B-34B2-4858-BE82-CEC1A4DF18DD}</author>
    <author>tc={B5B7E917-51A9-4A17-8046-704716E75D0D}</author>
    <author>tc={9E3D087B-22CF-41F7-9CB2-F9C0F39F3F1A}</author>
    <author>tc={9D785C44-4678-4DD7-A7F3-B8F91042F1E3}</author>
    <author>tc={4BCFC15D-0779-434D-B014-4F7824497FA6}</author>
    <author>tc={01548027-506A-42FE-AF5D-457B29C61F2D}</author>
    <author>tc={CB77A284-CE7B-496D-AF4E-C0D453B6CBE4}</author>
    <author>tc={DBB58BE5-EB6F-47CF-825B-7A651F32B9EB}</author>
    <author>tc={D4876775-F32F-4685-B80E-463F9C2528AD}</author>
    <author>tc={230CA186-B4FB-4E5F-8628-7D235D4821DE}</author>
    <author>tc={823ABAA1-0512-4BEC-A6B0-DA4268535397}</author>
    <author>tc={C0434BA7-0C71-4BC4-ACAD-C5C11B2DD877}</author>
    <author>tc={BCEEED42-2104-4C4E-A22C-FCFE9A3366B1}</author>
    <author>tc={4901A619-21A3-4B3F-A21C-ED94E4FD38CD}</author>
    <author>tc={CE41EF30-A6D0-4BAA-AC82-E80727738BDA}</author>
    <author>tc={A00E7659-B25A-4BF3-864B-5327ECC8EDB0}</author>
    <author>tc={7287B969-3288-4F8A-82A1-3085743B3687}</author>
    <author>tc={7BB80CEA-E3B6-457F-95B2-DE1A40656A6C}</author>
    <author>tc={393344B7-BD9B-48F1-AFAA-9B5588DCFE35}</author>
    <author>tc={CFD9F799-9F81-458C-AA30-1CF47EE4AC06}</author>
    <author>tc={F05C9C1C-9D09-4D47-B372-88BCC37EDAD9}</author>
    <author>tc={60E1847A-92A9-46D5-A2A2-1321145491C8}</author>
  </authors>
  <commentList>
    <comment ref="G30" authorId="0" shapeId="0" xr:uid="{AB39BB5B-34B2-4858-BE82-CEC1A4DF18DD}">
      <text>
        <t>[Threaded comment]
Your version of Excel allows you to read this threaded comment; however, any edits to it will get removed if the file is opened in a newer version of Excel. Learn more: https://go.microsoft.com/fwlink/?linkid=870924
Comment:
    Should be owned?</t>
      </text>
    </comment>
    <comment ref="Y40" authorId="1" shapeId="0" xr:uid="{B5B7E917-51A9-4A17-8046-704716E75D0D}">
      <text>
        <t>[Threaded comment]
Your version of Excel allows you to read this threaded comment; however, any edits to it will get removed if the file is opened in a newer version of Excel. Learn more: https://go.microsoft.com/fwlink/?linkid=870924
Comment:
    Partial address?</t>
      </text>
    </comment>
    <comment ref="L60" authorId="2" shapeId="0" xr:uid="{9E3D087B-22CF-41F7-9CB2-F9C0F39F3F1A}">
      <text>
        <t>[Threaded comment]
Your version of Excel allows you to read this threaded comment; however, any edits to it will get removed if the file is opened in a newer version of Excel. Learn more: https://go.microsoft.com/fwlink/?linkid=870924
Comment:
    is this okay? or is it an error?</t>
      </text>
    </comment>
    <comment ref="Y60" authorId="3" shapeId="0" xr:uid="{9D785C44-4678-4DD7-A7F3-B8F91042F1E3}">
      <text>
        <t>[Threaded comment]
Your version of Excel allows you to read this threaded comment; however, any edits to it will get removed if the file is opened in a newer version of Excel. Learn more: https://go.microsoft.com/fwlink/?linkid=870924
Comment:
    check</t>
      </text>
    </comment>
    <comment ref="Y62" authorId="4" shapeId="0" xr:uid="{4BCFC15D-0779-434D-B014-4F7824497FA6}">
      <text>
        <t>[Threaded comment]
Your version of Excel allows you to read this threaded comment; however, any edits to it will get removed if the file is opened in a newer version of Excel. Learn more: https://go.microsoft.com/fwlink/?linkid=870924
Comment:
    check, it's missing the apt. number</t>
      </text>
    </comment>
    <comment ref="Y67" authorId="5" shapeId="0" xr:uid="{01548027-506A-42FE-AF5D-457B29C61F2D}">
      <text>
        <t>[Threaded comment]
Your version of Excel allows you to read this threaded comment; however, any edits to it will get removed if the file is opened in a newer version of Excel. Learn more: https://go.microsoft.com/fwlink/?linkid=870924
Comment:
    check</t>
      </text>
    </comment>
    <comment ref="Q71" authorId="6" shapeId="0" xr:uid="{CB77A284-CE7B-496D-AF4E-C0D453B6CBE4}">
      <text>
        <t>[Threaded comment]
Your version of Excel allows you to read this threaded comment; however, any edits to it will get removed if the file is opened in a newer version of Excel. Learn more: https://go.microsoft.com/fwlink/?linkid=870924
Comment:
    says "la constancia" twice</t>
      </text>
    </comment>
    <comment ref="Y118" authorId="7" shapeId="0" xr:uid="{DBB58BE5-EB6F-47CF-825B-7A651F32B9EB}">
      <text>
        <t>[Threaded comment]
Your version of Excel allows you to read this threaded comment; however, any edits to it will get removed if the file is opened in a newer version of Excel. Learn more: https://go.microsoft.com/fwlink/?linkid=870924
Comment:
    check</t>
      </text>
    </comment>
    <comment ref="T131" authorId="8" shapeId="0" xr:uid="{D4876775-F32F-4685-B80E-463F9C2528AD}">
      <text>
        <t>[Threaded comment]
Your version of Excel allows you to read this threaded comment; however, any edits to it will get removed if the file is opened in a newer version of Excel. Learn more: https://go.microsoft.com/fwlink/?linkid=870924
Comment:
    check these</t>
      </text>
    </comment>
    <comment ref="Y144" authorId="9" shapeId="0" xr:uid="{230CA186-B4FB-4E5F-8628-7D235D4821DE}">
      <text>
        <t>[Threaded comment]
Your version of Excel allows you to read this threaded comment; however, any edits to it will get removed if the file is opened in a newer version of Excel. Learn more: https://go.microsoft.com/fwlink/?linkid=870924
Comment:
    check</t>
      </text>
    </comment>
    <comment ref="T147" authorId="10" shapeId="0" xr:uid="{823ABAA1-0512-4BEC-A6B0-DA4268535397}">
      <text>
        <t>[Threaded comment]
Your version of Excel allows you to read this threaded comment; however, any edits to it will get removed if the file is opened in a newer version of Excel. Learn more: https://go.microsoft.com/fwlink/?linkid=870924
Comment:
    check</t>
      </text>
    </comment>
    <comment ref="T153" authorId="11" shapeId="0" xr:uid="{C0434BA7-0C71-4BC4-ACAD-C5C11B2DD877}">
      <text>
        <t>[Threaded comment]
Your version of Excel allows you to read this threaded comment; however, any edits to it will get removed if the file is opened in a newer version of Excel. Learn more: https://go.microsoft.com/fwlink/?linkid=870924
Comment:
    check</t>
      </text>
    </comment>
    <comment ref="T223" authorId="12" shapeId="0" xr:uid="{BCEEED42-2104-4C4E-A22C-FCFE9A3366B1}">
      <text>
        <t>[Threaded comment]
Your version of Excel allows you to read this threaded comment; however, any edits to it will get removed if the file is opened in a newer version of Excel. Learn more: https://go.microsoft.com/fwlink/?linkid=870924
Comment:
    check</t>
      </text>
    </comment>
    <comment ref="Y230" authorId="13" shapeId="0" xr:uid="{4901A619-21A3-4B3F-A21C-ED94E4FD38CD}">
      <text>
        <t>[Threaded comment]
Your version of Excel allows you to read this threaded comment; however, any edits to it will get removed if the file is opened in a newer version of Excel. Learn more: https://go.microsoft.com/fwlink/?linkid=870924
Comment:
    check - incomplete?</t>
      </text>
    </comment>
    <comment ref="T233" authorId="14" shapeId="0" xr:uid="{CE41EF30-A6D0-4BAA-AC82-E80727738BDA}">
      <text>
        <t>[Threaded comment]
Your version of Excel allows you to read this threaded comment; however, any edits to it will get removed if the file is opened in a newer version of Excel. Learn more: https://go.microsoft.com/fwlink/?linkid=870924
Comment:
    check</t>
      </text>
    </comment>
    <comment ref="T246" authorId="15" shapeId="0" xr:uid="{A00E7659-B25A-4BF3-864B-5327ECC8EDB0}">
      <text>
        <t>[Threaded comment]
Your version of Excel allows you to read this threaded comment; however, any edits to it will get removed if the file is opened in a newer version of Excel. Learn more: https://go.microsoft.com/fwlink/?linkid=870924
Comment:
    ?</t>
      </text>
    </comment>
    <comment ref="Y253" authorId="16" shapeId="0" xr:uid="{7287B969-3288-4F8A-82A1-3085743B3687}">
      <text>
        <t>[Threaded comment]
Your version of Excel allows you to read this threaded comment; however, any edits to it will get removed if the file is opened in a newer version of Excel. Learn more: https://go.microsoft.com/fwlink/?linkid=870924
Comment:
    incomplete</t>
      </text>
    </comment>
    <comment ref="Y299" authorId="17" shapeId="0" xr:uid="{7BB80CEA-E3B6-457F-95B2-DE1A40656A6C}">
      <text>
        <t>[Threaded comment]
Your version of Excel allows you to read this threaded comment; however, any edits to it will get removed if the file is opened in a newer version of Excel. Learn more: https://go.microsoft.com/fwlink/?linkid=870924
Comment:
    check here and below</t>
      </text>
    </comment>
    <comment ref="AB313" authorId="18" shapeId="0" xr:uid="{393344B7-BD9B-48F1-AFAA-9B5588DCFE35}">
      <text>
        <t>[Threaded comment]
Your version of Excel allows you to read this threaded comment; however, any edits to it will get removed if the file is opened in a newer version of Excel. Learn more: https://go.microsoft.com/fwlink/?linkid=870924
Comment:
    check</t>
      </text>
    </comment>
    <comment ref="Y326" authorId="19" shapeId="0" xr:uid="{CFD9F799-9F81-458C-AA30-1CF47EE4AC06}">
      <text>
        <t>[Threaded comment]
Your version of Excel allows you to read this threaded comment; however, any edits to it will get removed if the file is opened in a newer version of Excel. Learn more: https://go.microsoft.com/fwlink/?linkid=870924
Comment:
    incomplete</t>
      </text>
    </comment>
    <comment ref="T329" authorId="20" shapeId="0" xr:uid="{F05C9C1C-9D09-4D47-B372-88BCC37EDAD9}">
      <text>
        <t>[Threaded comment]
Your version of Excel allows you to read this threaded comment; however, any edits to it will get removed if the file is opened in a newer version of Excel. Learn more: https://go.microsoft.com/fwlink/?linkid=870924
Comment:
    check</t>
      </text>
    </comment>
    <comment ref="Q337" authorId="21" shapeId="0" xr:uid="{60E1847A-92A9-46D5-A2A2-1321145491C8}">
      <text>
        <t>[Threaded comment]
Your version of Excel allows you to read this threaded comment; however, any edits to it will get removed if the file is opened in a newer version of Excel. Learn more: https://go.microsoft.com/fwlink/?linkid=870924
Comment:
    I think these should all be "Mexican Mining Department"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tc={E0583BEA-036E-477A-BA61-B73250547252}</author>
    <author>tc={E855911F-2F5F-4FE6-9733-8DA01CD44C49}</author>
    <author>tc={84394724-E15F-4713-ACA8-A29312A7FFBE}</author>
    <author>tc={CDB138DE-E511-4894-AA39-0205C8BF4C0E}</author>
    <author>tc={81F33E34-7A30-4CC6-9CC7-ABCD283F7E9D}</author>
    <author>tc={2BF54DD4-8E32-4529-B553-BD2014B8D75F}</author>
    <author>tc={ED55DBAF-F453-4AD7-B376-31D39A98CB3A}</author>
    <author>tc={6E2B454C-123E-4A7A-9206-ED5B5AE31135}</author>
    <author>tc={F481B6F8-69ED-4058-862F-203626E66D92}</author>
    <author>tc={2E5517E5-359B-4EA1-8C3F-912F70D39992}</author>
    <author>tc={D6305529-8D0C-4ADC-B34C-374FCE1B7B5F}</author>
    <author>tc={C7C3F1CD-9308-4525-8BAC-143E8A8A70A3}</author>
    <author>tc={5255E260-EACA-48C3-BB06-EF86F59F24C7}</author>
    <author>tc={D5A42D46-7961-48E2-8782-10563A823188}</author>
    <author>tc={F234CB0D-1F4B-4C86-807C-5DDAF363DBD7}</author>
    <author>tc={B9A63235-8796-421E-B1FE-8F1E7C0E6E94}</author>
    <author>tc={BCDA3BDC-786D-4FBC-8969-609B7E7FED1E}</author>
    <author>tc={98DA8DAE-CE62-4E01-963E-148014FA4F99}</author>
    <author>tc={1117BFC6-5928-4AFD-A1F5-1A53D56A23DA}</author>
    <author>tc={F0D4D390-6FF8-4D15-8738-0E2FC14CE652}</author>
    <author>tc={6306221C-8A53-4A70-978B-50588BEA0DF4}</author>
    <author>tc={D1CBC377-190B-4EF3-A2DA-80D3D68BFCD9}</author>
    <author>tc={5335AE6F-4E83-4583-864D-96B709ED4002}</author>
    <author>tc={2BAF973A-46BB-45D9-8428-0AD2D0628F25}</author>
    <author>tc={B6584715-3121-42B9-A65B-2841C89B70BE}</author>
    <author>tc={85F147C6-E5DB-4D59-B990-B232B73B2856}</author>
    <author>tc={790F8E61-A198-4CC3-961A-E21C65E82A24}</author>
    <author>tc={936FCFD9-CA11-4B3E-AD5D-C667735785A7}</author>
  </authors>
  <commentList>
    <comment ref="K21" authorId="0" shapeId="0" xr:uid="{E0583BEA-036E-477A-BA61-B73250547252}">
      <text>
        <t>[Threaded comment]
Your version of Excel allows you to read this threaded comment; however, any edits to it will get removed if the file is opened in a newer version of Excel. Learn more: https://go.microsoft.com/fwlink/?linkid=870924
Comment:
    or a?
Reply:
    b</t>
      </text>
    </comment>
    <comment ref="J28" authorId="1" shapeId="0" xr:uid="{E855911F-2F5F-4FE6-9733-8DA01CD44C49}">
      <text>
        <t>[Threaded comment]
Your version of Excel allows you to read this threaded comment; however, any edits to it will get removed if the file is opened in a newer version of Excel. Learn more: https://go.microsoft.com/fwlink/?linkid=870924
Comment:
    the pdf says these are students from 1868 - 1905, so the year is not known
Reply:
    should be NA</t>
      </text>
    </comment>
    <comment ref="J31" authorId="2" shapeId="0" xr:uid="{84394724-E15F-4713-ACA8-A29312A7FFBE}">
      <text>
        <t>[Threaded comment]
Your version of Excel allows you to read this threaded comment; however, any edits to it will get removed if the file is opened in a newer version of Excel. Learn more: https://go.microsoft.com/fwlink/?linkid=870924
Comment:
    found one in 1866 and 1868</t>
      </text>
    </comment>
    <comment ref="J32" authorId="3" shapeId="0" xr:uid="{CDB138DE-E511-4894-AA39-0205C8BF4C0E}">
      <text>
        <t>[Threaded comment]
Your version of Excel allows you to read this threaded comment; however, any edits to it will get removed if the file is opened in a newer version of Excel. Learn more: https://go.microsoft.com/fwlink/?linkid=870924
Comment:
    got his diploma in 1871
Reply:
    no mistake</t>
      </text>
    </comment>
    <comment ref="J40" authorId="4" shapeId="0" xr:uid="{81F33E34-7A30-4CC6-9CC7-ABCD283F7E9D}">
      <text>
        <t>[Threaded comment]
Your version of Excel allows you to read this threaded comment; however, any edits to it will get removed if the file is opened in a newer version of Excel. Learn more: https://go.microsoft.com/fwlink/?linkid=870924
Comment:
    dipl 1883</t>
      </text>
    </comment>
    <comment ref="K54" authorId="5" shapeId="0" xr:uid="{2BF54DD4-8E32-4529-B553-BD2014B8D75F}">
      <text>
        <t>[Threaded comment]
Your version of Excel allows you to read this threaded comment; however, any edits to it will get removed if the file is opened in a newer version of Excel. Learn more: https://go.microsoft.com/fwlink/?linkid=870924
Comment:
    von Wolff</t>
      </text>
    </comment>
    <comment ref="J70" authorId="6" shapeId="0" xr:uid="{ED55DBAF-F453-4AD7-B376-31D39A98CB3A}">
      <text>
        <t>[Threaded comment]
Your version of Excel allows you to read this threaded comment; however, any edits to it will get removed if the file is opened in a newer version of Excel. Learn more: https://go.microsoft.com/fwlink/?linkid=870924
Comment:
    I have noticed a trend of these being off by a year (listing the year before what it should be)</t>
      </text>
    </comment>
    <comment ref="J132" authorId="7" shapeId="0" xr:uid="{6E2B454C-123E-4A7A-9206-ED5B5AE31135}">
      <text>
        <t>[Threaded comment]
Your version of Excel allows you to read this threaded comment; however, any edits to it will get removed if the file is opened in a newer version of Excel. Learn more: https://go.microsoft.com/fwlink/?linkid=870924
Comment:
    There are a number of fred moores and I'm not sure which one is the target line</t>
      </text>
    </comment>
    <comment ref="C157" authorId="8" shapeId="0" xr:uid="{F481B6F8-69ED-4058-862F-203626E66D92}">
      <text>
        <t>[Threaded comment]
Your version of Excel allows you to read this threaded comment; however, any edits to it will get removed if the file is opened in a newer version of Excel. Learn more: https://go.microsoft.com/fwlink/?linkid=870924
Comment:
    ALL are mistakes (mito year col - 1915)</t>
      </text>
    </comment>
    <comment ref="M158" authorId="9" shapeId="0" xr:uid="{2E5517E5-359B-4EA1-8C3F-912F70D39992}">
      <text>
        <t>[Threaded comment]
Your version of Excel allows you to read this threaded comment; however, any edits to it will get removed if the file is opened in a newer version of Excel. Learn more: https://go.microsoft.com/fwlink/?linkid=870924
Comment:
    the mito extraction consistently makes mistakes on the middle name</t>
      </text>
    </comment>
    <comment ref="N160" authorId="10" shapeId="0" xr:uid="{D6305529-8D0C-4ADC-B34C-374FCE1B7B5F}">
      <text>
        <t>[Threaded comment]
Your version of Excel allows you to read this threaded comment; however, any edits to it will get removed if the file is opened in a newer version of Excel. Learn more: https://go.microsoft.com/fwlink/?linkid=870924
Comment:
    sugar expert</t>
      </text>
    </comment>
    <comment ref="N179" authorId="11" shapeId="0" xr:uid="{C7C3F1CD-9308-4525-8BAC-143E8A8A70A3}">
      <text>
        <t>[Threaded comment]
Your version of Excel allows you to read this threaded comment; however, any edits to it will get removed if the file is opened in a newer version of Excel. Learn more: https://go.microsoft.com/fwlink/?linkid=870924
Comment:
    doesnt list him as an engineer</t>
      </text>
    </comment>
    <comment ref="N181" authorId="12" shapeId="0" xr:uid="{5255E260-EACA-48C3-BB06-EF86F59F24C7}">
      <text>
        <t>[Threaded comment]
Your version of Excel allows you to read this threaded comment; however, any edits to it will get removed if the file is opened in a newer version of Excel. Learn more: https://go.microsoft.com/fwlink/?linkid=870924
Comment:
    doesnt list him as a director</t>
      </text>
    </comment>
    <comment ref="O218" authorId="13" shapeId="0" xr:uid="{D5A42D46-7961-48E2-8782-10563A823188}">
      <text>
        <t>[Threaded comment]
Your version of Excel allows you to read this threaded comment; however, any edits to it will get removed if the file is opened in a newer version of Excel. Learn more: https://go.microsoft.com/fwlink/?linkid=870924
Comment:
    check - says "Care of Detroit..."</t>
      </text>
    </comment>
    <comment ref="N224" authorId="14" shapeId="0" xr:uid="{F234CB0D-1F4B-4C86-807C-5DDAF363DBD7}">
      <text>
        <t>[Threaded comment]
Your version of Excel allows you to read this threaded comment; however, any edits to it will get removed if the file is opened in a newer version of Excel. Learn more: https://go.microsoft.com/fwlink/?linkid=870924
Comment:
    "engineering dept"</t>
      </text>
    </comment>
    <comment ref="N227" authorId="15" shapeId="0" xr:uid="{B9A63235-8796-421E-B1FE-8F1E7C0E6E94}">
      <text>
        <t>[Threaded comment]
Your version of Excel allows you to read this threaded comment; however, any edits to it will get removed if the file is opened in a newer version of Excel. Learn more: https://go.microsoft.com/fwlink/?linkid=870924
Comment:
    assistant mechanical supt.
Reply:
    all highlighted here are just missing a part of the correct title... still count as a mistake?</t>
      </text>
    </comment>
    <comment ref="O227" authorId="16" shapeId="0" xr:uid="{BCDA3BDC-786D-4FBC-8969-609B7E7FED1E}">
      <text>
        <t>[Threaded comment]
Your version of Excel allows you to read this threaded comment; however, any edits to it will get removed if the file is opened in a newer version of Excel. Learn more: https://go.microsoft.com/fwlink/?linkid=870924
Comment:
    katahdin pulp and paper co.</t>
      </text>
    </comment>
    <comment ref="N228" authorId="17" shapeId="0" xr:uid="{98DA8DAE-CE62-4E01-963E-148014FA4F99}">
      <text>
        <t>[Threaded comment]
Your version of Excel allows you to read this threaded comment; however, any edits to it will get removed if the file is opened in a newer version of Excel. Learn more: https://go.microsoft.com/fwlink/?linkid=870924
Comment:
    supt. of construction</t>
      </text>
    </comment>
    <comment ref="O228" authorId="18" shapeId="0" xr:uid="{1117BFC6-5928-4AFD-A1F5-1A53D56A23DA}">
      <text>
        <t>[Threaded comment]
Your version of Excel allows you to read this threaded comment; however, any edits to it will get removed if the file is opened in a newer version of Excel. Learn more: https://go.microsoft.com/fwlink/?linkid=870924
Comment:
    united states ..</t>
      </text>
    </comment>
    <comment ref="N229" authorId="19" shapeId="0" xr:uid="{F0D4D390-6FF8-4D15-8738-0E2FC14CE652}">
      <text>
        <t>[Threaded comment]
Your version of Excel allows you to read this threaded comment; however, any edits to it will get removed if the file is opened in a newer version of Excel. Learn more: https://go.microsoft.com/fwlink/?linkid=870924
Comment:
    assistant supt.</t>
      </text>
    </comment>
    <comment ref="N233" authorId="20" shapeId="0" xr:uid="{6306221C-8A53-4A70-978B-50588BEA0DF4}">
      <text>
        <t>[Threaded comment]
Your version of Excel allows you to read this threaded comment; however, any edits to it will get removed if the file is opened in a newer version of Excel. Learn more: https://go.microsoft.com/fwlink/?linkid=870924
Comment:
    general manager</t>
      </text>
    </comment>
    <comment ref="O234" authorId="21" shapeId="0" xr:uid="{D1CBC377-190B-4EF3-A2DA-80D3D68BFCD9}">
      <text>
        <t>[Threaded comment]
Your version of Excel allows you to read this threaded comment; however, any edits to it will get removed if the file is opened in a newer version of Excel. Learn more: https://go.microsoft.com/fwlink/?linkid=870924
Comment:
    passaic valley</t>
      </text>
    </comment>
    <comment ref="O236" authorId="22" shapeId="0" xr:uid="{5335AE6F-4E83-4583-864D-96B709ED4002}">
      <text>
        <t>[Threaded comment]
Your version of Excel allows you to read this threaded comment; however, any edits to it will get removed if the file is opened in a newer version of Excel. Learn more: https://go.microsoft.com/fwlink/?linkid=870924
Comment:
    capen's school for girls</t>
      </text>
    </comment>
    <comment ref="O239" authorId="23" shapeId="0" xr:uid="{2BAF973A-46BB-45D9-8428-0AD2D0628F25}">
      <text>
        <t>[Threaded comment]
Your version of Excel allows you to read this threaded comment; however, any edits to it will get removed if the file is opened in a newer version of Excel. Learn more: https://go.microsoft.com/fwlink/?linkid=870924
Comment:
    boston &amp; maine</t>
      </text>
    </comment>
    <comment ref="O241" authorId="24" shapeId="0" xr:uid="{B6584715-3121-42B9-A65B-2841C89B70BE}">
      <text>
        <t>[Threaded comment]
Your version of Excel allows you to read this threaded comment; however, any edits to it will get removed if the file is opened in a newer version of Excel. Learn more: https://go.microsoft.com/fwlink/?linkid=870924
Comment:
    railway &amp; power</t>
      </text>
    </comment>
    <comment ref="N242" authorId="25" shapeId="0" xr:uid="{85F147C6-E5DB-4D59-B990-B232B73B2856}">
      <text>
        <t>[Threaded comment]
Your version of Excel allows you to read this threaded comment; however, any edits to it will get removed if the file is opened in a newer version of Excel. Learn more: https://go.microsoft.com/fwlink/?linkid=870924
Comment:
    assistant engineer</t>
      </text>
    </comment>
    <comment ref="M281" authorId="26" shapeId="0" xr:uid="{790F8E61-A198-4CC3-961A-E21C65E82A24}">
      <text>
        <t>[Threaded comment]
Your version of Excel allows you to read this threaded comment; however, any edits to it will get removed if the file is opened in a newer version of Excel. Learn more: https://go.microsoft.com/fwlink/?linkid=870924
Comment:
    student?</t>
      </text>
    </comment>
    <comment ref="M333" authorId="27" shapeId="0" xr:uid="{936FCFD9-CA11-4B3E-AD5D-C667735785A7}">
      <text>
        <t>[Threaded comment]
Your version of Excel allows you to read this threaded comment; however, any edits to it will get removed if the file is opened in a newer version of Excel. Learn more: https://go.microsoft.com/fwlink/?linkid=870924
Comment:
    a string of these entries incorrectly have the middle initial the same as the first name initial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tc={E0F57914-0964-4D1C-B617-383E8EB33AE2}</author>
    <author>tc={57307E90-CE69-4790-BA43-7BC1960329C0}</author>
    <author>tc={57F5C7B2-AFDB-4B97-901F-264FDF86273F}</author>
    <author>tc={5F5BF88F-C423-41F6-B3A5-2CD020942E2E}</author>
    <author>tc={6A4D8374-8B05-429A-846A-BD4A67083D50}</author>
    <author>tc={28774B37-D449-4847-A241-743CA85ECD3C}</author>
  </authors>
  <commentList>
    <comment ref="N5" authorId="0" shapeId="0" xr:uid="{E0F57914-0964-4D1C-B617-383E8EB33AE2}">
      <text>
        <t>[Threaded comment]
Your version of Excel allows you to read this threaded comment; however, any edits to it will get removed if the file is opened in a newer version of Excel. Learn more: https://go.microsoft.com/fwlink/?linkid=870924
Comment:
    org in loc</t>
      </text>
    </comment>
    <comment ref="B169" authorId="1" shapeId="0" xr:uid="{57307E90-CE69-4790-BA43-7BC1960329C0}">
      <text>
        <t>[Threaded comment]
Your version of Excel allows you to read this threaded comment; however, any edits to it will get removed if the file is opened in a newer version of Excel. Learn more: https://go.microsoft.com/fwlink/?linkid=870924
Comment:
    Look at the 1885 list, page 42</t>
      </text>
    </comment>
    <comment ref="C195" authorId="2" shapeId="0" xr:uid="{57F5C7B2-AFDB-4B97-901F-264FDF86273F}">
      <text>
        <t>[Threaded comment]
Your version of Excel allows you to read this threaded comment; however, any edits to it will get removed if the file is opened in a newer version of Excel. Learn more: https://go.microsoft.com/fwlink/?linkid=870924
Comment:
    can find this, but can't find prof or loc</t>
      </text>
    </comment>
    <comment ref="C198" authorId="3" shapeId="0" xr:uid="{5F5BF88F-C423-41F6-B3A5-2CD020942E2E}">
      <text>
        <t>[Threaded comment]
Your version of Excel allows you to read this threaded comment; however, any edits to it will get removed if the file is opened in a newer version of Excel. Learn more: https://go.microsoft.com/fwlink/?linkid=870924
Comment:
    can find this, but can't find prof or loc</t>
      </text>
    </comment>
    <comment ref="C222" authorId="4" shapeId="0" xr:uid="{6A4D8374-8B05-429A-846A-BD4A67083D50}">
      <text>
        <t>[Threaded comment]
Your version of Excel allows you to read this threaded comment; however, any edits to it will get removed if the file is opened in a newer version of Excel. Learn more: https://go.microsoft.com/fwlink/?linkid=870924
Comment:
    found in 1901a
Reply:
    I don't have a 1900 manual to search in</t>
      </text>
    </comment>
    <comment ref="L327" authorId="5" shapeId="0" xr:uid="{28774B37-D449-4847-A241-743CA85ECD3C}">
      <text>
        <t>[Threaded comment]
Your version of Excel allows you to read this threaded comment; however, any edits to it will get removed if the file is opened in a newer version of Excel. Learn more: https://go.microsoft.com/fwlink/?linkid=870924
Comment:
    program must have found this info somewhere else?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<sst xmlns="http://schemas.openxmlformats.org/spreadsheetml/2006/main" count="13398" uniqueCount="7422">
  <si>
    <t>id</t>
  </si>
  <si>
    <t>year</t>
  </si>
  <si>
    <t>company</t>
  </si>
  <si>
    <t>capital</t>
  </si>
  <si>
    <t>office</t>
  </si>
  <si>
    <t>yearg</t>
  </si>
  <si>
    <t>situated</t>
  </si>
  <si>
    <t>mine</t>
  </si>
  <si>
    <t>loc</t>
  </si>
  <si>
    <t>text</t>
  </si>
  <si>
    <t>lastname</t>
  </si>
  <si>
    <t>firstname</t>
  </si>
  <si>
    <t>middlename</t>
  </si>
  <si>
    <t>prof</t>
  </si>
  <si>
    <t>extracted/actual</t>
  </si>
  <si>
    <t>positive</t>
  </si>
  <si>
    <t>negative</t>
  </si>
  <si>
    <t>myb1734</t>
  </si>
  <si>
    <t>AUSTRIAN OZOKERIT COMPANY</t>
  </si>
  <si>
    <t>NA</t>
  </si>
  <si>
    <t>kensington</t>
  </si>
  <si>
    <t>C. J. Elers, 6 Kensington Court</t>
  </si>
  <si>
    <t>t</t>
  </si>
  <si>
    <t>f</t>
  </si>
  <si>
    <t>myb6799</t>
  </si>
  <si>
    <t>COMPANY LIMITED</t>
  </si>
  <si>
    <t>mysore</t>
  </si>
  <si>
    <t>over by the Mysore- Wynaad Consolidated Gold Mining Company, Limited.</t>
  </si>
  <si>
    <t>b</t>
  </si>
  <si>
    <t>myb13850</t>
  </si>
  <si>
    <t>MOUNT TAOAHONG EXPLOBATION</t>
  </si>
  <si>
    <t>london</t>
  </si>
  <si>
    <t>The dividend for 1685 was 5 per cent., and for 1886, 6 per cent. The</t>
  </si>
  <si>
    <t>myb14328</t>
  </si>
  <si>
    <t>MORFA DU MINING COMPANY</t>
  </si>
  <si>
    <t>limited.</t>
  </si>
  <si>
    <t>code</t>
  </si>
  <si>
    <t>myb17600</t>
  </si>
  <si>
    <t>OPAL MINES OF QUEENSLAND LIMITED</t>
  </si>
  <si>
    <t>queensland</t>
  </si>
  <si>
    <t>shares, of which 15,000 were taken by the vendor in addition to £27,500 in cash</t>
  </si>
  <si>
    <t>myb19077</t>
  </si>
  <si>
    <t>POLYEAR TIN MINING COMPANY LIMITED</t>
  </si>
  <si>
    <t>cornwall</t>
  </si>
  <si>
    <t>The capital is £10,000 in shares of £1 each.</t>
  </si>
  <si>
    <t>myb19678</t>
  </si>
  <si>
    <t>RAVENSCLIFF MINING COMPANY LIMITED</t>
  </si>
  <si>
    <t>new zealand</t>
  </si>
  <si>
    <t>necessary capital, to comply with the terms of the Act in this respect within a reasonable</t>
  </si>
  <si>
    <t>myb20945</t>
  </si>
  <si>
    <t>broad street london</t>
  </si>
  <si>
    <t>winchester</t>
  </si>
  <si>
    <t>1, Winchester House, Old Broad Street, E.C.</t>
  </si>
  <si>
    <t>myb21637</t>
  </si>
  <si>
    <t>PLUMAS EUREKA MINE</t>
  </si>
  <si>
    <t>plumas</t>
  </si>
  <si>
    <t>Seventy-Six Mine, 6,003 tons; Seventy-Six Ravine Mine, 8,160 tons; Elizal eth Mine, 20;</t>
  </si>
  <si>
    <t>types of mistakes on true positives</t>
  </si>
  <si>
    <t>myb23491</t>
  </si>
  <si>
    <t>TINDENE MINING COMPANY LIMITED</t>
  </si>
  <si>
    <t>aldersgate street merchant</t>
  </si>
  <si>
    <t>.1. M Call, Whipps Cross, Walthamstow, provision merchant 800</t>
  </si>
  <si>
    <t>no mistake</t>
  </si>
  <si>
    <t>myb27537</t>
  </si>
  <si>
    <t>BELL STONE SLATE QUARRIES COMPANY</t>
  </si>
  <si>
    <t>broadway</t>
  </si>
  <si>
    <t>1886 £4,329.</t>
  </si>
  <si>
    <t>source to text (OCR misreads the text, extra spaces, wrong characters, etc.)</t>
  </si>
  <si>
    <t>a</t>
  </si>
  <si>
    <t>myb31676</t>
  </si>
  <si>
    <t>DAN O CONNELL GOLD MINING COMPANY</t>
  </si>
  <si>
    <t>comprising togother an area of about 50 acres, both held under the usual</t>
  </si>
  <si>
    <t>text to classification</t>
  </si>
  <si>
    <t>myb32402</t>
  </si>
  <si>
    <t>DISRAELI MINE SYNDICATE COMPANY LIMITED</t>
  </si>
  <si>
    <t>broad street b</t>
  </si>
  <si>
    <t>This company was registered on the 10th February, 1885, to acquire and work a</t>
  </si>
  <si>
    <t>myb37847</t>
  </si>
  <si>
    <t>LINARES LEAD MINING COMPANY LIMITED</t>
  </si>
  <si>
    <t>linares</t>
  </si>
  <si>
    <t>1875 . 15s. Od.</t>
  </si>
  <si>
    <t>Progress indicator</t>
  </si>
  <si>
    <t>myb42349</t>
  </si>
  <si>
    <t>DIRECTORS</t>
  </si>
  <si>
    <t>experienced, which have much delayed progress, but your directors are pleased to report that</t>
  </si>
  <si>
    <t>myb43124</t>
  </si>
  <si>
    <t>NORTH KENNEDY COMPANY LIMITED</t>
  </si>
  <si>
    <t>wales</t>
  </si>
  <si>
    <t>extraction. The directors hero particularly refer to the discovery made iu the Fort una level ; which, according to the last advices received, is already sending to the crusher mineral of the</t>
  </si>
  <si>
    <t>myb45795</t>
  </si>
  <si>
    <t>REMEDIOS COLOMBIA UNITED GOLD MINES</t>
  </si>
  <si>
    <t>bolivia</t>
  </si>
  <si>
    <t>amount of £4,400 were also issued in exchange for the debentures of the old</t>
  </si>
  <si>
    <t>myb47091</t>
  </si>
  <si>
    <t>franklin</t>
  </si>
  <si>
    <t>COMPANY, LIMITED.</t>
  </si>
  <si>
    <t>myb50222</t>
  </si>
  <si>
    <t>UNITED MAY LUNDY GOLD COMPANY LIMITED</t>
  </si>
  <si>
    <t>colorado</t>
  </si>
  <si>
    <t>The authorised capital is £150,000, in fully-paid shares of £1 each. Tho</t>
  </si>
  <si>
    <t>myb51339</t>
  </si>
  <si>
    <t>WEST ARGENTINE GOLD COMPANY LIMITED</t>
  </si>
  <si>
    <t>£9o 13s. 5d. per ton, £0,709 9s. ; discounts from merchants, £18 4s. 10d., which with the Inlance</t>
  </si>
  <si>
    <t>myb54857</t>
  </si>
  <si>
    <t>HOMESTEAD KOMATI GOLDFIELDS OF SOUTH</t>
  </si>
  <si>
    <t>sierra</t>
  </si>
  <si>
    <t>gold</t>
  </si>
  <si>
    <t>homestead</t>
  </si>
  <si>
    <t>komati</t>
  </si>
  <si>
    <t>board</t>
  </si>
  <si>
    <t>myb59106</t>
  </si>
  <si>
    <t>ANGLO ASIATIC SYNDICATE LIMITED</t>
  </si>
  <si>
    <t>mexico</t>
  </si>
  <si>
    <t>The bullion produced during the year 18 7 realised £105,687 18s. 8 1., and for the first nine</t>
  </si>
  <si>
    <t>myb62668</t>
  </si>
  <si>
    <t>CLONCURRY COPPER AND SMELTING COMPANY</t>
  </si>
  <si>
    <t>glasgow</t>
  </si>
  <si>
    <t>CLONCURRY COPPER AND SMELTHTG.</t>
  </si>
  <si>
    <t>myb69619</t>
  </si>
  <si>
    <t>AND PUBLIC WORKS SYNDICATE LIMITED</t>
  </si>
  <si>
    <t>brazil</t>
  </si>
  <si>
    <t>exploring mining properties, Ac., in Brazil and elsewhere.</t>
  </si>
  <si>
    <t>myb75402</t>
  </si>
  <si>
    <t>QUEEN CHARLOTTE SOUND GOLD MINE LIMITED</t>
  </si>
  <si>
    <t>and this sample, not picked in any way and without any visible signs of gold, yielded, on assay</t>
  </si>
  <si>
    <t>myb75700</t>
  </si>
  <si>
    <t>REPUBLICAN MOUNTAIN SILVER MINES LIMITED</t>
  </si>
  <si>
    <t>georgetown</t>
  </si>
  <si>
    <t>vendor in fall payment for the property, and are not entitled to any dividend</t>
  </si>
  <si>
    <t>myb85575</t>
  </si>
  <si>
    <t>KANYA EXPLORATION COMPANY LIMITED</t>
  </si>
  <si>
    <t>s of territories</t>
  </si>
  <si>
    <t>covered by the grant ; and prospecting work, conducted under the supervision of Mr. A. 8.</t>
  </si>
  <si>
    <t>a/b</t>
  </si>
  <si>
    <t>myb87517</t>
  </si>
  <si>
    <t>MORGENZON GOLD MINING COMPANY LIMITED</t>
  </si>
  <si>
    <t>johannesburg</t>
  </si>
  <si>
    <t>No. 73, granted by the Government of the South African Republic for 15 years,</t>
  </si>
  <si>
    <t>myb88079</t>
  </si>
  <si>
    <t>NIGEL GOLD MINING COMPANY LIMITED</t>
  </si>
  <si>
    <t>heidelberg</t>
  </si>
  <si>
    <t>THIS company was formed in July, 1888, for the purpose of acquiring a mining</t>
  </si>
  <si>
    <t>myb90530</t>
  </si>
  <si>
    <t>MINING AND EXPLORATION CO LTD</t>
  </si>
  <si>
    <t>australia</t>
  </si>
  <si>
    <t>and £32,132 5s. paid up ; the 100 founders shares and 20,000 ordinary shares</t>
  </si>
  <si>
    <t>myb93188</t>
  </si>
  <si>
    <t>ZAMBESI CONCESSIONS COMPANY LIMITED</t>
  </si>
  <si>
    <t>Directors.</t>
  </si>
  <si>
    <t>myb95061</t>
  </si>
  <si>
    <t>BAHANCANNE COPFEH</t>
  </si>
  <si>
    <t>is common and the fee 2s. 6d. per deed.</t>
  </si>
  <si>
    <t>myb97309</t>
  </si>
  <si>
    <t>CENTRAL ARGENTINE GOLD FIELDS LIMITED</t>
  </si>
  <si>
    <t>florence</t>
  </si>
  <si>
    <t>Sarawak Coal Concession acquired in April, 1889 , which gives the right to mine for cos ,</t>
  </si>
  <si>
    <t>myb97977</t>
  </si>
  <si>
    <t>UNION CORPORATION LTD</t>
  </si>
  <si>
    <t>somerset</t>
  </si>
  <si>
    <t>the proportion which the amount of capital subscribed bears to the nominal</t>
  </si>
  <si>
    <t>myb100462</t>
  </si>
  <si>
    <t>ENGLISH CROWN SPELTER COMPANY LIMITED</t>
  </si>
  <si>
    <t>swansea</t>
  </si>
  <si>
    <t>creation of 16,000 new shares of £1 each, and the £4 shares were sub-divided</t>
  </si>
  <si>
    <t>myb103335</t>
  </si>
  <si>
    <t>ISLE OF MAN MINING COMPANY LIMITED</t>
  </si>
  <si>
    <t>Beckwith e shaft has been sunk 17 fathoms, or deep enough for another level below the</t>
  </si>
  <si>
    <t>myb107969</t>
  </si>
  <si>
    <t>NEW MINERA MININ G</t>
  </si>
  <si>
    <t>lima</t>
  </si>
  <si>
    <t>25th August and 9th September, 1890, to wind up the oompany voluntarily and</t>
  </si>
  <si>
    <t>myb119202</t>
  </si>
  <si>
    <t>SYNDICATE LIMITED</t>
  </si>
  <si>
    <t>myb123322</t>
  </si>
  <si>
    <t>NORTH AFRICAN EXPLORATION SYNDICATE</t>
  </si>
  <si>
    <t>transvaal</t>
  </si>
  <si>
    <t>Offloes.</t>
  </si>
  <si>
    <t>myb124568</t>
  </si>
  <si>
    <t>SHEBA GOLD MINING COMPANY LIMITED</t>
  </si>
  <si>
    <t>the 31st March, 1838. The accounts to the 30th September, 1839, showed a profit or the twelve</t>
  </si>
  <si>
    <t>myb127174</t>
  </si>
  <si>
    <t>WEST AFRICAN CONCESSIONS SYNDICATE</t>
  </si>
  <si>
    <t>western</t>
  </si>
  <si>
    <t>Government.</t>
  </si>
  <si>
    <t>myb129379</t>
  </si>
  <si>
    <t>AVALA QUICKSILVER MINES LIMITED</t>
  </si>
  <si>
    <t>In 1890 Mr. Weifert one of the Servian directors , who was one of the vendors, agreed to find a sufficient sum of money to carry the works to a greater</t>
  </si>
  <si>
    <t>myb133288</t>
  </si>
  <si>
    <t>DON PEDRO GOLD MINING COMPANY LIMITED</t>
  </si>
  <si>
    <t>england</t>
  </si>
  <si>
    <t>of mining account of £12,541 9s., making a total debit of £66,346 15s 4d.</t>
  </si>
  <si>
    <t>myb138263</t>
  </si>
  <si>
    <t>MESQUITAL DEL ORO MINING COMPANY</t>
  </si>
  <si>
    <t>zacatecas</t>
  </si>
  <si>
    <t>Zacatecas, Republic of Mexico, and in 1886 the company purchased the adjoining</t>
  </si>
  <si>
    <t>myb146526</t>
  </si>
  <si>
    <t>:ne whole business.</t>
  </si>
  <si>
    <t>myb154294</t>
  </si>
  <si>
    <t>LONDON AND FOREIGN CONTRACT CORPORATION</t>
  </si>
  <si>
    <t>This syndicate was registered on the 16th January, 1888, to acquire concessions,</t>
  </si>
  <si>
    <t>registered</t>
  </si>
  <si>
    <t>this</t>
  </si>
  <si>
    <t>syndicate</t>
  </si>
  <si>
    <t>myb155873</t>
  </si>
  <si>
    <t>NEW MYNPACHT GOLD MINING COMPANY</t>
  </si>
  <si>
    <t>Potchefstroom District, Transvaal, formerly the property of the Mynpacht Lui-</t>
  </si>
  <si>
    <t>myb160413</t>
  </si>
  <si>
    <t>ACHILLES GOLDFIELDS LIMITED</t>
  </si>
  <si>
    <t>F. M. Eden, Chairman.</t>
  </si>
  <si>
    <t>eddy</t>
  </si>
  <si>
    <t>frederick</t>
  </si>
  <si>
    <t>morton</t>
  </si>
  <si>
    <t>chair</t>
  </si>
  <si>
    <t>myb160514</t>
  </si>
  <si>
    <t>ALADDIN S LAMP GOLD MINING COMPANY LIMITED</t>
  </si>
  <si>
    <t>Proprietary Company for 20 years from the 1st March, 1892, subject to a royalty</t>
  </si>
  <si>
    <t>myb162808</t>
  </si>
  <si>
    <t>BLINMAN MINING COMPANY LIMITED</t>
  </si>
  <si>
    <t>21st December, 1885, to acquire from Henry Keudrick, as liquidator of the Cor</t>
  </si>
  <si>
    <t>myb171939</t>
  </si>
  <si>
    <t>NEW MOUNT ALBION SILVER</t>
  </si>
  <si>
    <t>pachuca</t>
  </si>
  <si>
    <t>working the silver-mining grants known as San Miguel del Tajo, La Union, and</t>
  </si>
  <si>
    <t>myb173419</t>
  </si>
  <si>
    <t>OURAY GOLD MINING COMPANY LIMITED</t>
  </si>
  <si>
    <t>united states</t>
  </si>
  <si>
    <t>have been suspended, and the company is practicajly defunct.</t>
  </si>
  <si>
    <t>myb177208</t>
  </si>
  <si>
    <t>SPANISH COPPER CQMEANY LIMITED</t>
  </si>
  <si>
    <t>M. Mnmford. 2, Tokenhouse Buildings, E.C.</t>
  </si>
  <si>
    <t>myb179154</t>
  </si>
  <si>
    <t>WESTWOETH GOLD FIELDS</t>
  </si>
  <si>
    <t>as either to be paid off by the vendors or a corresponding reduction made in the</t>
  </si>
  <si>
    <t>myb180450</t>
  </si>
  <si>
    <t>BANTJES REEF GOLD MINING COMPANY</t>
  </si>
  <si>
    <t>The authorised capital is £95,000, in 95,000 shares of £1 each, of which 83,000</t>
  </si>
  <si>
    <t>myb180875</t>
  </si>
  <si>
    <t>BBITISH SOUTH AFRICA</t>
  </si>
  <si>
    <t>oaxaca</t>
  </si>
  <si>
    <t>including the region to the north and west of the Bechuanaland Protectorate,</t>
  </si>
  <si>
    <t>myb192007</t>
  </si>
  <si>
    <t>BAYLEY S WEST EXTENDED LIMITED</t>
  </si>
  <si>
    <t>hopewell</t>
  </si>
  <si>
    <t>October, 1801, as to the joint management and use of plant.</t>
  </si>
  <si>
    <t>myb194632</t>
  </si>
  <si>
    <t>CENTRAL COLLIERIES LIMITED</t>
  </si>
  <si>
    <t>marshall</t>
  </si>
  <si>
    <t>are not obtainable. Transfer form, common ; fee, 2s. 6d. per deed.</t>
  </si>
  <si>
    <t>myb195436</t>
  </si>
  <si>
    <t>COHTEZ MINES</t>
  </si>
  <si>
    <t>with the balance from September, 1891, made £15,398 10s. 9d. available for</t>
  </si>
  <si>
    <t>myb195639</t>
  </si>
  <si>
    <t>CRACKER CREEK GOLD MINES COMPANY LIMITED</t>
  </si>
  <si>
    <t>oregon</t>
  </si>
  <si>
    <t>CRACKER CREEK GOLD MINES COMPANY, LIMITED.</t>
  </si>
  <si>
    <t>myb195811</t>
  </si>
  <si>
    <t>CUE GOLDFIELD OF WESTERN AUSTRALIA</t>
  </si>
  <si>
    <t>Australian Government are for periods of 21 years, renewable in perpetuity, at a</t>
  </si>
  <si>
    <t>myb198587</t>
  </si>
  <si>
    <t>GOLDEN FEATHER LIMITED</t>
  </si>
  <si>
    <t>Agents in America. Bankers. Solicitors.</t>
  </si>
  <si>
    <t>myb206195</t>
  </si>
  <si>
    <t>france</t>
  </si>
  <si>
    <t>1878 9</t>
  </si>
  <si>
    <t>myb206913</t>
  </si>
  <si>
    <t>Charles Henry Turner, Kelson, N.Z.</t>
  </si>
  <si>
    <t>myb213759</t>
  </si>
  <si>
    <t>TPHEEGAT COAL</t>
  </si>
  <si>
    <t>dalton</t>
  </si>
  <si>
    <t>s Denny-Dalton Syndicate, Limited, about 1,300 acres of land, forming a</t>
  </si>
  <si>
    <t>myb215149</t>
  </si>
  <si>
    <t>GOLD FIELDS OF MASHONALAND LIMITED</t>
  </si>
  <si>
    <t>is company was registered on the 21st February, 1893, for the purpose of</t>
  </si>
  <si>
    <t>myb216558</t>
  </si>
  <si>
    <t>KOBOLONDO DEVELOPMENT SYNDICATE LTD</t>
  </si>
  <si>
    <t>1893, showed expenditure to date, £2,008 7s. ; cash balances, £356 7s. Id.</t>
  </si>
  <si>
    <t>myb222618</t>
  </si>
  <si>
    <t>MINE LIMITED</t>
  </si>
  <si>
    <t>All work has remained suspended and the mine shut down since April, 1892. The</t>
  </si>
  <si>
    <t>myb224504</t>
  </si>
  <si>
    <t>VILLAGE MAIN REEF GOLD MINING CO LTD</t>
  </si>
  <si>
    <t>west for 37,000 fully-paid shares.</t>
  </si>
  <si>
    <t>myb225024</t>
  </si>
  <si>
    <t>WOLHUTER GOLD MINING COMPANY LIMITED</t>
  </si>
  <si>
    <t>Mink. The large amount of development work done during the pa t year have greatlv</t>
  </si>
  <si>
    <t>myb225838</t>
  </si>
  <si>
    <t>MINING DIRECTORS</t>
  </si>
  <si>
    <t>victoria road old cliarlton</t>
  </si>
  <si>
    <t>Barwell, Major-General William Harwell, 33, Victoria Road, Old Cliarlton, 8.E., is a director</t>
  </si>
  <si>
    <t>myb228991</t>
  </si>
  <si>
    <t>754 THM .</t>
  </si>
  <si>
    <t>colombia</t>
  </si>
  <si>
    <t>Randt Coal Mining and Land Company, Limited.</t>
  </si>
  <si>
    <t>myb231370</t>
  </si>
  <si>
    <t>AFRICAN GOLD RECOVERY COMPANY LIMITED</t>
  </si>
  <si>
    <t>placed to reserve, and the balance of £913 13s. 41. was carried forward. Thi</t>
  </si>
  <si>
    <t>myb234853</t>
  </si>
  <si>
    <t>myb235048</t>
  </si>
  <si>
    <t>DUTOITSPAN MINE LIMITED</t>
  </si>
  <si>
    <t>payable, the Griqnaland Company has the right to re-enter and take possession</t>
  </si>
  <si>
    <t>myb236115</t>
  </si>
  <si>
    <t>great namaqualand</t>
  </si>
  <si>
    <t>interest. Transfer form, common ; fee, 2s. 6d. per deed.</t>
  </si>
  <si>
    <t>myb251549</t>
  </si>
  <si>
    <t>ANGLO ALASKAN SYNDICATE LIMITED</t>
  </si>
  <si>
    <t>THIS syndicate was registered on the 11th March, 1809, and is a reconstruction</t>
  </si>
  <si>
    <t>myb252170</t>
  </si>
  <si>
    <t>ARIZONA COPPER COMPANY LIMITED</t>
  </si>
  <si>
    <t>shares £131,625 have been issued and are now converted into fully-paid</t>
  </si>
  <si>
    <t>myb252386</t>
  </si>
  <si>
    <t>ATLIN LAKE COMPANY LIMITED</t>
  </si>
  <si>
    <t>prescott</t>
  </si>
  <si>
    <t>Directors Qualification, £100 .</t>
  </si>
  <si>
    <t>myb253695</t>
  </si>
  <si>
    <t>BLAINSCOUGH CVOLLIERY COMPANY LIMITED</t>
  </si>
  <si>
    <t>darlington</t>
  </si>
  <si>
    <t>The accounts are made up half-yearly to the 30th June and 81st December,</t>
  </si>
  <si>
    <t>myb258586</t>
  </si>
  <si>
    <t>EDINBURGH COLLIERIES CO LTD</t>
  </si>
  <si>
    <t>Robert Thomas Moore, M.E. I Alexander H. Nasmyth. l Adam Nimrnc.</t>
  </si>
  <si>
    <t>moore</t>
  </si>
  <si>
    <t>robert</t>
  </si>
  <si>
    <t>thomas</t>
  </si>
  <si>
    <t>nash</t>
  </si>
  <si>
    <t>alexander</t>
  </si>
  <si>
    <t>myb260430</t>
  </si>
  <si>
    <t>GLENAVON RHONDDA COLLIERIES COMPANYI</t>
  </si>
  <si>
    <t>6,105 preference and 15.000 ordinary being issued credited as paid. There are</t>
  </si>
  <si>
    <t>myb261902</t>
  </si>
  <si>
    <t>HUTTI NIZAM S GOLD MINES LTD</t>
  </si>
  <si>
    <t>cannon street ec</t>
  </si>
  <si>
    <t>Bankers N ational Bank of India, Limited.</t>
  </si>
  <si>
    <t>myb271839</t>
  </si>
  <si>
    <t>SHELTON IRON STEEL AND COAL CO LTD</t>
  </si>
  <si>
    <t>april</t>
  </si>
  <si>
    <t>and 21,966 ordinary shares have been issued and are fully paid. The preference</t>
  </si>
  <si>
    <t>myb272594</t>
  </si>
  <si>
    <t>SYHELAIEIMITED</t>
  </si>
  <si>
    <t>united kingdom</t>
  </si>
  <si>
    <t>shire, or elsewhere in the United Kingdom.</t>
  </si>
  <si>
    <t>myb275015</t>
  </si>
  <si>
    <t>WELCOME HILL MOEL Y GROESAU MINES</t>
  </si>
  <si>
    <t>Festiniog, 1,072 acres in extent, with an option over an adjoining block</t>
  </si>
  <si>
    <t>myb279132</t>
  </si>
  <si>
    <t>GREAT BOULDER NO LTD</t>
  </si>
  <si>
    <t>kalgoorlie</t>
  </si>
  <si>
    <t>per ton. Estimated ore reserves at December 31st, 1906 : 383,410 tons, assay</t>
  </si>
  <si>
    <t>myb281049</t>
  </si>
  <si>
    <t>MINING AND GUARANTEE COMPANY LIMITED</t>
  </si>
  <si>
    <t>The authorised capital is £130,000, in 130,000 shares of £1 each ; 65,005 shares</t>
  </si>
  <si>
    <t>myb284283</t>
  </si>
  <si>
    <t>VICTORIAN CORNISH GOLD MINES LIMITED</t>
  </si>
  <si>
    <t>all the shares</t>
  </si>
  <si>
    <t>myb286531</t>
  </si>
  <si>
    <t>APEX MINES LTD</t>
  </si>
  <si>
    <t>in July, 1895, 25,000 shares being issued to shareholders at 35s. each and 31,500</t>
  </si>
  <si>
    <t>myb288485</t>
  </si>
  <si>
    <t>C ASSI NGA CONCESSIONS LI MITE D</t>
  </si>
  <si>
    <t>about square miles in the</t>
  </si>
  <si>
    <t>canada</t>
  </si>
  <si>
    <t>rights over a dirtriot of about 11,000 square miles in the territories of the</t>
  </si>
  <si>
    <t>myb300828</t>
  </si>
  <si>
    <t>FIGG S PEAK DEVELOPMENT</t>
  </si>
  <si>
    <t>eight shares of the former company, further capital being raised by an issue of</t>
  </si>
  <si>
    <t>myb304160</t>
  </si>
  <si>
    <t>SOUTH AFKICAN COMPANY</t>
  </si>
  <si>
    <t>The accounts for year ended December 31st, 1905, submitted in Johannes</t>
  </si>
  <si>
    <t>myb310176</t>
  </si>
  <si>
    <t>ATLANTIC FINANCE CORPORATION</t>
  </si>
  <si>
    <t>british columbia</t>
  </si>
  <si>
    <t>are issued and fully paid. No prospectus was issued ; £7,500 working capital</t>
  </si>
  <si>
    <t>myb311920</t>
  </si>
  <si>
    <t>BRITISH AND ARGENTINE CORPORATION LIMITED</t>
  </si>
  <si>
    <t>BRITISH MOLYBDENITE Cbl ANY. LIMITED;</t>
  </si>
  <si>
    <t>myb312077</t>
  </si>
  <si>
    <t>BROOKE S A NT H RACITE SYNDI CATE LIMITED</t>
  </si>
  <si>
    <t>newcastle</t>
  </si>
  <si>
    <t>175,000. Transfer form, common ; fee, 2s. 6d.</t>
  </si>
  <si>
    <t>myb315363</t>
  </si>
  <si>
    <t>DEMERARA EXPLORATION COMPANY LIMITED</t>
  </si>
  <si>
    <t>buckingham</t>
  </si>
  <si>
    <t>issued and fully paid. No accounts received. Transfer form, common ; fee, 2 . 6d. denaby a nd ca7d£ by m ain co lQe rTe s, ltd. Directors Qualification, lourdinary shares £1,000 . J. Buckingham Pope, Chairman | John C. Cuninghame. | Capt. M. E. W. Pope.</t>
  </si>
  <si>
    <t>cundv</t>
  </si>
  <si>
    <t>john</t>
  </si>
  <si>
    <t>charles</t>
  </si>
  <si>
    <t>demond</t>
  </si>
  <si>
    <t>fee</t>
  </si>
  <si>
    <t>paid</t>
  </si>
  <si>
    <t>issued</t>
  </si>
  <si>
    <t>and</t>
  </si>
  <si>
    <t>popcke</t>
  </si>
  <si>
    <t>m</t>
  </si>
  <si>
    <t>e</t>
  </si>
  <si>
    <t>myb318578</t>
  </si>
  <si>
    <t>HARTON COAL COMPANY LIMITED</t>
  </si>
  <si>
    <t>durham</t>
  </si>
  <si>
    <t>Quarries, Marsden Estates, the South Shields, Marsden and Whitburn Colliery</t>
  </si>
  <si>
    <t>myb334502</t>
  </si>
  <si>
    <t>EASTERN FREEHOLDS GLADSTONE LIMITED</t>
  </si>
  <si>
    <t>The authorised capital is £4,000, in SO shares of £60 each ; all the shares</t>
  </si>
  <si>
    <t>myb336245</t>
  </si>
  <si>
    <t>LAKE JUKES COPPER COMPANY NO LIABILITY</t>
  </si>
  <si>
    <t>Auditors Ford, Rhodes &amp; Ford.</t>
  </si>
  <si>
    <t>myb337929</t>
  </si>
  <si>
    <t>NEW DAY DAWN AND NORFOLK MINES LTD</t>
  </si>
  <si>
    <t>Cjlonial SoSleiccirteotra ryCecil Adler. | Bankers Williams Deacon s Bank. and Offices F. H. Clark, Steamship Buildings, Currio Street,</t>
  </si>
  <si>
    <t>myb338329</t>
  </si>
  <si>
    <t>NORTH BROKEN HILL MININO</t>
  </si>
  <si>
    <t>NORTH KALGURLI COMPANY. LIMITED. Directors Qualification, one share .</t>
  </si>
  <si>
    <t>myb343500</t>
  </si>
  <si>
    <t>BANTJES CONSOLIDATED</t>
  </si>
  <si>
    <t>rhodesia</t>
  </si>
  <si>
    <t>inns was guaranteed at par by the New Rhodesia District Development Co., Ltd.</t>
  </si>
  <si>
    <t>myb344013</t>
  </si>
  <si>
    <t>BOOYSENS ESTATE LIMITED</t>
  </si>
  <si>
    <t>Secretaries and Offices Consolidated Gold Fields of South Africa, Limited, Gold Field</t>
  </si>
  <si>
    <t>myb345463</t>
  </si>
  <si>
    <t>CITY AND SUBUREAN GOLD MINING AND ESTATE COMPANY LIMITED</t>
  </si>
  <si>
    <t>inoluding deep levels. The northern portion of the estate adjoining Johannes</t>
  </si>
  <si>
    <t>myb345938</t>
  </si>
  <si>
    <t>CONSOLIDATED AFRICAN COPPER TRUST LIMITED</t>
  </si>
  <si>
    <t>Consolidated Exploration and Develop</t>
  </si>
  <si>
    <t>myb349300</t>
  </si>
  <si>
    <t>FRENCH AYRSHIRE AND LO MAGONDI DISTRICT D E VE LOPM E NT COMPANY LIMITED</t>
  </si>
  <si>
    <t>The reef series has been opened up from new deep level shafts, and a new</t>
  </si>
  <si>
    <t>myb351852</t>
  </si>
  <si>
    <t>JUPITEK GOLD</t>
  </si>
  <si>
    <t>£40,679. Freminm or reserve shares issned £612,500. The next accounts to be</t>
  </si>
  <si>
    <t>myb354125</t>
  </si>
  <si>
    <t>MAY CONSOLIDATED GOLD MINING COMPANY</t>
  </si>
  <si>
    <t>at par for 12 months. This option was exercised, and in June, 1895, the remain</t>
  </si>
  <si>
    <t>myb356356</t>
  </si>
  <si>
    <t>NEW MODDERFONTEIN GOLD</t>
  </si>
  <si>
    <t>aurora</t>
  </si>
  <si>
    <t>A 60-stamp mill was started in 1893 and Btopped in 1894; crushing was</t>
  </si>
  <si>
    <t>myb360129</t>
  </si>
  <si>
    <t>SIMMER AND JACK EAST LIMITED</t>
  </si>
  <si>
    <t>Witwatersrand, the northern boundary being about 4,000 feet south from the</t>
  </si>
  <si>
    <t>myb361990</t>
  </si>
  <si>
    <t>TRANSVAAL CONSOLIDATED LAND</t>
  </si>
  <si>
    <t>1906 : highest, 2J j lowest, 1 ; 1907 : highest 8J ; lowest, 1 i 1908 : highest,</t>
  </si>
  <si>
    <t>myb362129</t>
  </si>
  <si>
    <t>London Direetore. Sir Bartle C. A. Frere, Bart., D.S.O. | Nicol Brown, alternate M. T. Brown. | C. Pakeman.</t>
  </si>
  <si>
    <t>bartholomew</t>
  </si>
  <si>
    <t>direetore</t>
  </si>
  <si>
    <t>brown</t>
  </si>
  <si>
    <t>nicol</t>
  </si>
  <si>
    <t>painter</t>
  </si>
  <si>
    <t>myb362541</t>
  </si>
  <si>
    <t>TWEEFONTEIN COLLIERY LTD</t>
  </si>
  <si>
    <t>showed £7,758 profit for year, making credit balance £10,487 ; the dividend</t>
  </si>
  <si>
    <t>myb365922</t>
  </si>
  <si>
    <t>KWEI CHAU PROVINCE OF CHINA LIMITED</t>
  </si>
  <si>
    <t>quicksilver and 18,554 lbs. cinnabar ; work mnch hindered by antagonistic</t>
  </si>
  <si>
    <t>myb371417</t>
  </si>
  <si>
    <t>DERRY AND ANTRIM ORE COMPANY LIMITED</t>
  </si>
  <si>
    <t>ireland</t>
  </si>
  <si>
    <t>20,178 acres in the Downhill, 328 acres in the Draperstown, and 1,800 acres the Dungiven districts, in the Counties of Antrim and Derry, North Ireland, machinery, plant and about 40,000 tons of oxide ore at grass. The property</t>
  </si>
  <si>
    <t>myb374644</t>
  </si>
  <si>
    <t>HEATH S DEE COLLIERIES LIMITED</t>
  </si>
  <si>
    <t>hedley</t>
  </si>
  <si>
    <t>28th, 1908, it was resolved to wind up voluntarily ; liquidator, H. E. Williams,</t>
  </si>
  <si>
    <t>myb374691</t>
  </si>
  <si>
    <t>HTCKLETON MAIN COLLIERY COMPANY LI MITE D</t>
  </si>
  <si>
    <t>Telegrams : Axiopolis, London. Phone : 3189 Wall.</t>
  </si>
  <si>
    <t>myb376102</t>
  </si>
  <si>
    <t>KESHAN COLLIERIES LIMITED</t>
  </si>
  <si>
    <t>I Auditors Henry John Burgess 4 Co.</t>
  </si>
  <si>
    <t>myb376808</t>
  </si>
  <si>
    <t>LE ROI MINING COMPANY LIMITED</t>
  </si>
  <si>
    <t>Dividends paid : 5s. per Bhare November 7th, 1899; Is. 6d. February 28tb,</t>
  </si>
  <si>
    <t>myb378422</t>
  </si>
  <si>
    <t>MIDLAND COAL COKE AND IBON</t>
  </si>
  <si>
    <t>staffordshire</t>
  </si>
  <si>
    <t>exchange for fully-paid shares of the old company and 12s. 6d. called up,</t>
  </si>
  <si>
    <t>myb382352</t>
  </si>
  <si>
    <t>PEKIN SYNDICATE LIMITED</t>
  </si>
  <si>
    <t>which period the company is to work the railway on behalf of the Government</t>
  </si>
  <si>
    <t>myb386382</t>
  </si>
  <si>
    <t>TOMBOY GOLD MINES CO LTD</t>
  </si>
  <si>
    <t>durango</t>
  </si>
  <si>
    <t>350,000 ordinary shares of £1 each ; all the preference and 300,000 ordinary</t>
  </si>
  <si>
    <t>myb388082</t>
  </si>
  <si>
    <t>WEST CANADIAN ALLUVIALS LIMITED</t>
  </si>
  <si>
    <t>WEST SILKSTONE COLLIERY COMPANY, LIMITED. Directors Qualification, 100 shares S. W. Wells ; T. L. Wells ; A. Mitchell. Secretary and Offices A. Mitchel , Silkstone Common, Silkstone, near Biirnslcy.</t>
  </si>
  <si>
    <t>myb390776</t>
  </si>
  <si>
    <t>CROYDON CONSOLS LIMITED</t>
  </si>
  <si>
    <t>CROY DON CONSOLS, LIMITED.</t>
  </si>
  <si>
    <t>myb392790</t>
  </si>
  <si>
    <t>COMPANY Q LIMITED</t>
  </si>
  <si>
    <t>W. F. Turner, Chairman. | K. Davis. I Carl Gopner, | Jobann Senear.</t>
  </si>
  <si>
    <t>davis</t>
  </si>
  <si>
    <t>kilmund</t>
  </si>
  <si>
    <t>goodwin</t>
  </si>
  <si>
    <t>carl</t>
  </si>
  <si>
    <t>selvey</t>
  </si>
  <si>
    <t>jobann</t>
  </si>
  <si>
    <t>turner</t>
  </si>
  <si>
    <t>walton</t>
  </si>
  <si>
    <t>myb394089</t>
  </si>
  <si>
    <t>NEW ZEALAND CROWN MINES COMPANY LTD</t>
  </si>
  <si>
    <t>valley</t>
  </si>
  <si>
    <t>and promoters, the Urey Valley Coal Synd., Ltd., wag £100,000, in 6,000 fallypaid</t>
  </si>
  <si>
    <t>myb396448</t>
  </si>
  <si>
    <t>WESTPORT COAL COMPANY LIMITED</t>
  </si>
  <si>
    <t>bourne</t>
  </si>
  <si>
    <t>XDi l cctoi s</t>
  </si>
  <si>
    <t>myb397074</t>
  </si>
  <si>
    <t>AFRICAN AND GENERAL EXPLORING COMPANY</t>
  </si>
  <si>
    <t>River Colony, Rhodesia and Cape Colony also mineral rights over 41,289 acres;</t>
  </si>
  <si>
    <t>myb399078</t>
  </si>
  <si>
    <t>BRAKPAN MINES LIMITED</t>
  </si>
  <si>
    <t>Telegrams : Braking, Johannesburg. Paris Agency Oompagnie Francaise do Mines d Or et de 1 Afrique dn Snd, 20, Rue Taitbout. London Secretary and Offices J. H. JefferyB, F.C.I.S., B, London Wall Buildings, E.C.</t>
  </si>
  <si>
    <t>myb402659</t>
  </si>
  <si>
    <t>EASTERN BANKET RHODESIA LIMITED</t>
  </si>
  <si>
    <t>shares are issued, 75,Ou0 credited as fully paid and 50,000 10s. lid. paid ; the last</t>
  </si>
  <si>
    <t>myb404318</t>
  </si>
  <si>
    <t>GLOBE AND PHOENIX GOLD MINING CO LTD</t>
  </si>
  <si>
    <t>phoenix</t>
  </si>
  <si>
    <t>in November, 1899, when 12,500 shares were issued to shareholders at £4. The</t>
  </si>
  <si>
    <t>myb405246</t>
  </si>
  <si>
    <t>HENDEHSON TRANSVAAL ESTATES</t>
  </si>
  <si>
    <t>P. Ross Frames. 1</t>
  </si>
  <si>
    <t>fqnrandahalf</t>
  </si>
  <si>
    <t>p</t>
  </si>
  <si>
    <t>ross</t>
  </si>
  <si>
    <t>myb406387</t>
  </si>
  <si>
    <t>KLEINFONTEIN ESTATES</t>
  </si>
  <si>
    <t>A share register is kept in London. Transfer form, common ; fee, 2s. 6d.</t>
  </si>
  <si>
    <t>myb412336</t>
  </si>
  <si>
    <t>PIGG S PEAK DEVELOPMENT COMPANY LIMITED</t>
  </si>
  <si>
    <t>barberton</t>
  </si>
  <si>
    <t>large area, the surface rights having terminated in April, 1909. A 20-stamp mill</t>
  </si>
  <si>
    <t>myb412961</t>
  </si>
  <si>
    <t>RAND AGENCY LIMITED</t>
  </si>
  <si>
    <t>the General Mining and Finance Corpn., Ltd., at a commission of Is. per share,</t>
  </si>
  <si>
    <t>myb412999</t>
  </si>
  <si>
    <t>BAND INVESTMENT</t>
  </si>
  <si>
    <t>take one-half of available surplus profits in any year after 10 per cent, has been</t>
  </si>
  <si>
    <t>myb414228</t>
  </si>
  <si>
    <t>NEW RIETFONTEIN ESTATE GOLD MINES LIMITED</t>
  </si>
  <si>
    <t>The 21st November, 1906, was aopointed settling day in shares Nos. 75,001</t>
  </si>
  <si>
    <t>myb416046</t>
  </si>
  <si>
    <t>TUE MIKING</t>
  </si>
  <si>
    <t>loss debit balanoe, £4,710; cash £3, calls unpaid, £457 ; creditors £2,570.</t>
  </si>
  <si>
    <t>myb416948</t>
  </si>
  <si>
    <t>STJAKIN MINING</t>
  </si>
  <si>
    <t>salisbury</t>
  </si>
  <si>
    <t>J. W. Brigstock.</t>
  </si>
  <si>
    <t>bright</t>
  </si>
  <si>
    <t>myb416983</t>
  </si>
  <si>
    <t>Hon. Mark Francis Napier. j Bobert Taylor. Managers and Consulting Engineers John Taylor &amp; Sons, 6, Queen St. Place, E.C. Solicitors Francis &amp; Johnson.</t>
  </si>
  <si>
    <t>myb417343</t>
  </si>
  <si>
    <t>TANGANYIKA CONCESSIONS LIMITED</t>
  </si>
  <si>
    <t>shares and debentures in the Rhodesia-Katanga Junction Railway and Mineral</t>
  </si>
  <si>
    <t>myb418663</t>
  </si>
  <si>
    <t>UNION CONSOLIDATED DRIFT MINES LIMITED</t>
  </si>
  <si>
    <t>sheffield</t>
  </si>
  <si>
    <t>Baron Baeyens. President. Robert Williams, Vice-Pretidtnt. J. Jadot. I J. Cornet. I Lord Arthur Butler. | Tyndale Whit . | Sheffield Neave.</t>
  </si>
  <si>
    <t>butler</t>
  </si>
  <si>
    <t>lord</t>
  </si>
  <si>
    <t>arthur</t>
  </si>
  <si>
    <t>cornell</t>
  </si>
  <si>
    <t>james</t>
  </si>
  <si>
    <t>neame</t>
  </si>
  <si>
    <t>robbins</t>
  </si>
  <si>
    <t>baron</t>
  </si>
  <si>
    <t>baeyens</t>
  </si>
  <si>
    <t>whit</t>
  </si>
  <si>
    <t>tyndale</t>
  </si>
  <si>
    <t>white</t>
  </si>
  <si>
    <t>myb420886</t>
  </si>
  <si>
    <t>WORCESTER EXPLORATION GOLD MINING CO LTD</t>
  </si>
  <si>
    <t>This company was registered in Cape Colony August, 1887, and acquired nine</t>
  </si>
  <si>
    <t>myb423212</t>
  </si>
  <si>
    <t>MISCJCLLAXMOUS COMPANIES</t>
  </si>
  <si>
    <t>austin</t>
  </si>
  <si>
    <t>coupany held 2,760,000 shares in the treasury, and had liquid assets value</t>
  </si>
  <si>
    <t>myb424187</t>
  </si>
  <si>
    <t>BLAENAVON CO LTD</t>
  </si>
  <si>
    <t>cardiff</t>
  </si>
  <si>
    <t>1882-3 ... g</t>
  </si>
  <si>
    <t>myb427651</t>
  </si>
  <si>
    <t>COBALT CENTRAL MINES COMPANY</t>
  </si>
  <si>
    <t>ontario</t>
  </si>
  <si>
    <t>myb431527</t>
  </si>
  <si>
    <t>FORTUNA COMPANY LIMITED</t>
  </si>
  <si>
    <t>shares rank alike for further profits ; the preference have priority as to capital.</t>
  </si>
  <si>
    <t>myb431583</t>
  </si>
  <si>
    <t>FRANCIA GOLD AND SILVER LIMITED</t>
  </si>
  <si>
    <t>The balance sheet at December 31st, 1907, showed cash £3,952, debtors £253,</t>
  </si>
  <si>
    <t>myb435017</t>
  </si>
  <si>
    <t>KENT COAL CONCESSIONS LIMITED</t>
  </si>
  <si>
    <t>This company was registered January 26 h, 1909, to acquire from C. H. Bull,</t>
  </si>
  <si>
    <t>myb435892</t>
  </si>
  <si>
    <t>LITTLETON COLLIERIES LIMITED</t>
  </si>
  <si>
    <t>birmingham</t>
  </si>
  <si>
    <t>Auditors Sharp, Parsons &amp; Co. Seoretary and Offices T. Elson, 120, Colmore Row, Birmingham.</t>
  </si>
  <si>
    <t>myb437350</t>
  </si>
  <si>
    <t>MOTTEAM WOOD COLLIEBY</t>
  </si>
  <si>
    <t>vulcan</t>
  </si>
  <si>
    <t>put for 1906-7, 111,803 tons ; 1907 8, 83,708 tons ; for 1908-9, 61,569 tons.</t>
  </si>
  <si>
    <t>myb438619</t>
  </si>
  <si>
    <t>high street newport hon</t>
  </si>
  <si>
    <t>newport</t>
  </si>
  <si>
    <t>Secretary and Offloes A. B. Moilett, King s Chambers. High Street, Newport, Hon.</t>
  </si>
  <si>
    <t>myb438621</t>
  </si>
  <si>
    <t>This company was registered February 24th, 1873, and owns the Celynen</t>
  </si>
  <si>
    <t>myb440077</t>
  </si>
  <si>
    <t>OSWALDTWISTLE COLLIERIES LIMITED</t>
  </si>
  <si>
    <t>cumberland</t>
  </si>
  <si>
    <t>all the shares are issued and fully paid. No accounts</t>
  </si>
  <si>
    <t>myb443550</t>
  </si>
  <si>
    <t>SANTA ISABEL UNITED GOLD MINES LIMITED</t>
  </si>
  <si>
    <t>spain</t>
  </si>
  <si>
    <t>67,008 to 75,007 ; August loth, 1905, in Nos. 75,008 to 80,007 ; November 18th,</t>
  </si>
  <si>
    <t>myb448479</t>
  </si>
  <si>
    <t>WHITWICK COLLIERY COMPANY LIMITED</t>
  </si>
  <si>
    <t>Errington Brewia, Chairman. | Thomas Boam. | J. H, Whitaker. | W. E. Ison. 1 G, A. Lewis.</t>
  </si>
  <si>
    <t>bnuneau</t>
  </si>
  <si>
    <t>brewer</t>
  </si>
  <si>
    <t>errington</t>
  </si>
  <si>
    <t>myb450498</t>
  </si>
  <si>
    <t>BROKEN HILL JUNCTION NORTH SILVER MINING COMPANY NO LIABILITY</t>
  </si>
  <si>
    <t>Secretary and Offloes Charles Lloyd, F.C.I.S., 4 8, Salisbury House, E.C.</t>
  </si>
  <si>
    <t>myb451474</t>
  </si>
  <si>
    <t>ASTYRA MINING COMPANY LIMITED</t>
  </si>
  <si>
    <t>oldham</t>
  </si>
  <si>
    <t>and fully paid.</t>
  </si>
  <si>
    <t>page</t>
  </si>
  <si>
    <t>fully</t>
  </si>
  <si>
    <t>myb453148</t>
  </si>
  <si>
    <t>KALGOORLIE AMALGAMATED LIMITED</t>
  </si>
  <si>
    <t>The authorised capital is £30,000, in 300,000 shares of 2s. each ; 244,609 shares</t>
  </si>
  <si>
    <t>myb462824</t>
  </si>
  <si>
    <t>CONSOLIDATED UOLD FIELDS</t>
  </si>
  <si>
    <t>B. Kitzinger and J. S. Wetzlar, Managing in London. J. G. Hamilton, M.V.O., Managing in Johannetburg.</t>
  </si>
  <si>
    <t>myb465439</t>
  </si>
  <si>
    <t>FRANK SMITH DIAMOND ESTATES AND EXPLORATION COMPANY LIMITED</t>
  </si>
  <si>
    <t>nine miles east of</t>
  </si>
  <si>
    <t>khares. Boring operations, to prove the extension of the Main Reef scries, are</t>
  </si>
  <si>
    <t>myb468062</t>
  </si>
  <si>
    <t>KAFUE COPPER DEVELOPMENT CO LTD</t>
  </si>
  <si>
    <t>£237,796, in 324,408 shares of 10s. each and 75,592 shares of £1 each ; the 10s.</t>
  </si>
  <si>
    <t>myb469252</t>
  </si>
  <si>
    <t>LOMAH STCESSEL BANKET JRHODESIA LIMITED</t>
  </si>
  <si>
    <t>was resolved to wind up voluntarily, the undertaking having been</t>
  </si>
  <si>
    <t>myb470660</t>
  </si>
  <si>
    <t>MINING VENTUR E ST M I TED</t>
  </si>
  <si>
    <t>iMlNNIE REEF GOLD MINING SYNDICATE. LIMITED.</t>
  </si>
  <si>
    <t>myb475232</t>
  </si>
  <si>
    <t>FOUNDED</t>
  </si>
  <si>
    <t>siberia</t>
  </si>
  <si>
    <t>of German Statesmen and Leading</t>
  </si>
  <si>
    <t>myb476847</t>
  </si>
  <si>
    <t>ROODEPOORT UNITED MAIN REEF GOLD MINING COMPANY LIMITED</t>
  </si>
  <si>
    <t>also water rights and bewaarplatsen,</t>
  </si>
  <si>
    <t>myb491068</t>
  </si>
  <si>
    <t>CROSBY STEAM GA E AND VALVE COMPANY</t>
  </si>
  <si>
    <t>CROSBY STEAM GA6E AND VALVE COMPANY,</t>
  </si>
  <si>
    <t>myb491851</t>
  </si>
  <si>
    <t>FALMOUTH CONSOLIDATED</t>
  </si>
  <si>
    <t>of Kea, Cornwall. The consideration was £80,000, payable £5,000 cash and</t>
  </si>
  <si>
    <t>myb493722</t>
  </si>
  <si>
    <t>HAMSTEAD COLLIERY COMPANY LIMITED</t>
  </si>
  <si>
    <t>i dated October 22nd, 1908 ; no later report received.</t>
  </si>
  <si>
    <t>myb493762</t>
  </si>
  <si>
    <t>Hilda, and Boldon Collieries, situate in the parishes of Jarrow, Whitburn, Westoe</t>
  </si>
  <si>
    <t>myb498786</t>
  </si>
  <si>
    <t>MINING ASSOCIATION LIMITED</t>
  </si>
  <si>
    <t>moorgate street k</t>
  </si>
  <si>
    <t>moorgate street e</t>
  </si>
  <si>
    <t>Auditor H. H. Oakes. | Offices llasildon House, Moorgate Street, K.C.</t>
  </si>
  <si>
    <t>myb506688</t>
  </si>
  <si>
    <t>SPANISH AMERICAN DEVELOPMENT SYND LTD</t>
  </si>
  <si>
    <t>part of £300,000 six per cent, debentures redeemable at par July 1st, 1918, or</t>
  </si>
  <si>
    <t>myb508650</t>
  </si>
  <si>
    <t>VAGLIANO ANTHRACITE COLLIERIES LI M ITED</t>
  </si>
  <si>
    <t>taking the remainder. When the sum of £12,000 shall have been paid in dividends</t>
  </si>
  <si>
    <t>myb511063</t>
  </si>
  <si>
    <t>BLACKWATER MINES</t>
  </si>
  <si>
    <t>The accounts for year ended December 81st, 1909, submitted September 27th,</t>
  </si>
  <si>
    <t>myb511632</t>
  </si>
  <si>
    <t>BROKEN HILL CJOUMNPACNTYI NNO NLOIARBITLITT Y STL</t>
  </si>
  <si>
    <t>broken</t>
  </si>
  <si>
    <t>The authorised capital is £155,000, in 100,000 ten per cent, cumulative prefer</t>
  </si>
  <si>
    <t>myb511776</t>
  </si>
  <si>
    <t>NO LIABILITY</t>
  </si>
  <si>
    <t>tons yielded 25,422 tons lead, 23,857 tons zinc and 1,141,175 ozs. silver ; costs</t>
  </si>
  <si>
    <t>myb512179</t>
  </si>
  <si>
    <t>CHILLAGOE LIMITED</t>
  </si>
  <si>
    <t>chillagoe</t>
  </si>
  <si>
    <t>interest absorbed £28,665, various charges £10,531, writton off mines develop,</t>
  </si>
  <si>
    <t>myb514126</t>
  </si>
  <si>
    <t>KA RA K AMI NE S LIMITED</t>
  </si>
  <si>
    <t>karaka creek in the</t>
  </si>
  <si>
    <t>E. F. Adams. Estimated ore reserves 150,000 tons value 52s. 6d. per ton.</t>
  </si>
  <si>
    <t>myb523563</t>
  </si>
  <si>
    <t>CONSOLIDATED COMPANY BULTFONTEIN MINE</t>
  </si>
  <si>
    <t>6tb, 1911, shawed gold receipts £360,211 and a profit of £87,974, making</t>
  </si>
  <si>
    <t>myb523938</t>
  </si>
  <si>
    <t>CROWN DIAMOND MINING AND EXPLORATION COMPANY LIMITED</t>
  </si>
  <si>
    <t>myb525536</t>
  </si>
  <si>
    <t>ELANDS LAAGTE COLLIERIES LIMITED</t>
  </si>
  <si>
    <t>chilian</t>
  </si>
  <si>
    <t>2T35. Latest price, 2g, 2j.</t>
  </si>
  <si>
    <t>myb527908</t>
  </si>
  <si>
    <t>HARMONY PROPRIETARY COMPANY LIMITED</t>
  </si>
  <si>
    <t>HABMONY PROPRIETARY oontinued.</t>
  </si>
  <si>
    <t>myb531964</t>
  </si>
  <si>
    <t>MOZAMBIQUE COMPANY</t>
  </si>
  <si>
    <t>harrison street johannesburg</t>
  </si>
  <si>
    <t>Direotors. J. A. Cohen, Chairman. | B. T. N. James. | J. H. Rainier. | E. Booth. SecretIajoryndaonnd Offloes H. Williams, City House, Harrison Street, Johannesburg. Agents Transvaal Agency, Ltd., 10-11, Austin Friars, E.C. This company was registered in the Transvaal December 30th, 1905, to acquire</t>
  </si>
  <si>
    <t>myb534429</t>
  </si>
  <si>
    <t>NIGERIAN TIN COBPN</t>
  </si>
  <si>
    <t>manager Mr. A. W. Hooke, an engineer of wide experience in alluvial tin</t>
  </si>
  <si>
    <t>myb536511</t>
  </si>
  <si>
    <t>WOLVERHAMPTON LTD</t>
  </si>
  <si>
    <t>WOLVERHAMPTON,</t>
  </si>
  <si>
    <t>myb536560</t>
  </si>
  <si>
    <t>D DAVIS</t>
  </si>
  <si>
    <t>non-sectarian and non-political</t>
  </si>
  <si>
    <t>myb537987</t>
  </si>
  <si>
    <t>ROODEPOOBT UNITED MAIN REEF</t>
  </si>
  <si>
    <t>roodepoort</t>
  </si>
  <si>
    <t>hares are issued and are fully paid. The capital was increased from £70,000 to</t>
  </si>
  <si>
    <t>myb539923</t>
  </si>
  <si>
    <t>SOUTH AFBICAN GOLD MINES</t>
  </si>
  <si>
    <t>State Hand, Ltd., £5,000, uncalled capital £20,869 ; creditors £1,627.</t>
  </si>
  <si>
    <t>myb540557</t>
  </si>
  <si>
    <t>SUM SYNDICATE LIMITED</t>
  </si>
  <si>
    <t>cleveland</t>
  </si>
  <si>
    <t>1911: highest, lg ; lowest, - g. Latest pi ice, J . SUSANNA MINES, LIMITED.</t>
  </si>
  <si>
    <t>myb541609</t>
  </si>
  <si>
    <t>TRANSVAAL ESTATES</t>
  </si>
  <si>
    <t>shares £350,691 are issued and fully paid. The capital was originally £150,000</t>
  </si>
  <si>
    <t>myb541749</t>
  </si>
  <si>
    <t>TBANSVAAL GOLD MINING ESTATES</t>
  </si>
  <si>
    <t>was increased from £10,000, in November, IPOS. In November, 1906, share</t>
  </si>
  <si>
    <t>myb545259</t>
  </si>
  <si>
    <t>ADELAIDE GOLD MINING COMPANY LIMITED</t>
  </si>
  <si>
    <t>6th, 1911, showed debit balance increased from £358,742 to £422,589 ; stocks on</t>
  </si>
  <si>
    <t>myb545974</t>
  </si>
  <si>
    <t>CESSION KWEI CHAU PROVINCE OF CHINA LIMITED</t>
  </si>
  <si>
    <t>This company was registered March 7th, 1906, being a reconstruction of a com</t>
  </si>
  <si>
    <t>myb546898</t>
  </si>
  <si>
    <t>BALAGHAT GOLD MINING COMPANY LIMITED</t>
  </si>
  <si>
    <t>Ore stamped and gold produced since 1901 :</t>
  </si>
  <si>
    <t>myb548648</t>
  </si>
  <si>
    <t>RUCE COPPER M</t>
  </si>
  <si>
    <t>BKUSEH TfNTAND RUBBER ESTATES. LTPT Directors Qualification,</t>
  </si>
  <si>
    <t>estate</t>
  </si>
  <si>
    <t>bkuseh</t>
  </si>
  <si>
    <t>tfntand</t>
  </si>
  <si>
    <t>myb551904</t>
  </si>
  <si>
    <t>DOLCOATH MINE LTD</t>
  </si>
  <si>
    <t>Tec. 31 t, 1908</t>
  </si>
  <si>
    <t>myb554030</t>
  </si>
  <si>
    <t>GAS WAIT COLLIERIES LIMITED</t>
  </si>
  <si>
    <t>the Levant and Botallack mines. The c nsideration was £32,250 in fully paid</t>
  </si>
  <si>
    <t>myb558736</t>
  </si>
  <si>
    <t>LEWIS MERTHYR CONSOLIDATED COLLIERIES LIMITED</t>
  </si>
  <si>
    <t>LIGHTNING CREEK BRITISH COLUMBI i</t>
  </si>
  <si>
    <t>myb560421</t>
  </si>
  <si>
    <t>MEXICAN CENTRAL SYNDICATE LIMITED</t>
  </si>
  <si>
    <t>highest, 6£; lowest, 2 ; 1909: highest, 6 ; lowest, 4J: 1910: highest, 9f;</t>
  </si>
  <si>
    <t>myb562653</t>
  </si>
  <si>
    <t>NEWPORT ABERCARN BLACK VEIN STEAM COAL</t>
  </si>
  <si>
    <t>1883-4 ... 10 10</t>
  </si>
  <si>
    <t>myb562859</t>
  </si>
  <si>
    <t>NORGERIC SYNDICATE LIMITED</t>
  </si>
  <si>
    <t>into immediate possession of the property and paying to the company until</t>
  </si>
  <si>
    <t>myb569402</t>
  </si>
  <si>
    <t>SWEDISH IRON MINES AND FURNACES L N B</t>
  </si>
  <si>
    <t>Transfer form, common j fee, 2s. 6d. The 21st March, 1900, wa3 appointed witling clay in ordinary shares No3. 1 to 19,900 and deferred Nos. 1 to 2,0X , and</t>
  </si>
  <si>
    <t>myb571294</t>
  </si>
  <si>
    <t>VVALTER SCOTT LIMITED</t>
  </si>
  <si>
    <t>1903 , £18,000, directors fees £1,750, carried to special reserve £17,357, leaving</t>
  </si>
  <si>
    <t>myb571687</t>
  </si>
  <si>
    <t>WEST BRITISH DEVELOPMENT SYNDICATE LTD</t>
  </si>
  <si>
    <t>liverpool</t>
  </si>
  <si>
    <t>Solicitors -Lightbound, Owen ,v Co., Liverpool; O. H. Denroche, Dublin.</t>
  </si>
  <si>
    <t>myb572822</t>
  </si>
  <si>
    <t>WORTHINGTON COLLIERY AND PIPE CO LTD</t>
  </si>
  <si>
    <t>WOTHERTON BARYTES &amp; LEAD MINING CO.TlTD. Directors W. Toye, Chairman and Managing ; T. G. Marsh : P. J. Marsh.</t>
  </si>
  <si>
    <t>barwick</t>
  </si>
  <si>
    <t>wotherton</t>
  </si>
  <si>
    <t>lead</t>
  </si>
  <si>
    <t>marsell</t>
  </si>
  <si>
    <t>marsh</t>
  </si>
  <si>
    <t>thomai</t>
  </si>
  <si>
    <t>myb576926</t>
  </si>
  <si>
    <t>BOMA NIGERIMJIN COJEANY LIMITED</t>
  </si>
  <si>
    <t>Cv E. Pearson.</t>
  </si>
  <si>
    <t>pearse</t>
  </si>
  <si>
    <t>cv</t>
  </si>
  <si>
    <t>myb580378</t>
  </si>
  <si>
    <t>D N T SYNDICA FE LIMITED</t>
  </si>
  <si>
    <t>i119 WnmF J M- mm</t>
  </si>
  <si>
    <t>myb581997</t>
  </si>
  <si>
    <t>EASTERN G VQLD MINES LIMITED</t>
  </si>
  <si>
    <t>..r f umv-ÃƒÆ Ã Â w ,s.Zm1-1:q- e4 2,-4 -P.41 -</t>
  </si>
  <si>
    <t>myb582316</t>
  </si>
  <si>
    <t>EMIR TIN SYNDICATEI LIMITED</t>
  </si>
  <si>
    <t>bnad street hi use</t>
  </si>
  <si>
    <t>1912, shareholders in the Gold Coast Couso idsted Lands, Ltd., were invited</t>
  </si>
  <si>
    <t>myb582950</t>
  </si>
  <si>
    <t>FERREIRA DIAMONDSI LIMITED</t>
  </si>
  <si>
    <t>1912 . On May 10th, 1912, it was resolved to wind up voluntarily and sell the</t>
  </si>
  <si>
    <t>myb585554</t>
  </si>
  <si>
    <t>HONKO SYNDICATE LIMITED</t>
  </si>
  <si>
    <t>shares are issued and fully paid.</t>
  </si>
  <si>
    <t>myb591979</t>
  </si>
  <si>
    <t>NEW LYDENBURG MINERALS EXPLORING CO LTD</t>
  </si>
  <si>
    <t>claims adjoining. In 1889 the company was reconstructed. In 1891 the property</t>
  </si>
  <si>
    <t>myb593165</t>
  </si>
  <si>
    <t>NIGERIAN PLATEAU LTD</t>
  </si>
  <si>
    <t>the bauchi plateau</t>
  </si>
  <si>
    <t>corporation consist of alluvial mining leases over 1,812 acres and 8,280 yards of</t>
  </si>
  <si>
    <t>myb596037</t>
  </si>
  <si>
    <t>READ S DRIFT LAND COMPANY LIMITED</t>
  </si>
  <si>
    <t>settling day in shares Nos. 50,001 to 55,000; May 10th, 1906, in Nos. 55,001 to</t>
  </si>
  <si>
    <t>myb601411</t>
  </si>
  <si>
    <t>TRAIVSVAZE GBED MINING ESTATES LIMITED</t>
  </si>
  <si>
    <t>The authorised capital is £6t0,000, in 640,000 shares of £1 each; 604,225</t>
  </si>
  <si>
    <t>myb610979</t>
  </si>
  <si>
    <t>BROKEN HILL PROPRIETARY BLOCK CO LTD</t>
  </si>
  <si>
    <t>The authorised capital is £860,000, in 720,000 shares of 105. each; 672,705</t>
  </si>
  <si>
    <t>myb611529</t>
  </si>
  <si>
    <t>HISGELLANEQVUS COMPANIES</t>
  </si>
  <si>
    <t>visions for renewal, at a rent of four lacs of rupees per annum, the Government</t>
  </si>
  <si>
    <t>myb613477</t>
  </si>
  <si>
    <t>CHANGKAT SALAK RUBBER AND TIN LIMITED</t>
  </si>
  <si>
    <t>December, 1911, 2,500 acres. Tapping commencr i early in 1910; yield for</t>
  </si>
  <si>
    <t>myb613650</t>
  </si>
  <si>
    <t>CHESHIRE COPPER MINES LIMITED</t>
  </si>
  <si>
    <t>ofiered to shareholders in January, 1907, at 11s. each; the issue was under</t>
  </si>
  <si>
    <t>myb618438</t>
  </si>
  <si>
    <t>EVENOES MININGTSYNDICATE LIMITED</t>
  </si>
  <si>
    <t>Dl-X OOtOI I i . D. Miller, L lum mun and .lluna iny; I. Howl; G. .1. Lewil. Secretary Mans er C. F. Jackson, Exhsll ul iery, nsnr Bedworth. and dices A. Lole, Exhsll Colliery. neur Bedworth, Wsrwichhn e.</t>
  </si>
  <si>
    <t>myb620563</t>
  </si>
  <si>
    <t>GRAHAM ISLASNYNDDIC ABT CE LICMOITAEDL AND TIMBER</t>
  </si>
  <si>
    <t>GRAHAM ISLAND B. 1</t>
  </si>
  <si>
    <t>myb628686</t>
  </si>
  <si>
    <t>MEXICAN AGENCY LIMITED</t>
  </si>
  <si>
    <t>rosario</t>
  </si>
  <si>
    <t>The accounts for year ended December 31st, 1911, submitted July 3rd, 1912,</t>
  </si>
  <si>
    <t>myb630848</t>
  </si>
  <si>
    <t>IYALLB AND PIAK HILL</t>
  </si>
  <si>
    <t>in the Color district of Mysore, Southern India, held on lease for thirty years</t>
  </si>
  <si>
    <t>myb631839</t>
  </si>
  <si>
    <t>NEW DYNANT ANIHRACIVTE COLLIERY LIMITED</t>
  </si>
  <si>
    <t>NEW LYMNI. LIMITED. Direotors. J. G. Gordon. Chairman. , Sir H. L . J. Bunbury, Bart. l .1. E. 1 . 140m . in n p4. W. Ashworth, Lymni Mine, Polls Panhn, Cyprus. min Union of London and Smith s Bank, Ltd. L L</t>
  </si>
  <si>
    <t>myb633471</t>
  </si>
  <si>
    <t>NORTHERN MINES LIMITED</t>
  </si>
  <si>
    <t>norway</t>
  </si>
  <si>
    <t>per cent.; 1894, 3 per ccnt.; 1897, 2 per cent;</t>
  </si>
  <si>
    <t>myb634417</t>
  </si>
  <si>
    <t>OROYA LEONESAILIMITED</t>
  </si>
  <si>
    <t>area were estimated at £727,000 not. The plant consists of a 7b i oot close</t>
  </si>
  <si>
    <t>myb635294</t>
  </si>
  <si>
    <t>PEASE AND PARTNERS LIMITED</t>
  </si>
  <si>
    <t>yorkshire</t>
  </si>
  <si>
    <t>Output for year 1911-12, 1,904,185 tons of coal, a decrease of 220,877 tons</t>
  </si>
  <si>
    <t>myb635301</t>
  </si>
  <si>
    <t>The authorised capital</t>
  </si>
  <si>
    <t>myb639516</t>
  </si>
  <si>
    <t>S EL VZ DI A PEDENO MINING COMPANY LIMITED</t>
  </si>
  <si>
    <t>T vurun-i Hrn-mhon, Ils-lruth. 1 li-ine- 1 Ralrnth. Tm company was mgislnred July 2011:, N97. to noquire tin mining oonceuione</t>
  </si>
  <si>
    <t>?</t>
  </si>
  <si>
    <t>myb643656</t>
  </si>
  <si>
    <t>TROITZK GOLDFIELDS LIMITED</t>
  </si>
  <si>
    <t>russia</t>
  </si>
  <si>
    <t>Auditors W. 11. rest a in leeretary and Omens A. H..p ;lllll h,ozl; l l.l d</t>
  </si>
  <si>
    <t>myb644272</t>
  </si>
  <si>
    <t>UTAH APEX MINING COMPANY</t>
  </si>
  <si>
    <t>General Manager D. u. Jacklin ,McCornick Building. Salt Lake City, Utah. ssistant Genera Manager R. C. Gemmell. Mills Superintendent F. G.</t>
  </si>
  <si>
    <t>gelip</t>
  </si>
  <si>
    <t>r</t>
  </si>
  <si>
    <t>c</t>
  </si>
  <si>
    <t>manager</t>
  </si>
  <si>
    <t>myb648215</t>
  </si>
  <si>
    <t>AFRICAN AND COLONIAL COMPANY LIMITED</t>
  </si>
  <si>
    <t>October lst, 1913, showed cash £135, debtors £399; creditors £38,769; share</t>
  </si>
  <si>
    <t>myb651695</t>
  </si>
  <si>
    <t>MINING YEAR</t>
  </si>
  <si>
    <t>CHARTER TRUST AND AGENCY</t>
  </si>
  <si>
    <t>myb658526</t>
  </si>
  <si>
    <t>PLANTS DESIGNED SUPPLIED AND ERECTED</t>
  </si>
  <si>
    <t>Machine can be made to meet the widely varied conditions</t>
  </si>
  <si>
    <t>myb660658</t>
  </si>
  <si>
    <t>berlin</t>
  </si>
  <si>
    <t>Berlin Committee.</t>
  </si>
  <si>
    <t>myb663472</t>
  </si>
  <si>
    <t>NEW UNITED REEFS SHEBA LIMITED</t>
  </si>
  <si>
    <t>awaiting a favourable opportunity for dealing with the Lydenburg claims.</t>
  </si>
  <si>
    <t>myb675668</t>
  </si>
  <si>
    <t>ANCHOR TIN MINE LIMITED</t>
  </si>
  <si>
    <t>London Wall Buildings, E.0.</t>
  </si>
  <si>
    <t>myb680054</t>
  </si>
  <si>
    <t>and 240,000 were offered for subscription in February, 1913, at 40s. each, the sub</t>
  </si>
  <si>
    <t>myb685468</t>
  </si>
  <si>
    <t>DROMEDARY DEVELOPMEVNL QOMF ANY LIMITED</t>
  </si>
  <si>
    <t>The authorised capital is £450,000 in ordinary stock, all issued and fully paid.</t>
  </si>
  <si>
    <t>myb686369</t>
  </si>
  <si>
    <t>EL OBO MINING</t>
  </si>
  <si>
    <t>animas</t>
  </si>
  <si>
    <t>Animas, El Progreso, El Refugio, and Plomo Chico, comprising an area of</t>
  </si>
  <si>
    <t>myb687135</t>
  </si>
  <si>
    <t>FERNHILL COLLIERIES LTD</t>
  </si>
  <si>
    <t>new street leicester</t>
  </si>
  <si>
    <t>to 120.000.</t>
  </si>
  <si>
    <t>myb687275</t>
  </si>
  <si>
    <t>FIRST NEW B C GOLDFIELD CANADAI LIMIT ED</t>
  </si>
  <si>
    <t>1905-6, nil; 1908-7,3s.; 1907-8, nil; 19015-9, Is. 9341.; 1909-10, 10, d.; 1910-11, nil; 1911-12, 4s. 6d.</t>
  </si>
  <si>
    <t>myb692979</t>
  </si>
  <si>
    <t>KALKAN SYNDICATE LIMITED</t>
  </si>
  <si>
    <t>mining properties and carry on business as financiers. The company is interested</t>
  </si>
  <si>
    <t>myb694291</t>
  </si>
  <si>
    <t>LLVVYDCOED COL L ER ES LIMITED</t>
  </si>
  <si>
    <t>atlantic</t>
  </si>
  <si>
    <t>1902-3, 20 per cent. each year; 19051-4, 19045, and 1905-6,</t>
  </si>
  <si>
    <t>myb698150</t>
  </si>
  <si>
    <t>NEVADA DOUGLAS CQN LIDATED COPPER CO</t>
  </si>
  <si>
    <t>k street boston mass</t>
  </si>
  <si>
    <t>boston</t>
  </si>
  <si>
    <t>A. J. OrJe.m, Prnidenl. I J. G. Berrvhill, l icmPrsniilenf. I L. H. Curtis, Vise-Presidesf. G. Berryhill, jun. l J. . Cor-um. F. M. Orem. I W. C. Orem. General Man agar W. C. Orem. I Superintendent A. .7. 0mm. Secretary and Head omce F. M. Orem. 70, 1k Street, Boston, Mass.. U.B.A London Agent G. H. Johnson, Capel House, New Broad Street, 3-C</t>
  </si>
  <si>
    <t>hchwarz</t>
  </si>
  <si>
    <t>mm</t>
  </si>
  <si>
    <t>superintendent</t>
  </si>
  <si>
    <t>myb699157</t>
  </si>
  <si>
    <t>NEWBIGGIN COLLIERY COMPANY LIMITED</t>
  </si>
  <si>
    <t>Directors Qualification, £2,000 .</t>
  </si>
  <si>
    <t>myb700311</t>
  </si>
  <si>
    <t>NOVITA MINING</t>
  </si>
  <si>
    <t>Tms company was registered March 20th, 1912, to acquire and deal with mining</t>
  </si>
  <si>
    <t>myb710095</t>
  </si>
  <si>
    <t>MINING YEAR K</t>
  </si>
  <si>
    <t>Abercarn Coal Companies. In February, 1910, the company formed the</t>
  </si>
  <si>
    <t>myb716720</t>
  </si>
  <si>
    <t>BALKIS TLIMITED</t>
  </si>
  <si>
    <t>BALKIB</t>
  </si>
  <si>
    <t>myb718538</t>
  </si>
  <si>
    <t>NOMQFONTEIN</t>
  </si>
  <si>
    <t>25. 6d. per 100 or part of 100, with 1s. fee per warrant; charge for reconversion,</t>
  </si>
  <si>
    <t>myb719946</t>
  </si>
  <si>
    <t>BULAWAYO AND GENERAL EXPLORATION CO</t>
  </si>
  <si>
    <t>The Hon. J. A. de Grey, Chairman, 1 001. Sir H. Melliss, K.C.S.I. l R. R. Needham.</t>
  </si>
  <si>
    <t>gretton</t>
  </si>
  <si>
    <t>ja</t>
  </si>
  <si>
    <t>ade</t>
  </si>
  <si>
    <t>melbourne</t>
  </si>
  <si>
    <t>howard</t>
  </si>
  <si>
    <t>myb720904</t>
  </si>
  <si>
    <t>CAMBRIAN MINERAL AND METAL CO LTD</t>
  </si>
  <si>
    <t>ouray</t>
  </si>
  <si>
    <t>R. J. Frecheville. I J. A. Agnew. I L. Ohevrlllon.</t>
  </si>
  <si>
    <t>agnew</t>
  </si>
  <si>
    <t>jay</t>
  </si>
  <si>
    <t>frcndeville</t>
  </si>
  <si>
    <t>j</t>
  </si>
  <si>
    <t>ogle</t>
  </si>
  <si>
    <t>l</t>
  </si>
  <si>
    <t>myb724067</t>
  </si>
  <si>
    <t>CONSOLIDATED CAMBRIAN LIMITED</t>
  </si>
  <si>
    <t>stanhope</t>
  </si>
  <si>
    <t>Trustees for Debenture-Holders.</t>
  </si>
  <si>
    <t>myb726010</t>
  </si>
  <si>
    <t>DEVON UNITED MINES LIMITED</t>
  </si>
  <si>
    <t>secon .</t>
  </si>
  <si>
    <t>myb729081</t>
  </si>
  <si>
    <t>FFOSFACH COLLIERY COMPANY LIMITED</t>
  </si>
  <si>
    <t>1896 . Bi ,, 1901 25 ,, 1905 ... 20 ,, 1909 17 ,, 19M 27 ,,</t>
  </si>
  <si>
    <t>myb730071</t>
  </si>
  <si>
    <t>GENERAL EXPLORERS LIMITED</t>
  </si>
  <si>
    <t>Phone: 162 Wall.</t>
  </si>
  <si>
    <t>myb730079</t>
  </si>
  <si>
    <t>New Goch Gold Mines, Ltd. Van Ryn Gold Mines Estate, Ltd.</t>
  </si>
  <si>
    <t>myb736892</t>
  </si>
  <si>
    <t>LACE PROPRIETARY MINES LTD</t>
  </si>
  <si>
    <t>reef was struck in May, 1905, at depths of 1,170 and 1,350 ft. and again in Septem</t>
  </si>
  <si>
    <t>myb739403</t>
  </si>
  <si>
    <t>MASON AND BARRY LIMITED</t>
  </si>
  <si>
    <t>paris</t>
  </si>
  <si>
    <t>Dividends 1892, 2 per cent.; 1893, 2 per cent.; 1894, 2 per cent.; 1895,</t>
  </si>
  <si>
    <t>myb740434</t>
  </si>
  <si>
    <t>MOND NICKEL COMPANY</t>
  </si>
  <si>
    <t>accordance with the value of the assets, it was on July 6, 1914, resolved to wind</t>
  </si>
  <si>
    <t>myb750646</t>
  </si>
  <si>
    <t>R UKUBA TNTG</t>
  </si>
  <si>
    <t>Registered September 18, 1912, to acquire all or any of the assets and liabilities</t>
  </si>
  <si>
    <t>myb753106</t>
  </si>
  <si>
    <t>SOUTH AFRICAN COPPER TRUSTI LIMITED</t>
  </si>
  <si>
    <t>Registered August 21, 1903, to acquire and deal with mining properties in</t>
  </si>
  <si>
    <t>myb753946</t>
  </si>
  <si>
    <t>STAFFORD COAL AND IRON COMPANY LIMITED</t>
  </si>
  <si>
    <t>£6,505 cash and £20,000 in fully-paid shares. Total area now held, 80 acres.</t>
  </si>
  <si>
    <t>myb760725</t>
  </si>
  <si>
    <t>LIMITED KNIGHT S</t>
  </si>
  <si>
    <t>dividends absorbed £234,812, tax, 820., £26,790 leaving £67,815 carried forward.</t>
  </si>
  <si>
    <t>myb762496</t>
  </si>
  <si>
    <t>AKOKO GOLD MINES AND ESTATES LTD</t>
  </si>
  <si>
    <t>Tirectors J. R. Campbell, Chairman; E. Hill; J. C. Jesson. Mine Manager D. E. Cox, Akoko, near Axim, West Africa.</t>
  </si>
  <si>
    <t>myb768512</t>
  </si>
  <si>
    <t>forward made £28,860; dividend absorbed £12,499, leaving £16,361 carried forward;</t>
  </si>
  <si>
    <t>myb769331</t>
  </si>
  <si>
    <t>BRAZILIAN GOLD DREDGING SYNDICATE LIMITED</t>
  </si>
  <si>
    <t>simmonds street johannesburg</t>
  </si>
  <si>
    <t>Consolidated Gold Fields Buildings, Simmonds Street, Johannesburg.</t>
  </si>
  <si>
    <t>myb769536</t>
  </si>
  <si>
    <t>BRILLIANT EXTENDED GOLD MINING CO LTD</t>
  </si>
  <si>
    <t>ls., 2s.</t>
  </si>
  <si>
    <t>myb770890</t>
  </si>
  <si>
    <t>transferred from London</t>
  </si>
  <si>
    <t>myb772398</t>
  </si>
  <si>
    <t>CALUMET AND DARIZONA MINING CO</t>
  </si>
  <si>
    <t>camborne</t>
  </si>
  <si>
    <t>can afford</t>
  </si>
  <si>
    <t>myb779861</t>
  </si>
  <si>
    <t>DINNINGTON MAIN COAL CC LTD</t>
  </si>
  <si>
    <t>highest, 25s. 1 d.; lowest,</t>
  </si>
  <si>
    <t>myb782483</t>
  </si>
  <si>
    <t>Registered April, 1889, in the Transvaal, to acquire 2,329 morgen of the</t>
  </si>
  <si>
    <t>myb783696</t>
  </si>
  <si>
    <t>FENTON COLLIERIES LIMITED</t>
  </si>
  <si>
    <t>Capital £1,000, in shares of £1 each.</t>
  </si>
  <si>
    <t>myb789614</t>
  </si>
  <si>
    <t>HATTING SPRUIT COLLIERIES LIMITED</t>
  </si>
  <si>
    <t>per cent.; 1914,</t>
  </si>
  <si>
    <t>myb790401</t>
  </si>
  <si>
    <t>HURONIAN BELT MPANY LIMITED</t>
  </si>
  <si>
    <t>nine s including the</t>
  </si>
  <si>
    <t>shares. The Topuldodi option was exercised and the Topuldodi company formed</t>
  </si>
  <si>
    <t>myb797448</t>
  </si>
  <si>
    <t>W MAMMOTH COPPER MINE LTD</t>
  </si>
  <si>
    <t>Telegrams: Colloid, Glasgow; at mine : Mammoth, Chillagoe. Codes: Bentleys.</t>
  </si>
  <si>
    <t>myb799368</t>
  </si>
  <si>
    <t>MINING AGENCY LIMITED</t>
  </si>
  <si>
    <t>debit balance</t>
  </si>
  <si>
    <t>myb807171</t>
  </si>
  <si>
    <t>NUNDYDROOG COMPANY LIMITED</t>
  </si>
  <si>
    <t>OAKDALE NAVIGATigir ectoCrsO. LLIERIES, LIMITED.</t>
  </si>
  <si>
    <t>myb811716</t>
  </si>
  <si>
    <t>RAND MINES POWER SUPPLY COMPANY LIMITED</t>
  </si>
  <si>
    <t>jerome</t>
  </si>
  <si>
    <t>Sievwright.</t>
  </si>
  <si>
    <t>myb811828</t>
  </si>
  <si>
    <t>RANDFONTEIN CENTRAL GOLD MINING CO LTD</t>
  </si>
  <si>
    <t>randfontein</t>
  </si>
  <si>
    <t>see crushing tables</t>
  </si>
  <si>
    <t>myb813232</t>
  </si>
  <si>
    <t>RHODESIAN VENTURES LIMITED</t>
  </si>
  <si>
    <t>manchester</t>
  </si>
  <si>
    <t>pr. cwt. 1910-11,</t>
  </si>
  <si>
    <t>myb813240</t>
  </si>
  <si>
    <t>1897-8, 1902-3, 3</t>
  </si>
  <si>
    <t>myb816458</t>
  </si>
  <si>
    <t>SEVILLE SULPHUR AND COPPER COMPANY LTD</t>
  </si>
  <si>
    <t>1915, the</t>
  </si>
  <si>
    <t>myb819238</t>
  </si>
  <si>
    <t>SOUTEI WEST AFRICA</t>
  </si>
  <si>
    <t>further 50,000 were taken up</t>
  </si>
  <si>
    <t>myb819294</t>
  </si>
  <si>
    <t>p.c. Loan,</t>
  </si>
  <si>
    <t>myb821848</t>
  </si>
  <si>
    <t>TELEMARKEN COPPER M HING AND SMELTING CO</t>
  </si>
  <si>
    <t>new jersey</t>
  </si>
  <si>
    <t>company s option on any interest payment date, viz., June 1 and December 1.</t>
  </si>
  <si>
    <t>myb823693</t>
  </si>
  <si>
    <t>TRANSVAAL ZAMBESI COMPANY LIMITED</t>
  </si>
  <si>
    <t>The company also owns the entire issued capital of the Markham Steam Coal Co.,</t>
  </si>
  <si>
    <t>myb823838</t>
  </si>
  <si>
    <t>Ltd., the Preobragensk and Alexendrovsk, Andreyevsky and Varvarensky Gold</t>
  </si>
  <si>
    <t>myb828633</t>
  </si>
  <si>
    <t>VV HITE VVATER ALLUVIALS LIMITED</t>
  </si>
  <si>
    <t>whitehaven</t>
  </si>
  <si>
    <t>when they become ordinary shares and rank pari passu with the present ordinary</t>
  </si>
  <si>
    <t>myb833813</t>
  </si>
  <si>
    <t>ANGLO FRENCH</t>
  </si>
  <si>
    <t>Huaras,</t>
  </si>
  <si>
    <t>myb834023</t>
  </si>
  <si>
    <t>athens</t>
  </si>
  <si>
    <t>to provide working capital for the new properties an issue of 35,000 preference</t>
  </si>
  <si>
    <t>myb841364</t>
  </si>
  <si>
    <t>UD DEVELOPMENT SYNDICATE LIMITED</t>
  </si>
  <si>
    <t>of which cannot be enforced until a dividend of 10 per cent, is paid £19,589.</t>
  </si>
  <si>
    <t>myb847355</t>
  </si>
  <si>
    <t>CORNWALL TAILINGS COMPANY LIMITED</t>
  </si>
  <si>
    <t>claims; Carreras Hermanos, £130,000 for 33 claims; Compania Sud Americana</t>
  </si>
  <si>
    <t>myb850740</t>
  </si>
  <si>
    <t>EAST CORNWALL CHINA CLAY</t>
  </si>
  <si>
    <t>103 claims</t>
  </si>
  <si>
    <t>myb856464</t>
  </si>
  <si>
    <t>and fully paid. The capital was originally $15,000,000, in shares of $10 each;</t>
  </si>
  <si>
    <t>myb857479</t>
  </si>
  <si>
    <t>GUEST KEEN AND NETTLEFOLDS LIMITED</t>
  </si>
  <si>
    <t>Birmingham screw and wire makers, steel manufacturers, &amp;c. ,</t>
  </si>
  <si>
    <t>myb863936</t>
  </si>
  <si>
    <t>RWALL TIN FIELDS</t>
  </si>
  <si>
    <t>Transfer form, common; fee, 2s. 6d. November 5, 1913, was appointed settling</t>
  </si>
  <si>
    <t>myb864485</t>
  </si>
  <si>
    <t>AIKE COPPER PROPRIETARY</t>
  </si>
  <si>
    <t>have been specially allowed</t>
  </si>
  <si>
    <t>myb864911</t>
  </si>
  <si>
    <t>LANGLAAGTE ESTATE</t>
  </si>
  <si>
    <t>settling day</t>
  </si>
  <si>
    <t>myb869371</t>
  </si>
  <si>
    <t>MINERALS EXTRACTION COMPANY LIMITED</t>
  </si>
  <si>
    <t>The capital was increased from £15,000 to £20,000 in October, 1904, and to present</t>
  </si>
  <si>
    <t>myb870077</t>
  </si>
  <si>
    <t>MONS CUPRI VVHIM VVELL LIMITED</t>
  </si>
  <si>
    <t>Montrose Diamond Mining Co., Ltd. . The name was changed October, 1908.</t>
  </si>
  <si>
    <t>myb880606</t>
  </si>
  <si>
    <t>PENRIKYBER NAVIGATION COLLIERY CO LTD</t>
  </si>
  <si>
    <t>£1,537.</t>
  </si>
  <si>
    <t>myb880824</t>
  </si>
  <si>
    <t>PHCENIX GOLD MINES LIMITED</t>
  </si>
  <si>
    <t>Increased from £200,000 to £240,000 in September, 1905, the new shares being ofieml</t>
  </si>
  <si>
    <t>myb883092</t>
  </si>
  <si>
    <t>TRANSWAAL</t>
  </si>
  <si>
    <t>May 30, 1916, the profit was £419,754, making with balance forward</t>
  </si>
  <si>
    <t>myb884809</t>
  </si>
  <si>
    <t>RIGHT OF WAX WNES LIMITED</t>
  </si>
  <si>
    <t>california</t>
  </si>
  <si>
    <t>Capital -$2,000,000, in 400,000 shares of $5 each; 374,518 shares are issued</t>
  </si>
  <si>
    <t>myb886991</t>
  </si>
  <si>
    <t>SAN ANTONIO DE ESQUILACHE PERU MINES</t>
  </si>
  <si>
    <t>san francisco</t>
  </si>
  <si>
    <t>it was decided to transfer the properties to the San Francisco Mines of Mexico,</t>
  </si>
  <si>
    <t>myb889166</t>
  </si>
  <si>
    <t>SNEYD COLLIERIES LIMITED</t>
  </si>
  <si>
    <t>debentures are registered and are redeemable on or before October 1, 1930, by</t>
  </si>
  <si>
    <t>myb890671</t>
  </si>
  <si>
    <t>NAMES OF THE SHARES</t>
  </si>
  <si>
    <t>highest, 7s. 3d.; lowest, 4s. 3d. Latest price, 5s. SOUTHTMOUNT BOPPY GOLD MINING CO., LTD.</t>
  </si>
  <si>
    <t>myb891045</t>
  </si>
  <si>
    <t>SOUTH RAND EXPLORATION CO LIMITED</t>
  </si>
  <si>
    <t>M. Hamlyn.</t>
  </si>
  <si>
    <t>hamitton</t>
  </si>
  <si>
    <t>myb891267</t>
  </si>
  <si>
    <t>TRADE IN SOUTH AFRICA</t>
  </si>
  <si>
    <t>where you are now drilling in Borehole No.</t>
  </si>
  <si>
    <t>myb891818</t>
  </si>
  <si>
    <t>STAR OF EGY PT MINES</t>
  </si>
  <si>
    <t>option for one year after the</t>
  </si>
  <si>
    <t>myb893498</t>
  </si>
  <si>
    <t>T A QUAH MINING</t>
  </si>
  <si>
    <t>Patterson, 28, Bishopsgate, E.C.</t>
  </si>
  <si>
    <t>myb896643</t>
  </si>
  <si>
    <t>UNITED NAT NA COLLIERIES LIMITED</t>
  </si>
  <si>
    <t>Accounts For year ended July 31, 1916, submitted December 12, 1916, there</t>
  </si>
  <si>
    <t>myb898942</t>
  </si>
  <si>
    <t>WASSAVV EXPLORING SYNDICATE LIMITEU</t>
  </si>
  <si>
    <t>SecretaMryanagers Fanti Consolidated Mines, Limited. and Offices J. Coltman, 19, St. Swithin s Lane. E.C.</t>
  </si>
  <si>
    <t>myb902918</t>
  </si>
  <si>
    <t>ZINC CORPORATION LIMITED</t>
  </si>
  <si>
    <t>For year ended December 31, 1914, submitted</t>
  </si>
  <si>
    <t>myb960930</t>
  </si>
  <si>
    <t>WEST BOU LDER GOLD MINES LTD</t>
  </si>
  <si>
    <t>Australia, Noveinoer 11, 1917, showed development £2,077. plant £500, preliminary</t>
  </si>
  <si>
    <t>myb964253</t>
  </si>
  <si>
    <t>HIGUTPF</t>
  </si>
  <si>
    <t>30, 1918, there was a profit of £11,011, making with balance forward a sum of</t>
  </si>
  <si>
    <t>myb969047</t>
  </si>
  <si>
    <t>IMPERIAL AND GENERAL SECURITIES LIMITED</t>
  </si>
  <si>
    <t>Dufiryn Rhondda. Collieries near Cymmer, South Wales, together with plant,</t>
  </si>
  <si>
    <t>myb969220</t>
  </si>
  <si>
    <t>INTERMEDIATE EQUIPMENTS LTD</t>
  </si>
  <si>
    <t>Transfer form, common; fee, 2s. 6d. Voting power, one vote per share.</t>
  </si>
  <si>
    <t>myb969525</t>
  </si>
  <si>
    <t>JOHANNESBURG CONSOLIDATED INVESTMENT</t>
  </si>
  <si>
    <t>8. B. Joel, Permanent Chairman.</t>
  </si>
  <si>
    <t>joardan</t>
  </si>
  <si>
    <t>myb971127</t>
  </si>
  <si>
    <t>KRAMAT PULAL LTD</t>
  </si>
  <si>
    <t>carter</t>
  </si>
  <si>
    <t>district of the Orange River Colony, also other properties, total area 68,321 acres.</t>
  </si>
  <si>
    <t>myb972436</t>
  </si>
  <si>
    <t>LOW MOVOIR LTD</t>
  </si>
  <si>
    <t>and Oflices- H. Williams, Consolidated Building. Secretary and O oes W. Smith, 10-11,Aust1n Friars, E.C.</t>
  </si>
  <si>
    <t>myb974834</t>
  </si>
  <si>
    <t>MOUNT LYELL MINING AND RAILWAY CO LTD</t>
  </si>
  <si>
    <t>wallaroo</t>
  </si>
  <si>
    <t>ments have been successfully carried out both by oil flotation and electrolytic process.</t>
  </si>
  <si>
    <t>myb980469</t>
  </si>
  <si>
    <t>MI I G BIA VUAL</t>
  </si>
  <si>
    <t>Reglstere l August 29, 1918, to acquire the properties of the Pusing Lama Tin</t>
  </si>
  <si>
    <t>augustine</t>
  </si>
  <si>
    <t>reglstere</t>
  </si>
  <si>
    <t>myb981131</t>
  </si>
  <si>
    <t>RANO SELECTION CORPORATION LTD</t>
  </si>
  <si>
    <t>Prices, 1916: highest, 17s. 3d.; lowest, 10s.; 1917: debs., highest, 91; lowest,</t>
  </si>
  <si>
    <t>myb983586</t>
  </si>
  <si>
    <t>SHEEPBRIDGE COAL AND IRON CO LTD</t>
  </si>
  <si>
    <t>mines at frodingham lincolnshire cottesmore in</t>
  </si>
  <si>
    <t>to £1,250,000 in May, 1914, by creation of a. further 450,300 ordinary shares, of</t>
  </si>
  <si>
    <t>myb985639</t>
  </si>
  <si>
    <t>BRONZE AND BRASS FOUNDERS</t>
  </si>
  <si>
    <t>the heidelberg</t>
  </si>
  <si>
    <t>boundaries were purchased for 43,420 fully-paid £1 shares, and in February,</t>
  </si>
  <si>
    <t>myb986565</t>
  </si>
  <si>
    <t>LONDON V</t>
  </si>
  <si>
    <t>Capital- £25,000, in 500,000 shares of ls. each; all the shares are issued and</t>
  </si>
  <si>
    <t>myb992416</t>
  </si>
  <si>
    <t>AND CENTRIFUGAL PUMPS</t>
  </si>
  <si>
    <t>Specially designed and constructed for mine purposes.</t>
  </si>
  <si>
    <t>myb1002575</t>
  </si>
  <si>
    <t>DRUMMA COLLIERY CO LTD</t>
  </si>
  <si>
    <t>sweden</t>
  </si>
  <si>
    <t>miles of railway. The company also acquired exclusive license to use in Norway</t>
  </si>
  <si>
    <t>myb1004642</t>
  </si>
  <si>
    <t>FANTI CONSOLIDATED MINES LTD</t>
  </si>
  <si>
    <t>warrants may be had for 1, 5, 10, 25 and 50 shares; charge: ls. for one to five</t>
  </si>
  <si>
    <t>myb1006285</t>
  </si>
  <si>
    <t>GELDENHUIS DEEP LIMITED</t>
  </si>
  <si>
    <t>was a profit of £858, making with balance forward a sum of £1,840 ; cash £251,</t>
  </si>
  <si>
    <t>myb1010493</t>
  </si>
  <si>
    <t>KINCOED COLLIERY CQ LTD</t>
  </si>
  <si>
    <t>ing and other rights and interests near Pontllanfraith, Abercarn, Mon. The</t>
  </si>
  <si>
    <t>rigaud</t>
  </si>
  <si>
    <t>ing</t>
  </si>
  <si>
    <t>myb1015118</t>
  </si>
  <si>
    <t>MOUNT ZEEHAN TASMANIA SILVER LEAD MINES</t>
  </si>
  <si>
    <t>Accounts For year ended June 30, 1919, submitted November 27, 1919,</t>
  </si>
  <si>
    <t>myb1021392</t>
  </si>
  <si>
    <t>arizona</t>
  </si>
  <si>
    <t>Arizona, U.S.A. DuringMay, 1910, the undertaking of the Gila. Copper Co.,</t>
  </si>
  <si>
    <t>myb1025076</t>
  </si>
  <si>
    <t>SOUTH AFRICAN AND GENERAL INVESTMENT AND TRUST CO LTD</t>
  </si>
  <si>
    <t>fully paid. During 1910, 49,993 ordinary shares were subscribed at par. Increased</t>
  </si>
  <si>
    <t>myb1027914</t>
  </si>
  <si>
    <t>TRANSVAAL AND NATAL COLLIERIES LTD</t>
  </si>
  <si>
    <t>the</t>
  </si>
  <si>
    <t>Station. There are two circular shafts on Vaalbank and an inc line shaft on</t>
  </si>
  <si>
    <t>myb1038094</t>
  </si>
  <si>
    <t>BRITISH METALS EXTRACTION CO LTD</t>
  </si>
  <si>
    <t>the British sphere north of the Zambesi and west of Nyasaland. The rights of</t>
  </si>
  <si>
    <t>myb1044763</t>
  </si>
  <si>
    <t>EAST AND WEST AFRICAN EXPLORATION CO LTD</t>
  </si>
  <si>
    <t>EAST POOL AND AGAR oontinned.</t>
  </si>
  <si>
    <t>myb1047513</t>
  </si>
  <si>
    <t>GOLDFIELD CONSOLIDATED MINES CO</t>
  </si>
  <si>
    <t>nevada</t>
  </si>
  <si>
    <t>day, a concentrating plant, and an experimental oil flotation plant for low grade ore.</t>
  </si>
  <si>
    <t>myb1049180</t>
  </si>
  <si>
    <t>IS THEREFORE READ BY THEM</t>
  </si>
  <si>
    <t>ACcollnts lssuedio shareholders only. g i W</t>
  </si>
  <si>
    <t>myb1051447</t>
  </si>
  <si>
    <t>SOUTH TXFRICAN</t>
  </si>
  <si>
    <t>myb1052596</t>
  </si>
  <si>
    <t>LAHAT MINES LIMITED</t>
  </si>
  <si>
    <t>portland</t>
  </si>
  <si>
    <t>Transfer form, common; fee, 2s. 6d. Voting power, and vote per share.</t>
  </si>
  <si>
    <t>myb1053498</t>
  </si>
  <si>
    <t>LOMAH BANKE EY PEOPRIETARY LTD OI S</t>
  </si>
  <si>
    <t>except eight stands in Salisbury have since been sold to Farm Lands of Rhodesia,</t>
  </si>
  <si>
    <t>myb1056675</t>
  </si>
  <si>
    <t>MTJUWT YAGAHQWG EXPLORATIONWAND FINANCE</t>
  </si>
  <si>
    <t>bedford</t>
  </si>
  <si>
    <t>A. Cadell, C.S I., J.P.. Chairman. I E. Bedford. I W. E. Martin. I F. E. Richards.</t>
  </si>
  <si>
    <t>ernest</t>
  </si>
  <si>
    <t>haiu</t>
  </si>
  <si>
    <t>cademartori</t>
  </si>
  <si>
    <t>alan</t>
  </si>
  <si>
    <t>martin</t>
  </si>
  <si>
    <t>w</t>
  </si>
  <si>
    <t>richards</t>
  </si>
  <si>
    <t>myb1057079</t>
  </si>
  <si>
    <t>NAMAQUA COPPER COMPANY LIMITED</t>
  </si>
  <si>
    <t>C8p1il1 £468,750, divided into 5,000 eight per cent. cumulative preference</t>
  </si>
  <si>
    <t>myb1060172</t>
  </si>
  <si>
    <t>NORTHERN NIGERIA MINING AND EXPLORATION</t>
  </si>
  <si>
    <t>Essen MINES</t>
  </si>
  <si>
    <t>myb1060974</t>
  </si>
  <si>
    <t>ORSK GOLDFIELDS LIMITED</t>
  </si>
  <si>
    <t>E. R. Woakes. I Baron P. P. Oberkampf, Honorary.</t>
  </si>
  <si>
    <t>oats</t>
  </si>
  <si>
    <t>wobb</t>
  </si>
  <si>
    <t>myb1061686</t>
  </si>
  <si>
    <t>PENA COPPER MINES LIMITED</t>
  </si>
  <si>
    <t>Secretary and Ofllces E. Johnston, 295-219;, Salisbury House, E.C. 2.</t>
  </si>
  <si>
    <t>myb1065826</t>
  </si>
  <si>
    <t>SEFWI GOLDFIELDS LIMITED</t>
  </si>
  <si>
    <t>korea</t>
  </si>
  <si>
    <t>miles in the province of Whang Hui, Korea. The concession was granted in 1908</t>
  </si>
  <si>
    <t>myb1070041</t>
  </si>
  <si>
    <t>TRENGGANU SYND LTD</t>
  </si>
  <si>
    <t>TRENGGANU SYND LTD.</t>
  </si>
  <si>
    <t>myb1070123</t>
  </si>
  <si>
    <t>TREVEDDOE MINING CO LTD</t>
  </si>
  <si>
    <t>were 1,246,163 cubic yards; yield 190 catties; costs 45-6 cents l2 7d. ;</t>
  </si>
  <si>
    <t>myb1070639</t>
  </si>
  <si>
    <t>UNION AND RHODESIAN TRUST LTD</t>
  </si>
  <si>
    <t>an amalgamation of a company of same name</t>
  </si>
  <si>
    <t>myb1080215</t>
  </si>
  <si>
    <t>Capital £3,000,000, in £1 shares: 2,455,053 shares are issued and</t>
  </si>
  <si>
    <t>myb1080801</t>
  </si>
  <si>
    <t>B URMESE MINERALS EXPLORATION L I D</t>
  </si>
  <si>
    <t>BUSH conuÃƒÆ Ã Â slss. LTD.</t>
  </si>
  <si>
    <t>myb1082411</t>
  </si>
  <si>
    <t>WOLVERHAIVIPTON LTD</t>
  </si>
  <si>
    <t>chile</t>
  </si>
  <si>
    <t>CHILE EXPLORATION 00. Directors.</t>
  </si>
  <si>
    <t>exploratio</t>
  </si>
  <si>
    <t>myb1084504</t>
  </si>
  <si>
    <t>CROWN MINES LIMITED</t>
  </si>
  <si>
    <t>consulting Engineers Central Mining and Investment Corpn., Ltd,</t>
  </si>
  <si>
    <t>myb1084619</t>
  </si>
  <si>
    <t>CONSIDERATION</t>
  </si>
  <si>
    <t>CROWN MINES</t>
  </si>
  <si>
    <t>myb1084787</t>
  </si>
  <si>
    <t>CYPRUS SULPHUR AND COPPER CO LTD</t>
  </si>
  <si>
    <t>vaal, in extent 4,367 morgen 183 sq. roods, equal to 6,283 claims, and adioins De</t>
  </si>
  <si>
    <t>myb1090830</t>
  </si>
  <si>
    <t>HARTON COAL CO I LTD</t>
  </si>
  <si>
    <t>Registered December 16, 1910, to acquire from E. M. Bainbridge the benefit</t>
  </si>
  <si>
    <t>myb1093347</t>
  </si>
  <si>
    <t>KENT CENTRAL COAL ESTATES LIMITED</t>
  </si>
  <si>
    <t>line. In conjunction with the South-Eastern Coalfield Extension, Ltd., 70 acres</t>
  </si>
  <si>
    <t>myb1094666</t>
  </si>
  <si>
    <t>LANNER SYND LTD</t>
  </si>
  <si>
    <t>Accounts For fifteen months ended December 31, 1920, submitted June 23,</t>
  </si>
  <si>
    <t>myb1101520</t>
  </si>
  <si>
    <t>NORTH END COLDLIERY CO LTD</t>
  </si>
  <si>
    <t>shares.</t>
  </si>
  <si>
    <t>myb1103014</t>
  </si>
  <si>
    <t>PALMAREJO AND MEXICAN GOLD FIELDS LIMITED</t>
  </si>
  <si>
    <t>chihuahua</t>
  </si>
  <si>
    <t>60-stamp mill and reduction works are erected but are now</t>
  </si>
  <si>
    <t>myb1106449</t>
  </si>
  <si>
    <t>ORE AND COPPER STATISTICS FROM TO</t>
  </si>
  <si>
    <t>71111-5passu with the A and B debentures on the other assets. Redeemable</t>
  </si>
  <si>
    <t>myb1107765</t>
  </si>
  <si>
    <t>SCOTTISH AUSTRALIAN MINING COMPANY</t>
  </si>
  <si>
    <t>F. W. Turner, Chairman and Managing. J. Varley. I E. M. Crookshank, J.P.</t>
  </si>
  <si>
    <t>crookes</t>
  </si>
  <si>
    <t>myb1109501</t>
  </si>
  <si>
    <t>SOUTH AFRICAN OPTION SYND LTD</t>
  </si>
  <si>
    <t>Phone: 7727 Wall.</t>
  </si>
  <si>
    <t>myb1112074</t>
  </si>
  <si>
    <t>or before</t>
  </si>
  <si>
    <t>down of these properties in or before 1895 were as follows : -- II The severe fall</t>
  </si>
  <si>
    <t>myb1118631</t>
  </si>
  <si>
    <t>ASHANTI GOLDFIELDS CORPORATION</t>
  </si>
  <si>
    <t>1915-16, 70 per cent.; 1916-17, 75 per cent.; 1917-18, 70 per cent.; 1918-19, 75 per</t>
  </si>
  <si>
    <t>myb1119890</t>
  </si>
  <si>
    <t>BECHUANALAIU EXPLORATION LTD</t>
  </si>
  <si>
    <t>40s. each. The capital was reduced to £200,000 by Order of the Court, dated</t>
  </si>
  <si>
    <t>myb1121842</t>
  </si>
  <si>
    <t>The shares are still held. .4</t>
  </si>
  <si>
    <t>myb1122416</t>
  </si>
  <si>
    <t>BULLF INCH PROPRIETARY L FDT</t>
  </si>
  <si>
    <t>B URMA RUBY MINES. LTD. Directors Qualification, £250 in shares . Sir H. S. BarnMesa,nKa.gCe.Sr. I.,FK..C.V.O. | Sir L. M.Jacob, K.O.S.I. Atlay, Mogok, Upper Burma. Chief Engineer A H. Morgan, Mogck, Upper Burma. Secretary and Oflilces M. J. Battye, Suffolk House, Laurence Pountney Hi1 , 151.0. 4.</t>
  </si>
  <si>
    <t>moreland</t>
  </si>
  <si>
    <t>alfred</t>
  </si>
  <si>
    <t>engineer</t>
  </si>
  <si>
    <t>myb1124647</t>
  </si>
  <si>
    <t>CITY AND SUBURBAN GOLD MINING AND ESTATE</t>
  </si>
  <si>
    <t>myb1125057</t>
  </si>
  <si>
    <t>COLOMBIAN GENERAL EXPLORATION SYND LTD</t>
  </si>
  <si>
    <t>for 1903-4, 10 per cent. ; 1904-5, 10 per cent.; 1905-6, 20 per cent.; 1906-7, 30 per</t>
  </si>
  <si>
    <t>myb1126045</t>
  </si>
  <si>
    <t>CORNWALL SLQTE QUARRIES LTD</t>
  </si>
  <si>
    <t>for 168 claims. The area now comprises 515 copper mining claims, situate near</t>
  </si>
  <si>
    <t>myb1129834</t>
  </si>
  <si>
    <t>FILANI NIGERIA TIN MINING COMPANY LIMITED</t>
  </si>
  <si>
    <t>On 11. - e I</t>
  </si>
  <si>
    <t>myb1136871</t>
  </si>
  <si>
    <t>BRAKES AND GLUTGI IES</t>
  </si>
  <si>
    <t>Accounts For year ended September 30, 192l, submitted Juno 1, 1922,</t>
  </si>
  <si>
    <t>myb1137869</t>
  </si>
  <si>
    <t>MEIROS COLLIERIES LTD</t>
  </si>
  <si>
    <t>Nettlefolds, Ltd., and John Lysaght, Ltd., by purchase of the ordinary shares</t>
  </si>
  <si>
    <t>myb1138040</t>
  </si>
  <si>
    <t>MEXICAN CORPN LTD</t>
  </si>
  <si>
    <t>silver, 2 4 per cent. copper and 5 5 per cent. zinc. This ore requires preliminary</t>
  </si>
  <si>
    <t>myb1139412</t>
  </si>
  <si>
    <t>MOUNT BISCHOFF TIN MINING CEO REGISTERED</t>
  </si>
  <si>
    <t>£5 shares. The property covers an area of 173 acres, situate about 160 miles north</t>
  </si>
  <si>
    <t>myb1141925</t>
  </si>
  <si>
    <t>FALMOUTH ENGLAND</t>
  </si>
  <si>
    <t>porcupine</t>
  </si>
  <si>
    <t>.1. , 1923. 401</t>
  </si>
  <si>
    <t>myb1146372</t>
  </si>
  <si>
    <t>forward left £257,481, out of which debenture interest absorbed £131,245,</t>
  </si>
  <si>
    <t>myb1155214</t>
  </si>
  <si>
    <t>CANNON STREET LONDON E C</t>
  </si>
  <si>
    <t>G. Shaw. | 1 . Shaw. General Manager G. H. Ashwin. Secretary and Omces W. A. Bownas, Wath-on-Dearne, near Rotherham.</t>
  </si>
  <si>
    <t>ashworth</t>
  </si>
  <si>
    <t>g</t>
  </si>
  <si>
    <t>secretary</t>
  </si>
  <si>
    <t>myb1155937</t>
  </si>
  <si>
    <t>WEST OF ENGLAND MINES AND METALS LTD</t>
  </si>
  <si>
    <t>at 3,890 ft.; a further 215 ft. have been sunk and development is now in</t>
  </si>
  <si>
    <t>stock</t>
  </si>
  <si>
    <t>yinc</t>
  </si>
  <si>
    <t>locinc</t>
  </si>
  <si>
    <t>amm218</t>
  </si>
  <si>
    <t>Reynolds Alaska Development Company. Ellamar.</t>
  </si>
  <si>
    <t>State St, Boston</t>
  </si>
  <si>
    <t xml:space="preserve">boston </t>
  </si>
  <si>
    <t>Office, 27 State St., Boston. Howard D. Reynolds, Pres.; Blamey Stevens.</t>
  </si>
  <si>
    <t>reynolds</t>
  </si>
  <si>
    <t>d</t>
  </si>
  <si>
    <t>Pres</t>
  </si>
  <si>
    <t>amm241</t>
  </si>
  <si>
    <t>Yukon Consolidated Gold Fields Company. Dawson.</t>
  </si>
  <si>
    <t xml:space="preserve">broadway </t>
  </si>
  <si>
    <t>(Guggenheim Exploration Co.) Office, 71 Broadway, New York. Oscar</t>
  </si>
  <si>
    <t>amm296</t>
  </si>
  <si>
    <t>Republic Zinc Company. Rush.</t>
  </si>
  <si>
    <t>amm428</t>
  </si>
  <si>
    <t>Black Prince Copper Company. Johnson.</t>
  </si>
  <si>
    <t>Teviston.</t>
  </si>
  <si>
    <t>amm704</t>
  </si>
  <si>
    <t>Henrietta Cyanide &amp; Development Company. Big Bug,</t>
  </si>
  <si>
    <t>Prescott.</t>
  </si>
  <si>
    <t>amm1078</t>
  </si>
  <si>
    <t>Union Pass Gold Mining Company. Kingman.</t>
  </si>
  <si>
    <t>United Globe Mines. Globe.</t>
  </si>
  <si>
    <t>amm1156</t>
  </si>
  <si>
    <t>American Mining &amp; Development Company. Kennett.</t>
  </si>
  <si>
    <t>amm1249</t>
  </si>
  <si>
    <t>Bully Hill Copper Mining &amp; Smelting Company. Winthrop.</t>
  </si>
  <si>
    <t>amm1481</t>
  </si>
  <si>
    <t>Empire Mines &amp; Investment Company. Grass Valley.</t>
  </si>
  <si>
    <t>men.</t>
  </si>
  <si>
    <t>amm1890</t>
  </si>
  <si>
    <t>New Bodie Mining Company. Bodie.</t>
  </si>
  <si>
    <t>W. A. R. Loose, Mgr. Gold. Steam. 20 men.</t>
  </si>
  <si>
    <t>looal</t>
  </si>
  <si>
    <t>Mgr</t>
  </si>
  <si>
    <t>amm2198</t>
  </si>
  <si>
    <t>Trojan Mining Company. Fenner.</t>
  </si>
  <si>
    <t>A. M. Rockwell. Supt. Bonanza King Mine. Silver, Lead &amp; Zinc. Steam</t>
  </si>
  <si>
    <t>rochester</t>
  </si>
  <si>
    <t>Supt</t>
  </si>
  <si>
    <t>source to text</t>
  </si>
  <si>
    <t>amm2790</t>
  </si>
  <si>
    <t>Gold Dollar Consolidated Mining Company. Victor.</t>
  </si>
  <si>
    <t>Newett.</t>
  </si>
  <si>
    <t>text to class</t>
  </si>
  <si>
    <t>amm2900</t>
  </si>
  <si>
    <t>Home Run Leasing Company.</t>
  </si>
  <si>
    <t>amm2938</t>
  </si>
  <si>
    <t>Indiana Gold Mining &amp; Milling Company. Idaho Springs.</t>
  </si>
  <si>
    <t xml:space="preserve">indiana </t>
  </si>
  <si>
    <t>amm2955</t>
  </si>
  <si>
    <t>Iron Silver Mining Company. Leadville.</t>
  </si>
  <si>
    <t>&amp; Dome Mines. Gold, Silver, Lead &amp; Zinc. Steam. 100 ton Concentrat</t>
  </si>
  <si>
    <t>amm3598</t>
  </si>
  <si>
    <t>Wonderful London Mines Company. Breckenridge.</t>
  </si>
  <si>
    <t xml:space="preserve">denver </t>
  </si>
  <si>
    <t>Wood (Henry E.) Ore Testing Works. 1734 Arapahoe St., Denver.</t>
  </si>
  <si>
    <t>amm3924</t>
  </si>
  <si>
    <t>Greyhound Mining &amp; Milling Company limited.</t>
  </si>
  <si>
    <t xml:space="preserve">custer </t>
  </si>
  <si>
    <t>Custer.</t>
  </si>
  <si>
    <t>amm4213</t>
  </si>
  <si>
    <t>X Ray Mining Company.</t>
  </si>
  <si>
    <t>Pearl.</t>
  </si>
  <si>
    <t>amm4526</t>
  </si>
  <si>
    <t>Consumers Ore Company. Palmer. J. R. Thompson, Gen. Mgr.; John H. Huhtala, Supt. Richmond Mine.</t>
  </si>
  <si>
    <t xml:space="preserve">michigan </t>
  </si>
  <si>
    <t>118 MICHIGAN.</t>
  </si>
  <si>
    <t>amm4545</t>
  </si>
  <si>
    <t>Mineral Mining Company. Iron Mountain.</t>
  </si>
  <si>
    <t>Milwaukee, Wis</t>
  </si>
  <si>
    <t xml:space="preserve">milwaukee </t>
  </si>
  <si>
    <t>Office, Milwaukee, Wis. Elwin F. Brown, Gen. Mgr. Nanaimo, Breen,</t>
  </si>
  <si>
    <t>elwin</t>
  </si>
  <si>
    <t>amm4595</t>
  </si>
  <si>
    <t>Verona Mining Company. Iron Mountain.</t>
  </si>
  <si>
    <t>amm4709</t>
  </si>
  <si>
    <t>Mine La Motte Lead &amp; Smelting Company. Mine La Motte.</t>
  </si>
  <si>
    <t>Supt.; S. S. Clarke, Metallurgist. Lead, Nickel, Copper &amp; Cobalt. Steam.</t>
  </si>
  <si>
    <t>clarke</t>
  </si>
  <si>
    <t>susan</t>
  </si>
  <si>
    <t>amm5343</t>
  </si>
  <si>
    <t>(Amalgamated Copper Company.) Charles W. Goodale, E. M., Mgr.; John</t>
  </si>
  <si>
    <t>&amp; West Colusa Mines. Copper Sulphides; Gold &amp; Silver. Steam &amp; Elec</t>
  </si>
  <si>
    <t>amm5893</t>
  </si>
  <si>
    <t>New Era Mining Company. Searchlight.</t>
  </si>
  <si>
    <t>amm5902</t>
  </si>
  <si>
    <t>North Mountain Mining Company. Cherry Creek.</t>
  </si>
  <si>
    <t>Cyanide Plant. 25 men.</t>
  </si>
  <si>
    <t>amm6462</t>
  </si>
  <si>
    <t>American Goldfields Company.</t>
  </si>
  <si>
    <t>Marquette Bdg</t>
  </si>
  <si>
    <t xml:space="preserve">marquette </t>
  </si>
  <si>
    <t>Office, 1114 Marquette Bdg., Chicago. W. J</t>
  </si>
  <si>
    <t>shales</t>
  </si>
  <si>
    <t>amm6574</t>
  </si>
  <si>
    <t>Eureka Mining Company.</t>
  </si>
  <si>
    <t>A. F. Nelson, Supt. Gold. Steam.</t>
  </si>
  <si>
    <t>neilsou</t>
  </si>
  <si>
    <t>amm7137</t>
  </si>
  <si>
    <t>Gemini-Godiva Consolidated Mining Company. Eureka.</t>
  </si>
  <si>
    <t>&amp; Copper. Water &amp; Steam. 100 men.</t>
  </si>
  <si>
    <t>amm7616</t>
  </si>
  <si>
    <t>Kennedy Mining Company. Platteville.</t>
  </si>
  <si>
    <t>W. Oberholzer, Supt. St. Paul Mine. Steam. 50 ton Concentrating Plant.</t>
  </si>
  <si>
    <t>wilhelm</t>
  </si>
  <si>
    <t>arno</t>
  </si>
  <si>
    <t>amm7813</t>
  </si>
  <si>
    <t>Interstate Exploration Company. Endicott Bdg, St. Paul, Minn.</t>
  </si>
  <si>
    <t>2*BAL0ERAS N°I232</t>
  </si>
  <si>
    <t>amm7854</t>
  </si>
  <si>
    <t>REFINING COMPANY</t>
  </si>
  <si>
    <t>:</t>
  </si>
  <si>
    <t>amm7973</t>
  </si>
  <si>
    <t>American Smelting &amp; Refining Company. Santa Eulalia.</t>
  </si>
  <si>
    <t>Broadway, New York</t>
  </si>
  <si>
    <t>Office, 71 Broadway, New York. Thomas H. Mitchell, Supt. Sauto Do</t>
  </si>
  <si>
    <t>mitchell</t>
  </si>
  <si>
    <t>amm8045</t>
  </si>
  <si>
    <t>Clarinas Mining Company. Santa Barbara.</t>
  </si>
  <si>
    <t>&amp;</t>
  </si>
  <si>
    <t>amm8104</t>
  </si>
  <si>
    <t>amm8154</t>
  </si>
  <si>
    <t>Grenadena Mining Company. Santa Barbara.</t>
  </si>
  <si>
    <t>amm8366</t>
  </si>
  <si>
    <t>Coahuila Mining &amp; Smelting Company. Viesca.</t>
  </si>
  <si>
    <t>Ragaz, Gen. Supt. of Mines; Ernest Harms, Metallurgist &amp; Gen. Supt. of</t>
  </si>
  <si>
    <t>harman</t>
  </si>
  <si>
    <t>Gen. Supt</t>
  </si>
  <si>
    <t>amm8615</t>
  </si>
  <si>
    <t>Mina Grande Mining &amp; Milling Company. Tepehuanes.</t>
  </si>
  <si>
    <t>Eliseo C. Julio, Mgr. Silver &amp; Gold. Steam. 100 men.</t>
  </si>
  <si>
    <t>judkewitsch</t>
  </si>
  <si>
    <t>eliseo</t>
  </si>
  <si>
    <t>amm8990</t>
  </si>
  <si>
    <t>Bolanos Mining Company. Bolanos.</t>
  </si>
  <si>
    <t>amm9061</t>
  </si>
  <si>
    <t>La Fortuna Mining Company. Ahualulco.</t>
  </si>
  <si>
    <t>amm9139</t>
  </si>
  <si>
    <t>Esperanza Mining Company. El Oro.</t>
  </si>
  <si>
    <t>amm9352</t>
  </si>
  <si>
    <t>(American Metal Co., New York.) F. F. Salisbury, Mgr. Minas Viejas</t>
  </si>
  <si>
    <t>Villaldama.</t>
  </si>
  <si>
    <t>amm9406</t>
  </si>
  <si>
    <t>Baldomero Mining Company. Ocotlan.</t>
  </si>
  <si>
    <t>Office, 80 Broadway, New York. Charles A. Hamilton, Gen. Mgr.; Charles</t>
  </si>
  <si>
    <t>hamilto</t>
  </si>
  <si>
    <t>amm9442</t>
  </si>
  <si>
    <t>Conejo Colorado Mining Company. Ocotlan.</t>
  </si>
  <si>
    <t>Steam. 10 Stamps &amp; 2 Huntington Mills. 50 men.</t>
  </si>
  <si>
    <t>amm9722</t>
  </si>
  <si>
    <t>Las Tablas Copper Company. Aguacaliente de Baca.</t>
  </si>
  <si>
    <t>200 men.</t>
  </si>
  <si>
    <t>amm9759</t>
  </si>
  <si>
    <t>Arizona &amp; Sonora Gold Mining &amp; Development Company. Cucurpe.</t>
  </si>
  <si>
    <t xml:space="preserve">arizona </t>
  </si>
  <si>
    <t>amm10007</t>
  </si>
  <si>
    <t>Ruby Gold &amp; Copper Company. Ortiz.</t>
  </si>
  <si>
    <t>50 men.</t>
  </si>
  <si>
    <t>amm10012</t>
  </si>
  <si>
    <t>San Bernardino Mining Company. Cananea. J. M. Gibbs, Mgr. Copper, Silver &amp; Gold. Steam. 25 men.</t>
  </si>
  <si>
    <t xml:space="preserve">cananea </t>
  </si>
  <si>
    <t>gibbon</t>
  </si>
  <si>
    <t>joseph</t>
  </si>
  <si>
    <t>amm10165</t>
  </si>
  <si>
    <t>Bote Mining Company. Zacatecas.</t>
  </si>
  <si>
    <t>Mills &amp; 80 ton Cyanide Plant. 750 men.</t>
  </si>
  <si>
    <t>amm10426</t>
  </si>
  <si>
    <t>Great Northern Mines Limited. Camborne and Poplar.</t>
  </si>
  <si>
    <t>Nelson</t>
  </si>
  <si>
    <t>Office, Nelson. B. C. W. F. Cochrane, Mgr.; Barkley Crilly, Supt. Oyster</t>
  </si>
  <si>
    <t>cochrave</t>
  </si>
  <si>
    <t>amm10612</t>
  </si>
  <si>
    <t>(Canadian Consolidated Mines Limited.) James Cronin</t>
  </si>
  <si>
    <t>Moyie.</t>
  </si>
  <si>
    <t>amm11008</t>
  </si>
  <si>
    <t>Thetford Chrome Company.</t>
  </si>
  <si>
    <t>Black Lake.</t>
  </si>
  <si>
    <t>amm11032</t>
  </si>
  <si>
    <t>(American Smelting &amp; Refining Company.) Office, Bymes Bdg., Denver.</t>
  </si>
  <si>
    <t>Franklin Guiterman, Gen. Mgr.; Frederick P. Bayles, Supt. Steam &amp;</t>
  </si>
  <si>
    <t>guilford</t>
  </si>
  <si>
    <t>amm11047</t>
  </si>
  <si>
    <t>Curtis Coal Mining Company. Colorado Springs.</t>
  </si>
  <si>
    <t xml:space="preserve">colorado </t>
  </si>
  <si>
    <t>amm11372</t>
  </si>
  <si>
    <t>COAL MINES— NEW BRUNSWICK— NOVA SCOTIA. 229</t>
  </si>
  <si>
    <t xml:space="preserve">new brunswick </t>
  </si>
  <si>
    <t>amm11459</t>
  </si>
  <si>
    <t>BEATSON COPPER CO., LATOUCHE, ALASKA. B2.</t>
  </si>
  <si>
    <t>Andrew K. Beatson. Manager. Bonanza Mine. Copper-Silver. Open Cut</t>
  </si>
  <si>
    <t>beatson</t>
  </si>
  <si>
    <t>andrew</t>
  </si>
  <si>
    <t>k</t>
  </si>
  <si>
    <t>Manager</t>
  </si>
  <si>
    <t>amm11779</t>
  </si>
  <si>
    <t>AUGUSTA MINING CO., PATAGONIA, SANTA CRUZ COUNTY. D.</t>
  </si>
  <si>
    <t>William Kemp, Supt. Copper. Shaft. Steam and Air. 25 Men.</t>
  </si>
  <si>
    <t>kemble</t>
  </si>
  <si>
    <t>william</t>
  </si>
  <si>
    <t>amm12353</t>
  </si>
  <si>
    <t>McMILLEN STONEWALL MINING CO., GLOBE, GILA COUNTY. D.</t>
  </si>
  <si>
    <t>amm12653</t>
  </si>
  <si>
    <t>SHATTUCK-ARIZONA COPPER CO., BISBEE, COCHISE COUNTY. C.</t>
  </si>
  <si>
    <t>Duluth, Minnesota</t>
  </si>
  <si>
    <t xml:space="preserve">duluth </t>
  </si>
  <si>
    <t>Office, Duluth, Minnesota. L. C. Shattuck, Manager. Copper. 900' Shaft.</t>
  </si>
  <si>
    <t>sharwood</t>
  </si>
  <si>
    <t>lemuel</t>
  </si>
  <si>
    <t>amm12815</t>
  </si>
  <si>
    <t>VICTOR &amp; BELL CROWN MINING CO., WENDEN, YUMA COUNTY. D.</t>
  </si>
  <si>
    <t>amm13051</t>
  </si>
  <si>
    <t>BLUFF CITY MINING CO., QUINCY, PLUMAS CO. E.</t>
  </si>
  <si>
    <t xml:space="preserve">quincy </t>
  </si>
  <si>
    <t>amm13150</t>
  </si>
  <si>
    <t>CALIFORNIA CONS. MINING CO., ROLLIN, SISKIYOU CO. B2.</t>
  </si>
  <si>
    <t>Laurel Group. Gold. Tunnels. Electricity and Air. 25 Men.</t>
  </si>
  <si>
    <t>amm13512</t>
  </si>
  <si>
    <t>FRESNO MAGNESITE CO., REEDLEY, FRESNO CO. B2.</t>
  </si>
  <si>
    <t xml:space="preserve">fresno </t>
  </si>
  <si>
    <t>amm14185</t>
  </si>
  <si>
    <t>ORO GRANDE MINE, CARRVILLE, SISKIYOU CO. D.</t>
  </si>
  <si>
    <t>Strode Brothers, Owners. Gold. Tunnel. Water. 10 Stamps. 15 Men.</t>
  </si>
  <si>
    <t>brothers</t>
  </si>
  <si>
    <t>strode</t>
  </si>
  <si>
    <t>Owner</t>
  </si>
  <si>
    <t>amm14522</t>
  </si>
  <si>
    <t>SPANISH RIDGE MINING CO., WASHINGTON, NEVADA CO. D.</t>
  </si>
  <si>
    <t xml:space="preserve">washington </t>
  </si>
  <si>
    <t>amm14632</t>
  </si>
  <si>
    <t>TRINITY DREDGING &amp; POWER CO., LEWISTON, TRINITY CO. D.</t>
  </si>
  <si>
    <t>Fay Bdg</t>
  </si>
  <si>
    <t>Office, 516 Fay Bdg , Los Angeles. H. E. Chesebro, Manager. Placer Gold</t>
  </si>
  <si>
    <t>cherry</t>
  </si>
  <si>
    <t>h</t>
  </si>
  <si>
    <t>amm14989</t>
  </si>
  <si>
    <t>CALLIOPE MINING CO., OURAY, OURAY CO. B2</t>
  </si>
  <si>
    <t>amm15554</t>
  </si>
  <si>
    <t>HUMMING BIRD M. &amp; M. CO., IDAHO SPRINGS, CLEAR CREEK CO. D</t>
  </si>
  <si>
    <t xml:space="preserve">teller </t>
  </si>
  <si>
    <t>HUMPHREY &amp; THOMPSON, BOX 851, CRIPPLE CREEK, TELLER CO. B.</t>
  </si>
  <si>
    <t>amm15685</t>
  </si>
  <si>
    <t>LARIMORE GOLD MINING &amp; MILLING CO., ELDORA, BOULDER CO. B2</t>
  </si>
  <si>
    <t xml:space="preserve">sutton </t>
  </si>
  <si>
    <t>Isaac Sutton, Manager. Gold-Silver. Shafts. Steam and Air. Developing.</t>
  </si>
  <si>
    <t>sutton</t>
  </si>
  <si>
    <t>isaac</t>
  </si>
  <si>
    <t>amm15737</t>
  </si>
  <si>
    <t>LOWE (W. B.) MINING &amp; MILLING CO., SILVERTON, SAN JUAN CO. X.</t>
  </si>
  <si>
    <t xml:space="preserve">yukon </t>
  </si>
  <si>
    <t>W. B. Lowe, Manager. Arpad and Yukon Groups. Lead-Silver-Gold-Copper.</t>
  </si>
  <si>
    <t>lowe</t>
  </si>
  <si>
    <t>amm15939</t>
  </si>
  <si>
    <t>O'REILLY GOLD MINING CO., BRECKENRIDGE, SUMMIT CO. B2</t>
  </si>
  <si>
    <t xml:space="preserve">breckenridge </t>
  </si>
  <si>
    <t>amm16206</t>
  </si>
  <si>
    <t>SOUND DEMOCRAT MINE, ANIMAS FORKS, SAN JUAN CO. B2</t>
  </si>
  <si>
    <t>Terry Brothers &amp; Smith, Operators; Joseph H Terry, Manager. Gold.</t>
  </si>
  <si>
    <t>terry</t>
  </si>
  <si>
    <t>amm16254</t>
  </si>
  <si>
    <t>SUNNYSIDE MINES, EUREKA, SAN JUAN CO. B</t>
  </si>
  <si>
    <t xml:space="preserve">eureka </t>
  </si>
  <si>
    <t>amm16490</t>
  </si>
  <si>
    <t>ALICE MINING CO., MULLAN, SHOSHONE CO. B.</t>
  </si>
  <si>
    <t>amm16561</t>
  </si>
  <si>
    <t>BOISE BASIN HYDRAULIC A POWER CO, LIMITED, PLACERVILLE. A.</t>
  </si>
  <si>
    <t>Water. 20 Stamps. 25 Men.</t>
  </si>
  <si>
    <t>amm16678</t>
  </si>
  <si>
    <t>GOLD POINT EXPLORATION &amp; EXTRACTION CO., BLACKFOOT. G.</t>
  </si>
  <si>
    <t>S. V. Clevenger, Manager. Auriferous Sand. Gasolene. 25-ton Cyanide</t>
  </si>
  <si>
    <t>s</t>
  </si>
  <si>
    <t>amm16726</t>
  </si>
  <si>
    <t>IDAHO CHAMPION MINING &amp; MILLING CO., ELK CITY, IDAHO CO. D.</t>
  </si>
  <si>
    <t>1000' Tunnel. Steam and Air. 10 Stamps. 25-ton Concentrating Mill and</t>
  </si>
  <si>
    <t>amm16754</t>
  </si>
  <si>
    <t>IDAHO LEAD-SILVER MINING CO., OSBURN, SHOSHONE CO. B2.</t>
  </si>
  <si>
    <t>150-ton Concentrating Mill. 50 Men.</t>
  </si>
  <si>
    <t>amm17340</t>
  </si>
  <si>
    <t>CALUMET &amp; HECLA MINING CO., CALUMET, HOUGHTON CO. A.</t>
  </si>
  <si>
    <t>ger: Walter Fitch. General Supt.: W. A. Childs. Supt.; W. M Gibson.</t>
  </si>
  <si>
    <t>fiske</t>
  </si>
  <si>
    <t>walter</t>
  </si>
  <si>
    <t>General Manager</t>
  </si>
  <si>
    <t>amm17545</t>
  </si>
  <si>
    <t>MINE LA MOTTE LEAD &amp; SMELTING CO., MINE LA MOTTE. A.</t>
  </si>
  <si>
    <t>Supt. Lead-Nickel-Copper-Cobalt. Shafts. Steam and Air. 500-ton Con</t>
  </si>
  <si>
    <t>amm18150</t>
  </si>
  <si>
    <t>DEL MONTE GOLDFIELD MINING CO., LUNING, ESMERALDA CO. D.</t>
  </si>
  <si>
    <t>Tunnel. Gasolene and Air. 15 Men.</t>
  </si>
  <si>
    <t>amm18348</t>
  </si>
  <si>
    <t>MANHATTAN WAR EAGLE MINING &amp; MILLING CO., MANHATTAN. B2.</t>
  </si>
  <si>
    <t>Walter Techow, Manager. Jumping Jack Mine. Gold. Shaft. Electricity</t>
  </si>
  <si>
    <t>tebbetts</t>
  </si>
  <si>
    <t>amm18379</t>
  </si>
  <si>
    <t>MONARCH MINES, WELLS, ELKO CO. B2.</t>
  </si>
  <si>
    <t>amm18468</t>
  </si>
  <si>
    <t>NINETY-NINE COPPER CO., GOOD SPRINGS, CLARK CO. D.</t>
  </si>
  <si>
    <t>J. B. Jenson, Supt. Ninety-Nine and Sultana Mines. Copper-Lea i-Zir.c.</t>
  </si>
  <si>
    <t>jennings</t>
  </si>
  <si>
    <t>amm18981</t>
  </si>
  <si>
    <t>YOUNG AMERICA MINE, MAGDALENA, SOCORRO CO. D.</t>
  </si>
  <si>
    <t>trolytic Copper Refinery. Steam, Electricity and Air. 200 Men.</t>
  </si>
  <si>
    <t>amm19350</t>
  </si>
  <si>
    <t>TENNESSEE COPPER CO., COPPER HILL, POLK CO. A.</t>
  </si>
  <si>
    <t>Office, 11 Broadway, New York. Nathaniel H. Emmons. Manager. Burra</t>
  </si>
  <si>
    <t>emil</t>
  </si>
  <si>
    <t>nathaniel</t>
  </si>
  <si>
    <t>amm19424</t>
  </si>
  <si>
    <t>BINGHAM MINES CO., BINGHAM, SALT LAKE CO. A.</t>
  </si>
  <si>
    <t xml:space="preserve">bingham </t>
  </si>
  <si>
    <t>amm19436</t>
  </si>
  <si>
    <t>BINGHAM WEST DIP TUNNEL CO., BINGHAM, SALT LAKE CO. G.</t>
  </si>
  <si>
    <t>amm19550</t>
  </si>
  <si>
    <t>DRAGON MINING CO., SILVER CITY, JUAB CO. B2.</t>
  </si>
  <si>
    <t>Provo</t>
  </si>
  <si>
    <t>Office, Provo. L. E. Riter, Jr., Manager; E. E. Gardiner, Supt. Iron. Shaft-</t>
  </si>
  <si>
    <t>ritchie</t>
  </si>
  <si>
    <t>amm19708</t>
  </si>
  <si>
    <t>Mckinlsy mining co., sursxa, juab co. g.</t>
  </si>
  <si>
    <t>W. D. Myers, Manager. Silver-Lead-Gold. Shaft. Electricity and Air.</t>
  </si>
  <si>
    <t>mwwfecwfkny</t>
  </si>
  <si>
    <t>amm19836</t>
  </si>
  <si>
    <t>SELMA MINES CO., KNIGHTVILLE, JUAB CO. D.</t>
  </si>
  <si>
    <t>amm19983</t>
  </si>
  <si>
    <t>Consolidated Groups. Copper. Open Cuts and Tunnels. Steam Shovels.</t>
  </si>
  <si>
    <t>Frank G. Janney, General Supt. Boston Mill. 312 Stamps and 3000-ton</t>
  </si>
  <si>
    <t>jancu</t>
  </si>
  <si>
    <t>frank</t>
  </si>
  <si>
    <t>General Supt</t>
  </si>
  <si>
    <t>amm20629</t>
  </si>
  <si>
    <t>RAMON CARONA MINING CO., NAICA. B2.</t>
  </si>
  <si>
    <t>George Stimson. Supt. Silver-Lead-Copper. Shaft. Gasolene. 50 Men.</t>
  </si>
  <si>
    <t>stimpson</t>
  </si>
  <si>
    <t>george</t>
  </si>
  <si>
    <t>amm20699</t>
  </si>
  <si>
    <t>SANTO DOMINGO PLACER MINING CO., CHIHUAHUA. B2.</t>
  </si>
  <si>
    <t>Robert Bruce, Manager. Auriferous Gravel. Steam and Air. 150 Men.</t>
  </si>
  <si>
    <t>bruce</t>
  </si>
  <si>
    <t>amm21009</t>
  </si>
  <si>
    <t>GUADALUPE CONSOLIDATED MINING CO., INDE. B.</t>
  </si>
  <si>
    <t>and Air. 4 Bryan Mills and 100-ton Cyanide Plant. 150 Men.</t>
  </si>
  <si>
    <t>amm21227</t>
  </si>
  <si>
    <t>AUGUSTIAS MINING CO., POZOS. A.</t>
  </si>
  <si>
    <t>Mills and 200-ton Cyanide Plant. 250 Men.</t>
  </si>
  <si>
    <t>amm21464</t>
  </si>
  <si>
    <t>SAN FELIPE MINING CO., COYUCA. B2.</t>
  </si>
  <si>
    <t>Shafts. Steam. 5 Stamps. 50 Men.</t>
  </si>
  <si>
    <t>amm21694</t>
  </si>
  <si>
    <t>LOS REYES MINING CO., LOS REYES. A.</t>
  </si>
  <si>
    <t>Director; Arthur F. Flynt, Manager; Alexander M. Grimm, Mine Supt.;</t>
  </si>
  <si>
    <t>fluhr</t>
  </si>
  <si>
    <t>amm22389</t>
  </si>
  <si>
    <t>CONTRA ESTACA CONS. MEXICAN MINING CO., CONTRA ESTACA. A.</t>
  </si>
  <si>
    <t>ger; Dwight B. Boyden, Supt. Contra Estaca and El Pilar Mines. Gold-</t>
  </si>
  <si>
    <t>boyd</t>
  </si>
  <si>
    <t>dwight</t>
  </si>
  <si>
    <t>amm22804</t>
  </si>
  <si>
    <t>MULATOS MINING CO., MULATOS. B2.</t>
  </si>
  <si>
    <t>amm22938</t>
  </si>
  <si>
    <t>SUPERIOR BONANZA MINING CO., IMURIS. B2.</t>
  </si>
  <si>
    <t>amm23045</t>
  </si>
  <si>
    <t>SAN CARLOS MINES., SAN JOSE. B2.</t>
  </si>
  <si>
    <t xml:space="preserve">new york </t>
  </si>
  <si>
    <t>(Nichols Copper Co.) Office, 25 Broad St., New York. Cecil A. Burne,</t>
  </si>
  <si>
    <t>burne</t>
  </si>
  <si>
    <t>cecil</t>
  </si>
  <si>
    <t>Lessee</t>
  </si>
  <si>
    <t>amm23096</t>
  </si>
  <si>
    <t>TEPIC GOLD MINING CO., IXTLAN DEL RIO. B2.</t>
  </si>
  <si>
    <t xml:space="preserve">tepic </t>
  </si>
  <si>
    <t>amm23165</t>
  </si>
  <si>
    <t>ESCONDIDO MINING CO., CAMACHO. B2.</t>
  </si>
  <si>
    <t>amm23255</t>
  </si>
  <si>
    <t>SALTILLO MINING CO., CONCEPCION DEL ORO. B2.</t>
  </si>
  <si>
    <t>ton Cyanide Plant. 250 Men.</t>
  </si>
  <si>
    <t>amm23307</t>
  </si>
  <si>
    <t>VETA GRANDE MINING CO., VETA GRANDE. A.</t>
  </si>
  <si>
    <t>amm23699</t>
  </si>
  <si>
    <t>ALGOMA CUSTOM SMELTING &amp; REFINING CO., LTD., THESSALON. B2.</t>
  </si>
  <si>
    <t xml:space="preserve">algoma </t>
  </si>
  <si>
    <t>amm23730</t>
  </si>
  <si>
    <t>CANADIAN COPPER CO., LIMITED, COPPER CLIFF. A.</t>
  </si>
  <si>
    <t>Electricity and Air; Electric Locomotives. 2000-ton Smelting Plant. 1000</t>
  </si>
  <si>
    <t>amm23852</t>
  </si>
  <si>
    <t>MOND NICKEL CO., LIMITED, VICTORIA MINES. A.</t>
  </si>
  <si>
    <t xml:space="preserve">victoria </t>
  </si>
  <si>
    <t>Supt. Victoria and Garson Mines. Nickel-Copper. Shafts. Steam, Elec</t>
  </si>
  <si>
    <t>amm24139</t>
  </si>
  <si>
    <t>CEDAR HILL COAL &amp; COKE CO., CEDARHURST, LAS ANIMAS CO. B.</t>
  </si>
  <si>
    <t>Steam. Electricity and Air. 500 Men.</t>
  </si>
  <si>
    <t>amm24998</t>
  </si>
  <si>
    <t>CALIFORNIA-ALASKA MINING &amp;. DEV. CO., KENNECOTT. LC</t>
  </si>
  <si>
    <t xml:space="preserve">western </t>
  </si>
  <si>
    <t>WESTERN MINING DIRECTORY CO.. CHICAGO, U. S. A.</t>
  </si>
  <si>
    <t>amm25414</t>
  </si>
  <si>
    <t>BIG EYE MINING &amp; MILLING CO., DOME.</t>
  </si>
  <si>
    <t>Gold-Silver. 1000' Adit. Gasolene Power and Compressor. 5 Stamp Amalgamation-Cyanide Plant. 15 Men.</t>
  </si>
  <si>
    <t>amm25564</t>
  </si>
  <si>
    <t>CODY-DYER MINING &amp;. MILLING CO., ORACLE. LC</t>
  </si>
  <si>
    <t>E. J. Ewing. Superintendent.</t>
  </si>
  <si>
    <t>ewald</t>
  </si>
  <si>
    <t>Superintendent</t>
  </si>
  <si>
    <t>amm25637</t>
  </si>
  <si>
    <t>COPPEROSITY MINING CO., CASA GRANDE. LC</t>
  </si>
  <si>
    <t>Copper. Shaft and Adit. Gasolene Hoist. 15 Men.</t>
  </si>
  <si>
    <t>amm25693</t>
  </si>
  <si>
    <t>ECLIPSE MINING CO., KINGMAN. LC Joseph Mitch, Supt. Gold. Shaft. Gasolene Hoist. Developing.</t>
  </si>
  <si>
    <t xml:space="preserve">kingman </t>
  </si>
  <si>
    <t>mirick</t>
  </si>
  <si>
    <t>lc</t>
  </si>
  <si>
    <t>amm26624</t>
  </si>
  <si>
    <t>UNITED VERDE COPPER CO., JEROME. AHD</t>
  </si>
  <si>
    <t xml:space="preserve">jerome </t>
  </si>
  <si>
    <t>amm26899</t>
  </si>
  <si>
    <t>ANCHO MINE, GRANITEVILLE. LGP</t>
  </si>
  <si>
    <t>Gold. Adit. Water Power and Compressor. 10 Stamps. 15 Men.</t>
  </si>
  <si>
    <t>amm27024</t>
  </si>
  <si>
    <t>BLACK BEAR GOLD MINING CO., ROUGH AND READY. LC</t>
  </si>
  <si>
    <t>William C. Guns, Superintendent.</t>
  </si>
  <si>
    <t>gundersen</t>
  </si>
  <si>
    <t>amm27204</t>
  </si>
  <si>
    <t>CENTRAL ELDORADO GOLD MINING CO., PLACERVILLE. FGP</t>
  </si>
  <si>
    <t xml:space="preserve">placerville </t>
  </si>
  <si>
    <t>amm27300</t>
  </si>
  <si>
    <t>CONSOLIDATED MINES CO., RANDSBURG. LC</t>
  </si>
  <si>
    <t>amm27404</t>
  </si>
  <si>
    <t>DEMOCRAT MINING CO., WEAVERVILLE. LC</t>
  </si>
  <si>
    <t xml:space="preserve">weaverville </t>
  </si>
  <si>
    <t>amm27429</t>
  </si>
  <si>
    <t>DRAPER MINE, SOULSBYVILLE. LGP</t>
  </si>
  <si>
    <t xml:space="preserve">soulsbyville </t>
  </si>
  <si>
    <t>amm27691</t>
  </si>
  <si>
    <t>GOLDEN GATE MINE, COLEVILLE. LC</t>
  </si>
  <si>
    <t>Gold. Shaft and Adit. Water Power. 5 Stamps. Developing.</t>
  </si>
  <si>
    <t>amm27907</t>
  </si>
  <si>
    <t>KENTON MINE, ALLEGHANY. LC</t>
  </si>
  <si>
    <t>Gold. Adits. Electric Power and Compressor.</t>
  </si>
  <si>
    <t>amm28111</t>
  </si>
  <si>
    <t>MARYSVILLE DREDGING CO., MARIGOLD. AHD</t>
  </si>
  <si>
    <t>Thomas D. Harris, Resident Manager.</t>
  </si>
  <si>
    <t>harris</t>
  </si>
  <si>
    <t>amm28982</t>
  </si>
  <si>
    <t>WESTERN MINING DIRECTORY CO., CHICAGO, U. S. A.</t>
  </si>
  <si>
    <t>CALIFORNIA</t>
  </si>
  <si>
    <t>amm29366</t>
  </si>
  <si>
    <t>American Smelting &amp; Refining CO., Owner.</t>
  </si>
  <si>
    <t>Lead-Zinc-Copper. Adit. Electric Power and Compressor.</t>
  </si>
  <si>
    <t>amm29729</t>
  </si>
  <si>
    <t>Empire Zinc CO., Canon City, Colorado. Concentrating Mill.</t>
  </si>
  <si>
    <t xml:space="preserve">leadville </t>
  </si>
  <si>
    <t>Small Hopes Mines, Leadville, Colorado.</t>
  </si>
  <si>
    <t>amm29905</t>
  </si>
  <si>
    <t>THE MINES HANDBOOK 181</t>
  </si>
  <si>
    <t>COLORADO t</t>
  </si>
  <si>
    <t>amm30199</t>
  </si>
  <si>
    <t>MOUNTAIN TOP MINING CO., OURAY. LC</t>
  </si>
  <si>
    <t xml:space="preserve">ouray </t>
  </si>
  <si>
    <t>amm30604</t>
  </si>
  <si>
    <t>SUN TUNNEL, MINING &amp; TRANSPORTATION CO., TOLLAND. LGS</t>
  </si>
  <si>
    <t>SO-ton Concentrating Mill. Developing.</t>
  </si>
  <si>
    <t>amm30765</t>
  </si>
  <si>
    <t>WAGNER DEVELOPMENT MINING CO., TELLURIDE. FGP</t>
  </si>
  <si>
    <t>Elec. Power and Compressor. 30 Stamp Concentrating Mill. 50 Men.</t>
  </si>
  <si>
    <t>amm31132</t>
  </si>
  <si>
    <t>COLONIAL MINING &amp;. MILLING CO., KELLOGG. LF</t>
  </si>
  <si>
    <t xml:space="preserve">pittsburgh </t>
  </si>
  <si>
    <t>Little Pittsburgh Mine. Zinc-Lead-Silver. Adits. Developing.</t>
  </si>
  <si>
    <t>amm31158</t>
  </si>
  <si>
    <t>COPPER KING MINING &amp; SMELTING CO., MULLAN. LF</t>
  </si>
  <si>
    <t>amm32023</t>
  </si>
  <si>
    <t>(Subsidiary of National Lead Co., 111 Broadway, New York.)</t>
  </si>
  <si>
    <t>500-ton Lead Smelting Plant and BOO-ton Lead Refinery—</t>
  </si>
  <si>
    <t>amm32057</t>
  </si>
  <si>
    <t>AMERICAN ZINC, LEAD 8|. SM ELTING CO., DEARING. AHD</t>
  </si>
  <si>
    <t>R. E. Kenner, Superintendent.</t>
  </si>
  <si>
    <t>kennedy</t>
  </si>
  <si>
    <t>amm32118</t>
  </si>
  <si>
    <t>BUCKEYE MINING CO., GALENA 100</t>
  </si>
  <si>
    <t>amm32250</t>
  </si>
  <si>
    <t>CENTENNIAL COPPER MINING CO., CALUMET. DHD</t>
  </si>
  <si>
    <t>H. E. Jefferson, Chief Engineer.</t>
  </si>
  <si>
    <t>jcachim</t>
  </si>
  <si>
    <t>Chief</t>
  </si>
  <si>
    <t>amm32601</t>
  </si>
  <si>
    <t>BROTHERTON IRON MINING CO., WAKEFIELD. AHD</t>
  </si>
  <si>
    <t xml:space="preserve">wakefield </t>
  </si>
  <si>
    <t>amm32742</t>
  </si>
  <si>
    <t>JONES 8|. LAUGHLIN CRE CO., NEGAUNEE. AHD</t>
  </si>
  <si>
    <t xml:space="preserve">negaunee </t>
  </si>
  <si>
    <t>amm32847</t>
  </si>
  <si>
    <t>SPRING VALLEY IRON CO., GAASTRA. CHD</t>
  </si>
  <si>
    <t>amm32946</t>
  </si>
  <si>
    <t>(Subsidiary of Pickands, Mather &amp; Co., Cleveland, Ohio.)</t>
  </si>
  <si>
    <t>Charles H. Munger, Duluth, General Mine Manager.</t>
  </si>
  <si>
    <t>mumford</t>
  </si>
  <si>
    <t>Mine Manager</t>
  </si>
  <si>
    <t>amm33451</t>
  </si>
  <si>
    <t>ST. JOSEPH LEAD CO., BONNE TERRE. AHD</t>
  </si>
  <si>
    <t xml:space="preserve">missouri </t>
  </si>
  <si>
    <t>Smelting Plant, l-lerculaneum, Missouri.</t>
  </si>
  <si>
    <t>amm34007</t>
  </si>
  <si>
    <t>MISSOURI MINING CO., McALLISTER. , LGP</t>
  </si>
  <si>
    <t>Gold-Silver. Shaft. Gasolene Hoist and Compressor. 15 Men.</t>
  </si>
  <si>
    <t>amm34131</t>
  </si>
  <si>
    <t>SCRATCH GRAVEL GOLD MINING CO., HELENA.</t>
  </si>
  <si>
    <t>Head Mine. Gold. Shaft. Steam Power and Compressor. 50 Men.</t>
  </si>
  <si>
    <t>amm34291</t>
  </si>
  <si>
    <t>ARGUS MINES CO., ELY.</t>
  </si>
  <si>
    <t>L‘opper~Lead-Silver. Steam Hoist and Compressor. 15 Men.</t>
  </si>
  <si>
    <t>amm34514</t>
  </si>
  <si>
    <t>CONSOLIDATED IMPERIAL MINING CO., GOLD HILL. LGP</t>
  </si>
  <si>
    <t>amm34781</t>
  </si>
  <si>
    <t>GOLDFIELD GREAT BEND MINING CO., GOLDFIELD. LGP</t>
  </si>
  <si>
    <t>Gold-Silver. Shaft. Electric Power and Compressor. 25 Men.</t>
  </si>
  <si>
    <t>amm34835</t>
  </si>
  <si>
    <t>HAMBURG MINES CO., PIOCHE. LGP</t>
  </si>
  <si>
    <t xml:space="preserve">murray </t>
  </si>
  <si>
    <t>Murray C. Godbe, 1118 Newhouse Bdg., Salt Lake City, Manager.</t>
  </si>
  <si>
    <t>city</t>
  </si>
  <si>
    <t>salt</t>
  </si>
  <si>
    <t>lake</t>
  </si>
  <si>
    <t>amm35584</t>
  </si>
  <si>
    <t>SPANISH BELT SILVER MINE, TONOPAH. FGP</t>
  </si>
  <si>
    <t>Victor Barndt, Manager.</t>
  </si>
  <si>
    <t>barnato</t>
  </si>
  <si>
    <t>victor</t>
  </si>
  <si>
    <t>amm36056</t>
  </si>
  <si>
    <t>LAS ANIMAS PEAK GOLD MINES CO., HILLSBORO. LGP</t>
  </si>
  <si>
    <t>14 Claims. Gold-Silver. 440' Shaft. Developing.</t>
  </si>
  <si>
    <t>amm36096</t>
  </si>
  <si>
    <t>MAXWELL LAND GRANT CO., BALDY. CHD</t>
  </si>
  <si>
    <t>E. V. Deshayos, Superintendent.</t>
  </si>
  <si>
    <t>derry</t>
  </si>
  <si>
    <t>amm36220</t>
  </si>
  <si>
    <t>amm36420</t>
  </si>
  <si>
    <t>BARTLESVILLE ZINC CO., COLLINSVILLE. AHD</t>
  </si>
  <si>
    <t xml:space="preserve">collinsville </t>
  </si>
  <si>
    <t>amm36681</t>
  </si>
  <si>
    <t>QUEEN OF THE WEST MINES CO., CORNUCOPIA. FGP</t>
  </si>
  <si>
    <t>Ward Lansbury, Superintendent.</t>
  </si>
  <si>
    <t>langley</t>
  </si>
  <si>
    <t>ward</t>
  </si>
  <si>
    <t>amm36820</t>
  </si>
  <si>
    <t>VESUVIUS MINES CO., BOHEMIA. LC</t>
  </si>
  <si>
    <t>Frank J. Hard, Superintendent.</t>
  </si>
  <si>
    <t>harada</t>
  </si>
  <si>
    <t>amm37124</t>
  </si>
  <si>
    <t>LA FOLLETTE GOAL 8.. IRON CO., LA FOLLETTE. FGP</t>
  </si>
  <si>
    <t>G. M. Shoemaker, Manager of Mines.</t>
  </si>
  <si>
    <t>shock</t>
  </si>
  <si>
    <t>amm37128</t>
  </si>
  <si>
    <t>MAXWELL-KNIGHT IRON CO., BUTLER. LGP</t>
  </si>
  <si>
    <t>NAPIER IRON WORKS, NAPIER.</t>
  </si>
  <si>
    <t>amm37310</t>
  </si>
  <si>
    <t>BELOROPHAN MINING CO., AMERICAN FORK. LFS</t>
  </si>
  <si>
    <t>John Cleghorn, Manager. Silver-Gold-Copper. Adit. Developing.</t>
  </si>
  <si>
    <t>clegg</t>
  </si>
  <si>
    <t>amm37974</t>
  </si>
  <si>
    <t>STANDARD CHEMICAL CO., HANKSVILLE. CHD</t>
  </si>
  <si>
    <t>W. W. Gaw, Superintendent.</t>
  </si>
  <si>
    <t>amm38051</t>
  </si>
  <si>
    <t>United States Smelting Co., Checotah. Zinc Smelting Plant.</t>
  </si>
  <si>
    <t xml:space="preserve">united states </t>
  </si>
  <si>
    <t>amm38515</t>
  </si>
  <si>
    <t>NORMAN MINES CO., NORTHPORT. FGP</t>
  </si>
  <si>
    <t>amm39367</t>
  </si>
  <si>
    <t>RUTH MINES, LIMITED, SANDON.</t>
  </si>
  <si>
    <t>Superintendent.</t>
  </si>
  <si>
    <t>amm39619</t>
  </si>
  <si>
    <t>COBALT COMET MINES, LIMITED, COBALT. FGP .</t>
  </si>
  <si>
    <t>Drummond Mine. Silver. Shaft. Steam and Electric Power. 50 Men.</t>
  </si>
  <si>
    <t>amm39680</t>
  </si>
  <si>
    <t>DOME MINES CO., LIMITED, SOUTH PORCUPINE. AHD</t>
  </si>
  <si>
    <t xml:space="preserve">toronto </t>
  </si>
  <si>
    <t>Head Office, 36 Toronto Street, Toronto, Ontario.</t>
  </si>
  <si>
    <t>amm40192</t>
  </si>
  <si>
    <t>BUENA TIERRA MINING CO., LIMITED, SANTA EULALIA. CHD</t>
  </si>
  <si>
    <t>amm41182</t>
  </si>
  <si>
    <t>ABOSSO GOLD MINING CO., LIMITED, TAQUAH. CH</t>
  </si>
  <si>
    <t xml:space="preserve">london </t>
  </si>
  <si>
    <t>Thomas F. Dalglish, London, Chairman.</t>
  </si>
  <si>
    <t>dalglish</t>
  </si>
  <si>
    <t>Chairman</t>
  </si>
  <si>
    <t>amm41324</t>
  </si>
  <si>
    <t>MONGU (NIGERIA) TIN MINES, LIMITED, 476</t>
  </si>
  <si>
    <t>amm41508</t>
  </si>
  <si>
    <t>LOWER BISICHI (NIGERIA) TIN MINES, LIMITED, NARAGUTA. LG</t>
  </si>
  <si>
    <t xml:space="preserve">england </t>
  </si>
  <si>
    <t>Organized, England, 1912. Capital, £40,000. Shares, 5/-. J. G. M. Brownjohn, London, Chairman. Henry T. Miller, London, Secretary.</t>
  </si>
  <si>
    <t>brownjohn</t>
  </si>
  <si>
    <t>amm41887</t>
  </si>
  <si>
    <t>KING ASBESTOS (RHODESIA), LIMITED, MASHABA. CH</t>
  </si>
  <si>
    <t xml:space="preserve">salisbury </t>
  </si>
  <si>
    <t>George Scott, Salisbury, Consulting Engineer.</t>
  </si>
  <si>
    <t>scott</t>
  </si>
  <si>
    <t>Consulting Engineer</t>
  </si>
  <si>
    <t>amm42395</t>
  </si>
  <si>
    <t>KAMFERSDAM MINES, LIMITED, KAMFERSDAM. -- Main Office, 154 GreaSham House, London, England.</t>
  </si>
  <si>
    <t>Kamfersdam Diamond Mine. Crushing and Washing Plants. 500 Men.</t>
  </si>
  <si>
    <t>amm42634</t>
  </si>
  <si>
    <t>BLAAUWBOSCH DIAMONDS, LIMITED, BOSH OF. LG</t>
  </si>
  <si>
    <t>George S. Ronaldson, Kimberley, Managing Director.</t>
  </si>
  <si>
    <t>romero</t>
  </si>
  <si>
    <t>Managing Director</t>
  </si>
  <si>
    <t>amm43544</t>
  </si>
  <si>
    <t>Main Office, Consolidated Building, Johannesburg.</t>
  </si>
  <si>
    <t xml:space="preserve">transvaal </t>
  </si>
  <si>
    <t>Organized, Transvaal, 1887. Capital, £475,000. Shares, £1.</t>
  </si>
  <si>
    <t>amm44274</t>
  </si>
  <si>
    <t>(Pekin Syndicate, Limited, and Chung Yuan Mining Co.)</t>
  </si>
  <si>
    <t>E. W. Firchford, and Wang Ching Fang, Joint Managers.</t>
  </si>
  <si>
    <t>finn</t>
  </si>
  <si>
    <t>amm44469</t>
  </si>
  <si>
    <t>SUNGEI GAU TIN MINING CO., LIMITED, BENTONG. MG</t>
  </si>
  <si>
    <t>Organized, Straits Settlements. Capital, $150,000. Shares, $10.00.</t>
  </si>
  <si>
    <t>amm44659</t>
  </si>
  <si>
    <t>KINTA TIN MINES, LIMITED, GOPENG. EH</t>
  </si>
  <si>
    <t>Osborne &amp; Chappel, Ipoh, Perak, Managers.</t>
  </si>
  <si>
    <t>chappel</t>
  </si>
  <si>
    <t>osborne</t>
  </si>
  <si>
    <t>amm44755</t>
  </si>
  <si>
    <t>Siputeh Tin Mines, Limited; Tekka, Limited; Tekka-Taiping, Limited.</t>
  </si>
  <si>
    <t>amm44951</t>
  </si>
  <si>
    <t>Boustead, Hampshire &amp; Co., Ltd., Managers.</t>
  </si>
  <si>
    <t>Serendah Alluvial Tin Mines. Hydraulic. Open-cast. 250 Men.</t>
  </si>
  <si>
    <t>amm45106</t>
  </si>
  <si>
    <t>FUJITA COMPANY, KEELUNG. AH</t>
  </si>
  <si>
    <t>amm45261</t>
  </si>
  <si>
    <t>BURMA RUBY MINES, LIMITED, MOGOK. LH</t>
  </si>
  <si>
    <t>B. Rance, Mogok, Chief Engineer.</t>
  </si>
  <si>
    <t>ramsay</t>
  </si>
  <si>
    <t>bir</t>
  </si>
  <si>
    <t>amm46051</t>
  </si>
  <si>
    <t>Controlled by Russo-Canadian Development Corporation, Limited.</t>
  </si>
  <si>
    <t>amm46167</t>
  </si>
  <si>
    <t>SPASSKY COPPER MINE, LTD., SPASSKY, AKMOLINSK. CH</t>
  </si>
  <si>
    <t>Spassky Copper Smelting Drying Plant— Plant. Reverberatory Furnaces and 2 Great Falls Converters.</t>
  </si>
  <si>
    <t>amm46888</t>
  </si>
  <si>
    <t>COAL CLIFF COLLIERIES, LIMITED, CLIFTON. EH</t>
  </si>
  <si>
    <t xml:space="preserve">sydney </t>
  </si>
  <si>
    <t>Main Office, 82 Pitt Street, Sydney, New South Wales.</t>
  </si>
  <si>
    <t>amm47790</t>
  </si>
  <si>
    <t>MOUNT MORGAN GOLD MINING CO.,LTD., MOUNT MORGAN. AH</t>
  </si>
  <si>
    <t xml:space="preserve">queensland </t>
  </si>
  <si>
    <t>Organized, Queensland, 1886. Capital, £1,000,000. Shares, £1.</t>
  </si>
  <si>
    <t>amm47874</t>
  </si>
  <si>
    <t>RED HILL TIN DREDGING CO., STANTHORPE. FG</t>
  </si>
  <si>
    <t>F. J. Kelly, Stanthorpe, Mine Manager.</t>
  </si>
  <si>
    <t>kelly</t>
  </si>
  <si>
    <t>amm48017</t>
  </si>
  <si>
    <t>ECLIPSE COAL MINING CO., TIVOLI, NORTH IPSW1CH. PG</t>
  </si>
  <si>
    <t>amm48765</t>
  </si>
  <si>
    <t>IVAN HOE GOLD CORPORATION, LIMITED, BOULDER. AH</t>
  </si>
  <si>
    <t xml:space="preserve">boulder </t>
  </si>
  <si>
    <t>amm49051</t>
  </si>
  <si>
    <t>BRITANNIA MINING &amp; SMELTING CO., LIMITED, AHD</t>
  </si>
  <si>
    <t>BRITANN IA BEACH.</t>
  </si>
  <si>
    <t>amm49143</t>
  </si>
  <si>
    <t>CONSOLIDATED MINING &amp; SMELTING CO. OF CANADA, LIMITED,</t>
  </si>
  <si>
    <t>21 Wedge and Godfrey Roasters, Pots &amp; 2 Dwight-Lloyd Machines.</t>
  </si>
  <si>
    <t>amm49518</t>
  </si>
  <si>
    <t>RECORD MINES CO., LIMITED, NELSON. 123</t>
  </si>
  <si>
    <t>Exchange National Building, Spokane</t>
  </si>
  <si>
    <t xml:space="preserve">spokane </t>
  </si>
  <si>
    <t>Office, Exchange National Building, Spokane, Washington.</t>
  </si>
  <si>
    <t>amm49599</t>
  </si>
  <si>
    <t>STANDARD SILVER-LEAD MINING CO., SILVERTON. CHD</t>
  </si>
  <si>
    <t>300-ton Concentrating Mill and Flotation Plant. 250 Men.</t>
  </si>
  <si>
    <t>amm49847</t>
  </si>
  <si>
    <t>BRANT MINES, LIMITED, GOWGANDA. MGP</t>
  </si>
  <si>
    <t>John C. Cohoe, President; Oliver Hall, Secretary and Treasurer.</t>
  </si>
  <si>
    <t>coipaniis</t>
  </si>
  <si>
    <t>amm50038</t>
  </si>
  <si>
    <t>FISHER GOLD MINING &amp; MILLING Co., LIMITED, LGP</t>
  </si>
  <si>
    <t>amm50534</t>
  </si>
  <si>
    <t>STEEL COMPANY OF CANADA, LIMITED, HAMILTON. CHD</t>
  </si>
  <si>
    <t>F. H. Whitton, General Manager.</t>
  </si>
  <si>
    <t>whittlestone</t>
  </si>
  <si>
    <t>amm50727</t>
  </si>
  <si>
    <t>AGUACATE MINES, SAN MATEO. EG</t>
  </si>
  <si>
    <t>Main</t>
  </si>
  <si>
    <t>Incorporated, Main, 1907. Capital, $8,000,000. Shares, $15.00.</t>
  </si>
  <si>
    <t>amm51114</t>
  </si>
  <si>
    <t>CHENI MINES CO., CHENI, HAUTE-VIENNE. FG</t>
  </si>
  <si>
    <t>amm51267</t>
  </si>
  <si>
    <t>(SOCIETE ANONYME DES MINES ET USINES DE PEYREBRUNE.)</t>
  </si>
  <si>
    <t>Peyrebrune Lead-Copper-Silver Mine. Shafts.</t>
  </si>
  <si>
    <t>amm51306</t>
  </si>
  <si>
    <t>ROYAL ASTURIENNE CO., AUBY, NORD. AH</t>
  </si>
  <si>
    <t>amm52805</t>
  </si>
  <si>
    <t>CHANCE &amp; HUNT, LIMITED, OLDBURY</t>
  </si>
  <si>
    <t>amm52980</t>
  </si>
  <si>
    <t>ABER-LLYN ZINC MINES, LIMITED, ABERLLYN, FG</t>
  </si>
  <si>
    <t>Organized, England, 1917. Capital, £12,000. Shares, 5/-.</t>
  </si>
  <si>
    <t>amm53075</t>
  </si>
  <si>
    <t>CROSSFIELD MINE, CLEATOR MOOR, CUMBERLAND. FH</t>
  </si>
  <si>
    <t xml:space="preserve">hematite </t>
  </si>
  <si>
    <t>Crossfield Red Hematite Iron Ore Mine. Shaft. Steam Power. 25 Men.</t>
  </si>
  <si>
    <t>amm53086</t>
  </si>
  <si>
    <t>DOLCOATH MINE, LIMITED, CAM BORNE, CORNWALL. DH</t>
  </si>
  <si>
    <t>Oliver Wethered, London, Vice Chairman.</t>
  </si>
  <si>
    <t>wethered</t>
  </si>
  <si>
    <t>oliver</t>
  </si>
  <si>
    <t>Vice</t>
  </si>
  <si>
    <t>amm53382</t>
  </si>
  <si>
    <t>W. B. LEAD CO., LTD., ALLEN DALE, NORTHUMBERLAND. FH</t>
  </si>
  <si>
    <t>R. Watson, Coleford, General Manager.</t>
  </si>
  <si>
    <t>watson</t>
  </si>
  <si>
    <t>amm53615</t>
  </si>
  <si>
    <t>NoRTH WALES IRON &amp; MANGANESE Co., LIMITED, EH</t>
  </si>
  <si>
    <t>Oil Engines, Steam Power Plant and Compressor. 100 Men.</t>
  </si>
  <si>
    <t>amm53814</t>
  </si>
  <si>
    <t>Subsidiary of American Metal Co., Ltd., 61 Broadway, Smelting New York. Plant, Torreon, Coahuila, Mexico.</t>
  </si>
  <si>
    <t xml:space="preserve">mexico </t>
  </si>
  <si>
    <t>Organized in Mexico. Capital, 4,000,000 Pesos. Shares, 80 Pesos.</t>
  </si>
  <si>
    <t>amm54083</t>
  </si>
  <si>
    <t>HIDALGO COPPER MINING &amp; SMELTING CO., ZIMAPAN. DHD</t>
  </si>
  <si>
    <t xml:space="preserve">alamo </t>
  </si>
  <si>
    <t>Jose de Landero, Alamo 4, City of Mexico, General Manager.</t>
  </si>
  <si>
    <t>landau</t>
  </si>
  <si>
    <t>jose</t>
  </si>
  <si>
    <t>de</t>
  </si>
  <si>
    <t>amm54354</t>
  </si>
  <si>
    <t>AMERICAN METAL CO, LIMITED.</t>
  </si>
  <si>
    <t>were sold at public auction in New York, April 7, 1919, by United States</t>
  </si>
  <si>
    <t>amm54449</t>
  </si>
  <si>
    <t>Fresnillo Mining Co., Fresnillo, Zacatecas, Mexico.</t>
  </si>
  <si>
    <t xml:space="preserve">fresnillo </t>
  </si>
  <si>
    <t>amm54521</t>
  </si>
  <si>
    <t>ANITA COPPER MINES CO., FUNDICION. MGP</t>
  </si>
  <si>
    <t xml:space="preserve">fundicion </t>
  </si>
  <si>
    <t>amm54748</t>
  </si>
  <si>
    <t>MAZAN TIN MINES CO., MAZAN, LA RIOJA. L-L</t>
  </si>
  <si>
    <t>amm55545</t>
  </si>
  <si>
    <t>ATNICGALPOA-FMRPEAN,CH TICAPAMPA SILVER MINING CO., LIMITED, EH HUARAS.</t>
  </si>
  <si>
    <t>Athelstan Dangerfield, London, Secretary.</t>
  </si>
  <si>
    <t>daneri</t>
  </si>
  <si>
    <t>athelstan</t>
  </si>
  <si>
    <t>Secretary</t>
  </si>
  <si>
    <t>amm55809</t>
  </si>
  <si>
    <t>Subsidiary of General Asphalt Co., Philadelphia, U.S.A.</t>
  </si>
  <si>
    <t xml:space="preserve">philadelphia </t>
  </si>
  <si>
    <t>amm56248</t>
  </si>
  <si>
    <t>CEYLON COMPANY, GOODWATER.</t>
  </si>
  <si>
    <t>amm56281</t>
  </si>
  <si>
    <t>LINEVILLE GRAPHITE CO., LINEVILLE.</t>
  </si>
  <si>
    <t xml:space="preserve">ashland </t>
  </si>
  <si>
    <t>100~I.on t‘oncentration-Flotation Plant. Ashland W'asher.</t>
  </si>
  <si>
    <t>amm56616</t>
  </si>
  <si>
    <t>KIMBALL DREDGING CO., SOLOMON.</t>
  </si>
  <si>
    <t>Two 21/2 Cu. Ft. Buckets, Flume, Distillate Engine, Gold Dredges.</t>
  </si>
  <si>
    <t>amm56672</t>
  </si>
  <si>
    <t>Subsidiary of Kennecott Copper CO., Kennecott, Alaska.</t>
  </si>
  <si>
    <t xml:space="preserve">alaska </t>
  </si>
  <si>
    <t>amm56756</t>
  </si>
  <si>
    <t>AMERICAN SMELTING a REFINING CO., TUCSON. AHD</t>
  </si>
  <si>
    <t>E. R. Reets, Equitable Building, New York, Purchasing Agent.</t>
  </si>
  <si>
    <t>rees</t>
  </si>
  <si>
    <t>Purchasing Agent</t>
  </si>
  <si>
    <t>amm56804</t>
  </si>
  <si>
    <t>ARIZONA COMMERCIAL MINING CO., GLOBE. DHD</t>
  </si>
  <si>
    <t>OMce, 50 Congress Street, Boston.</t>
  </si>
  <si>
    <t>amm57097</t>
  </si>
  <si>
    <t>BLUE MONSTER COPPER CO., DEWEY. LGP</t>
  </si>
  <si>
    <t>Thomas SutcliITe, Prescott, Vice-Pres. Superintendent.</t>
  </si>
  <si>
    <t>susmann</t>
  </si>
  <si>
    <t>amm57415</t>
  </si>
  <si>
    <t>FLUX MINING CO.,‘PATAGONIA. '</t>
  </si>
  <si>
    <t>Frederick B. Kollberg, Patagonia, Arizona, General Manager.</t>
  </si>
  <si>
    <t>kohler</t>
  </si>
  <si>
    <t>amm57604</t>
  </si>
  <si>
    <t>JEROME VERDE COPPER CO., JEROME. LGP</t>
  </si>
  <si>
    <t>John B. Harper, Jerome, Arizona, Superintendent.</t>
  </si>
  <si>
    <t>harnickell</t>
  </si>
  <si>
    <t>amm57915</t>
  </si>
  <si>
    <t>MUDHOLE GOLD MINING &amp; MILLING CO., WALKER. 123</t>
  </si>
  <si>
    <t>Arizona</t>
  </si>
  <si>
    <t>Incorporated, Arizona, 1918. Stock, $3,000,000. Shares, $1.00.</t>
  </si>
  <si>
    <t>amm58220</t>
  </si>
  <si>
    <t>RANIER MINES CORPORATION, WENDEN. LGP</t>
  </si>
  <si>
    <t>G. M. Karshner, Y.. Pres; William A. Dean. Boston, Secretary.</t>
  </si>
  <si>
    <t>kappel</t>
  </si>
  <si>
    <t>amm58272</t>
  </si>
  <si>
    <t>RED MOUNTAIN CONS. COPPER MINES CO., PHOENIX. 123</t>
  </si>
  <si>
    <t xml:space="preserve">phoenix </t>
  </si>
  <si>
    <t>amm58548</t>
  </si>
  <si>
    <t>TEXAS ARIZONA COPPER CO., TUCSON. LGP</t>
  </si>
  <si>
    <t xml:space="preserve">tucson </t>
  </si>
  <si>
    <t>Miles M. Carpenter, Tucson, Arizona, Superintendent.</t>
  </si>
  <si>
    <t>carpenter</t>
  </si>
  <si>
    <t>miles</t>
  </si>
  <si>
    <t>amm59547</t>
  </si>
  <si>
    <t>NORTH STAR MINES CO., GRASS VALLEY. AHD</t>
  </si>
  <si>
    <t>Water and Electric (Comm.) Power and Compressors. 500 Men.</t>
  </si>
  <si>
    <t>amm60253</t>
  </si>
  <si>
    <t>WISCONSIN NORTH FORK GRAVEL MINES, FOREST. MGP</t>
  </si>
  <si>
    <t>Placer and Quartz. 1345' Adit. Electric Power. Developing.</t>
  </si>
  <si>
    <t>amm60329</t>
  </si>
  <si>
    <t>AMERICAN FLUORSPAR M. CO., WAGON WHEEL GAP. MGP</t>
  </si>
  <si>
    <t>I). W. Phillips, Wagon Wheel Gap, Colorado, Superintendent.</t>
  </si>
  <si>
    <t>phillips</t>
  </si>
  <si>
    <t>i</t>
  </si>
  <si>
    <t>amm60966</t>
  </si>
  <si>
    <t>GILPIN-EUREKA MINES CO., CENTRAL CITY. LFP</t>
  </si>
  <si>
    <t>10 Stamp Amalgamation-Concentration Mill. 15 Men.</t>
  </si>
  <si>
    <t>amm61297</t>
  </si>
  <si>
    <t>MATTERHORN MINING 81. MILLING CO., AMES. LGP</t>
  </si>
  <si>
    <t>Electric Power &amp; Compressor. 30 Stamp Amalgamation Mill. 25 Men.</t>
  </si>
  <si>
    <t>amm61516</t>
  </si>
  <si>
    <t>0U RAY CONS. MINING &amp; REDUCTION CO., OURAY. 12 3</t>
  </si>
  <si>
    <t>3 Crushers, 3 Sets Rolls, 20 Stamps and 1 Ball Mill—</t>
  </si>
  <si>
    <t>amm62215</t>
  </si>
  <si>
    <t>WICK MINES CO., ALMONT. MGP</t>
  </si>
  <si>
    <t xml:space="preserve">pasadena </t>
  </si>
  <si>
    <t>Henry M. Robinson, Pasadena, Cal., Pres.; Chester M. Boyd, Sec.</t>
  </si>
  <si>
    <t>robinson</t>
  </si>
  <si>
    <t>henry</t>
  </si>
  <si>
    <t>amm62705</t>
  </si>
  <si>
    <t>RAPSON COAL MINING CO., RUGBY, LAS ANIMAS CO. MGP</t>
  </si>
  <si>
    <t>2 Electric Cutters. Horse Haulage. Cole Fan. Screens. 75 Men.</t>
  </si>
  <si>
    <t>amm63076</t>
  </si>
  <si>
    <t>(Afllliation of Ramshorn Mines Co., Bayhorse, Idaho.)</t>
  </si>
  <si>
    <t>0. J. Salisbury, Salt Lake City, Pres.; C. B. Felt, Secretary.</t>
  </si>
  <si>
    <t>amm63446</t>
  </si>
  <si>
    <t>HARMONY MINES CO., BAKER. MGP</t>
  </si>
  <si>
    <t>Harmony Copper Mines. Adits. 2400' and 2800’ Aerial Tramways.</t>
  </si>
  <si>
    <t>amm63639</t>
  </si>
  <si>
    <t>MELCHER MINING a MILLING CO., ALBION. LGP</t>
  </si>
  <si>
    <t>McIntyre Building, Salt Lake</t>
  </si>
  <si>
    <t>Office, 702 McIntyre Building, Salt Lake City, Utah.</t>
  </si>
  <si>
    <t>amm63936</t>
  </si>
  <si>
    <t>UNITY GOLD MINES CO., WARREN. MGP</t>
  </si>
  <si>
    <t>Little Giant and Charity Groups. Gold-Silver-Tungsten.</t>
  </si>
  <si>
    <t>amm64120</t>
  </si>
  <si>
    <t>LESLIE COPPER CO., WALLACE</t>
  </si>
  <si>
    <t>amm64145</t>
  </si>
  <si>
    <t>NORTH AMERICAN MINING G. MILLING CO.,</t>
  </si>
  <si>
    <t>amm64163</t>
  </si>
  <si>
    <t>RUTH CONSOLIDATED MINING &amp; MILLING CO.,</t>
  </si>
  <si>
    <t>amm64217</t>
  </si>
  <si>
    <t>YANKEE GIRL MINING CO.,</t>
  </si>
  <si>
    <t>POTLATCH</t>
  </si>
  <si>
    <t>amm64409</t>
  </si>
  <si>
    <t>INLAND STEEL CO., CHICAGO. AHD</t>
  </si>
  <si>
    <t>Madeline Furnaces and Steel Works, Indiana Harbor, Indiana—</t>
  </si>
  <si>
    <t>amm65098</t>
  </si>
  <si>
    <t>LAKE SUPERIOR SMELTING CO., DOLLAR BAY. DHD</t>
  </si>
  <si>
    <t>Office. 12 Ashburton Place. Boston, Massachusetts.</t>
  </si>
  <si>
    <t>amm65244</t>
  </si>
  <si>
    <t>BATES IRON CO., IRON RIVER. AHD</t>
  </si>
  <si>
    <t>Ofllce (Ladenburg, Thalmann &amp; Co.), 25 Broad Street, New York.</t>
  </si>
  <si>
    <t>amm65334</t>
  </si>
  <si>
    <t>(Atfiliation of M. A. Hanna &amp; Co., Leader Newa Bldg, Cleveland.)</t>
  </si>
  <si>
    <t>Michigan</t>
  </si>
  <si>
    <t>Incorporated, Michigan, 1902. Stock, $2,000,000. Bonds: $240,000.</t>
  </si>
  <si>
    <t>amm65720</t>
  </si>
  <si>
    <t>INLAND STEEL CO., HIBBING. AHD</t>
  </si>
  <si>
    <t xml:space="preserve">delaware </t>
  </si>
  <si>
    <t>Reincorporated, Delaware, 1917. Stock, $30,000,000. Shares, $100.</t>
  </si>
  <si>
    <t>amm66703</t>
  </si>
  <si>
    <t>ELM ORLU MINING CO., BUTTE. AHD</t>
  </si>
  <si>
    <t>Elm Orlu Zinc-(_‘opper~Sllver Mine. 2 Shafts.</t>
  </si>
  <si>
    <t>amm66772</t>
  </si>
  <si>
    <t>INVESTORS COMPANY, SHERIDAN. MGP</t>
  </si>
  <si>
    <t xml:space="preserve">buffalo </t>
  </si>
  <si>
    <t>F. J. Carr, 345 Eagle Street, Buffalo, N.Y., Secretary.</t>
  </si>
  <si>
    <t>carr</t>
  </si>
  <si>
    <t>amm67172</t>
  </si>
  <si>
    <t>BRIDGER COAL MINING CO., BRIDGER, CARBON CO. LGP</t>
  </si>
  <si>
    <t>BRODI E COLLIERY, BELT, CASCADE CO. LFP</t>
  </si>
  <si>
    <t>amm68029</t>
  </si>
  <si>
    <t>MAJUBA SILVER, TIN &amp;. COPPER MINES CO., IMLAY. MGP</t>
  </si>
  <si>
    <t xml:space="preserve">reno </t>
  </si>
  <si>
    <t>George S. Brown, Reno, Nevada, President and Manager.</t>
  </si>
  <si>
    <t>amm68544</t>
  </si>
  <si>
    <t>JUMBO COPPER MOUNTAIN MINING CO., RAND. ' Incorporated, Nevada, 1917. Stock, $2,500,000. Shares, $1.00.</t>
  </si>
  <si>
    <t>1100’ Shaft. Electric (Commercial) Power and Compressor. 50 Men.</t>
  </si>
  <si>
    <t>amm68838</t>
  </si>
  <si>
    <t>(Affiliation American Metal Co., Ltd., 61 Broadway, New York.)</t>
  </si>
  <si>
    <t>Secondary Copper Smelter. 100-ton Lead Smelter and Refinery.</t>
  </si>
  <si>
    <t>amm68847</t>
  </si>
  <si>
    <t>1200-ton and 1400-ton Hydraulic Presses. 15 Steam Hammers.</t>
  </si>
  <si>
    <t>amm69428</t>
  </si>
  <si>
    <t>Coal Co., Carthage; Independent Coal Co., Gallup; Jones Mine, Pendle</t>
  </si>
  <si>
    <t xml:space="preserve">carthage </t>
  </si>
  <si>
    <t>amm69497</t>
  </si>
  <si>
    <t>ST. LOUIS, ROCKY MOUNTAIN G. PACIFIC CO., RATON. AHD</t>
  </si>
  <si>
    <t>amm69872</t>
  </si>
  <si>
    <t>NEW YORK PYRITES CO., GOUVERNEUR. FGD</t>
  </si>
  <si>
    <t>New York</t>
  </si>
  <si>
    <t>Incorporated, New York, 1917. Stock, $100,000. Shares, $100.00.</t>
  </si>
  <si>
    <t>amm70081</t>
  </si>
  <si>
    <t>WITHERBEE, SHERMAN &amp; CO., INC., MINEVILLE. AHD</t>
  </si>
  <si>
    <t>Incorporated, New York, 1900. Stock, $3,000,000. Shares, $100.00.</t>
  </si>
  <si>
    <t>amm70290</t>
  </si>
  <si>
    <t>KANOK METALS CO., PICHER. , MGP</t>
  </si>
  <si>
    <t xml:space="preserve">oklahoma </t>
  </si>
  <si>
    <t>A. M. Gaines, Picher, Oklahoma, President and General Manager.</t>
  </si>
  <si>
    <t>gage</t>
  </si>
  <si>
    <t>amm70576</t>
  </si>
  <si>
    <t>CORNUCOPIA MINES CO., CORNUCOPIA. EGD</t>
  </si>
  <si>
    <t xml:space="preserve">cornucopia </t>
  </si>
  <si>
    <t>Frank Taylor, Cornucopia, Superintendent Union-Companion Mill.</t>
  </si>
  <si>
    <t>taylor</t>
  </si>
  <si>
    <t>amm70655</t>
  </si>
  <si>
    <t>NELLIE WRIGHT MINE, GOLD HILL. LGP</t>
  </si>
  <si>
    <t>Crusher and Rolls—25-ton Amalgamation-Concentration Mill.</t>
  </si>
  <si>
    <t>amm70753</t>
  </si>
  <si>
    <t>(Subsidiary of American Metal Co., Ltd., 61 Broadway, New York.)</t>
  </si>
  <si>
    <t>ZOO-ton Zinc Smelter. 16 Furnaces. 7296 Retorts.</t>
  </si>
  <si>
    <t>amm71240</t>
  </si>
  <si>
    <t>Mines Co., Lucin; Wolf Mountain C. Co., Liberty.</t>
  </si>
  <si>
    <t>Co.; Woodlawn Copper M. Co.</t>
  </si>
  <si>
    <t>amm71327</t>
  </si>
  <si>
    <t>AMERICAN CHEMICAL &amp;. OZOKERITE CO., COLTON. FGP</t>
  </si>
  <si>
    <t>amm71418</t>
  </si>
  <si>
    <t>CARDIFF MINING d. MILLING CO., ALTA. FHD</t>
  </si>
  <si>
    <t xml:space="preserve">cardiff </t>
  </si>
  <si>
    <t>Cardiff Silver-Lead-Zinc-(Yopper Mine. 2600’ Adit and 1200’ Shaft.</t>
  </si>
  <si>
    <t>amm71548</t>
  </si>
  <si>
    <t>EUREKA KING MINING CO., EUREKA. LGP</t>
  </si>
  <si>
    <t>amm71811</t>
  </si>
  <si>
    <t>NORTH STANDARD MINING CO., EUREKA. LGP</t>
  </si>
  <si>
    <t>Silver-Lead-Gold. Shaft. Electric Power and Compressor. 15 Men.</t>
  </si>
  <si>
    <t>amm72207</t>
  </si>
  <si>
    <t>GRASS CREEK FUEL CO.,GRASS CREEK,SUMMIT CO. MGP</t>
  </si>
  <si>
    <t>C. N. Strevell, Salt Lake City, Utah, President.</t>
  </si>
  <si>
    <t>stretch</t>
  </si>
  <si>
    <t>n</t>
  </si>
  <si>
    <t>amm72391</t>
  </si>
  <si>
    <t>PULASKI IRON CO., PULASKI. DHD</t>
  </si>
  <si>
    <t>Horace L. Haldeman, Philadelphia, Pres.; W. H. Gibbons, Secretary</t>
  </si>
  <si>
    <t>haire</t>
  </si>
  <si>
    <t>horace</t>
  </si>
  <si>
    <t>amm73052</t>
  </si>
  <si>
    <t>PHOENIX COAL CO., MINERAL, LEWIS CO. MGP</t>
  </si>
  <si>
    <t>Ladd Colliery. Drift. 200 HP. Steam-Electric Plant and Compressor.</t>
  </si>
  <si>
    <t>amm73351</t>
  </si>
  <si>
    <t>ZINC HILL MINING CO., PLATTEVILLE. MGP</t>
  </si>
  <si>
    <t>WYOMING</t>
  </si>
  <si>
    <t>amm73441</t>
  </si>
  <si>
    <t>AMALGAMATED DEVELOPMENT CO., SHERIDAN. FGP</t>
  </si>
  <si>
    <t>amm73511</t>
  </si>
  <si>
    <t>GUNN QUEALY COAL CO., GUNN, SWEETWATER CO. DHD</t>
  </si>
  <si>
    <t>amm73691</t>
  </si>
  <si>
    <t>BIG VALLEY COLLIERIES,LIMITED,BIG VALLEY. MGP</t>
  </si>
  <si>
    <t>Big Valley Colliery. Slope. 150 HP. Steam Plant and Compressor.</t>
  </si>
  <si>
    <t>amm73785</t>
  </si>
  <si>
    <t>HUMBERSTONE COAL CO., LIMITED,BEVERLY. FGP</t>
  </si>
  <si>
    <t>Humberstone Colliery. Shaft. 500 HP. Steam-Electric Power Plant.</t>
  </si>
  <si>
    <t>amm74399</t>
  </si>
  <si>
    <t>(Sub. of British Empire Steel Corporation, Limited.)</t>
  </si>
  <si>
    <t>amm74483</t>
  </si>
  <si>
    <t>MINUDIE COAL CO., LTD.,RIVER HERBERT. FGD</t>
  </si>
  <si>
    <t xml:space="preserve">montreal </t>
  </si>
  <si>
    <t>Office. Transportation Building, Montreal, Canada.</t>
  </si>
  <si>
    <t>amm74544</t>
  </si>
  <si>
    <t>ALGOMA STEEL CORPORATION, LTD., SAULT STE. MARIE. AHD</t>
  </si>
  <si>
    <t>G. R. McLaren. Sault Ste. Marie. General Mine Superintendent.</t>
  </si>
  <si>
    <t>mclain</t>
  </si>
  <si>
    <t>amm74716</t>
  </si>
  <si>
    <t>CANADIAN FURNACE CO.. LIMITED, PORT COLBORNE. EHD</t>
  </si>
  <si>
    <t>400-ton Blast Furnace; 821/5' x 1955'. Three 2-pass Stoves.</t>
  </si>
  <si>
    <t>amm74740</t>
  </si>
  <si>
    <t>(Subsidiary of Canadian Car &amp; Foundry Co., Limited, Montreal.)</t>
  </si>
  <si>
    <t>Fuel: Natural Gas, Petroleum and Coal. Electric (Comm.) Power.</t>
  </si>
  <si>
    <t>amm74795</t>
  </si>
  <si>
    <t>COBALT PROVINCIAL MINING CO., LIMITED, COBALT. MGP</t>
  </si>
  <si>
    <t>amm75276</t>
  </si>
  <si>
    <t>MURRAY-MOGRIDGE MINES, LIMITED, BOURKES. MGP</t>
  </si>
  <si>
    <t>Murray-Mogridge Gold Mine Steam Hoist and Compressor. 25 Men.</t>
  </si>
  <si>
    <t>amm75321</t>
  </si>
  <si>
    <t>NIPISSING EXTENSION MINES, LIMITED, COBALT. MGP</t>
  </si>
  <si>
    <t>Silver-Cobalt. Shaft. Electric Power and Air Drills. Developing.</t>
  </si>
  <si>
    <t>amm75819</t>
  </si>
  <si>
    <t>The Dorr Co., 101 Park Ave., New York, Metallurgical Engineers.</t>
  </si>
  <si>
    <t xml:space="preserve">quebec </t>
  </si>
  <si>
    <t>W. B. Page. Black Lake. Quebec, Mine Superintendent.</t>
  </si>
  <si>
    <t>amm76403</t>
  </si>
  <si>
    <t>ROCHA MINING CO.,COPALQUIN. EGP</t>
  </si>
  <si>
    <t xml:space="preserve">durango </t>
  </si>
  <si>
    <t>Charles Hitchler, Copalquin, Durango, Mexico, Metallurgist.</t>
  </si>
  <si>
    <t>hirst</t>
  </si>
  <si>
    <t>Metallurgist</t>
  </si>
  <si>
    <t>amm76414</t>
  </si>
  <si>
    <t>SANTA CRUZ MINING CO., ZAPOTES. MGP</t>
  </si>
  <si>
    <t>Santa (‘ruz and Santa Maria Silver-Gold Mines. Shafts.</t>
  </si>
  <si>
    <t>amm76958</t>
  </si>
  <si>
    <t>AMERICAN SM ELTING &amp; REFINING CO., MATEHUALA. AHD</t>
  </si>
  <si>
    <t xml:space="preserve">matehuala </t>
  </si>
  <si>
    <t>Dolores Copper Mines, Matehuala; E</t>
  </si>
  <si>
    <t>amm77437</t>
  </si>
  <si>
    <t>ALASKA SULPHUR CO., AKUN ISLAND. MGP</t>
  </si>
  <si>
    <t>ALASKA SULPHUR 00., AKUN ISLAND. MGP</t>
  </si>
  <si>
    <t>amm77745</t>
  </si>
  <si>
    <t>ADAMS MINING CO., KATHERINE, VIA KINGMAN. LGP</t>
  </si>
  <si>
    <t>I</t>
  </si>
  <si>
    <t>Office, I. W. Hellman Building, Los Angeles. Stock, $100,000.</t>
  </si>
  <si>
    <t>amm78052</t>
  </si>
  <si>
    <t>CALUMET G. JEROME COPPER CO., JEROME. BOD</t>
  </si>
  <si>
    <t>ARIZONA</t>
  </si>
  <si>
    <t>amm78258</t>
  </si>
  <si>
    <t>FLUX MINING CO., PATAGONIA. MGP</t>
  </si>
  <si>
    <t>amm78532</t>
  </si>
  <si>
    <t>KING PLACER CONSOLIDATED, QUARTZSITE. MGP</t>
  </si>
  <si>
    <t>amm78589</t>
  </si>
  <si>
    <t>LOUIS D'OR MINING 6. MILLING CO., MIAMI. MGP</t>
  </si>
  <si>
    <t>Incorporated, Arizona, 1916. Stock, $4,000,000. Shares, $1.00. L. W. Whitmer, Boston, Pres.; G. 0. Swarts, Boston, Secretary.</t>
  </si>
  <si>
    <t>whitmer</t>
  </si>
  <si>
    <t>amm78748</t>
  </si>
  <si>
    <t>(Controlled by Calumet &amp; Arizona Mining Co., Calumet, Michigan.)</t>
  </si>
  <si>
    <t>George Jay, Warren, Arizona. Purchasing Department.</t>
  </si>
  <si>
    <t>amm78898</t>
  </si>
  <si>
    <t>COPPER QUEEN MINES, BISBEE.</t>
  </si>
  <si>
    <t>P. P. Butler, Douglas, Arizona, Smelter Superintendent.</t>
  </si>
  <si>
    <t>percy</t>
  </si>
  <si>
    <t>amm79121</t>
  </si>
  <si>
    <t>SILVER BELT CONSOLIDATED MINING CO., HUMBOLDT. LGP</t>
  </si>
  <si>
    <t>Benjamin Bybon, Prescott, Manager.</t>
  </si>
  <si>
    <t>bye</t>
  </si>
  <si>
    <t>benjamin</t>
  </si>
  <si>
    <t>amm79587</t>
  </si>
  <si>
    <t>AVAWATZ CONSOLIDATED MINES, SILVER LAKE. 123</t>
  </si>
  <si>
    <t>amm79665</t>
  </si>
  <si>
    <t>BRUNSWICK CONS. GOLD MINING CO., GRASS VALLEY. EGO</t>
  </si>
  <si>
    <t>Brunswick Gold Mine. Shafts. Electric Power and Compressors.</t>
  </si>
  <si>
    <t>amm79776</t>
  </si>
  <si>
    <t>CHILANO GOLD MINING G. MILLING CO., TUTTLETOWN. LGP</t>
  </si>
  <si>
    <t>amm80023</t>
  </si>
  <si>
    <t>GOLD EXPLORATION CO., DOWNIEVILLE. 128</t>
  </si>
  <si>
    <t>Utah</t>
  </si>
  <si>
    <t>Incorporated. Utah. 1919. Stock, $150,000. Shares, 10 Cents.</t>
  </si>
  <si>
    <t>amm80057</t>
  </si>
  <si>
    <t>SHASTA DREDGING CO., , COTTONWOOD</t>
  </si>
  <si>
    <t xml:space="preserve">shasta </t>
  </si>
  <si>
    <t>amm80501</t>
  </si>
  <si>
    <t>Electric Power and Compressors. 60 Stamps and Tube Mills</t>
  </si>
  <si>
    <t>amm80548</t>
  </si>
  <si>
    <t>0R0 FINA MINING CO., EAST AUBURN. FGP</t>
  </si>
  <si>
    <t>Bellevue and Bullion Gold Mines. 750' and 300' Shafts.</t>
  </si>
  <si>
    <t>amm80557</t>
  </si>
  <si>
    <t>(Subsidiary of Borax Consolidated, Ltd., 16 Eastcheap, London.)</t>
  </si>
  <si>
    <t>422 H.P. Oil Engines, 2 Generators and 10 Drill Compressor.</t>
  </si>
  <si>
    <t>amm81027</t>
  </si>
  <si>
    <t>UNITED GRIZZLY RIDGE MINING CO., PIKE. LGP</t>
  </si>
  <si>
    <t>California</t>
  </si>
  <si>
    <t xml:space="preserve">california </t>
  </si>
  <si>
    <t>Incorporated, California, 1914. Stock, $75,000. Shares, 25 Cents.</t>
  </si>
  <si>
    <t>amm81035</t>
  </si>
  <si>
    <t>U. S. SMELTING, REFINING 6. MINING CO., MAMMOTH. AHD</t>
  </si>
  <si>
    <t xml:space="preserve">mammoth </t>
  </si>
  <si>
    <t>0. J. Egleston, Mammoth, California, Manager.</t>
  </si>
  <si>
    <t>amm81052</t>
  </si>
  <si>
    <t>50ton Concentration-Flotation Mill and Cyanide Plant. 25 Men. VALENTINE MINESCO.,MOKELUMNE HILL. MGP</t>
  </si>
  <si>
    <t xml:space="preserve">san francisco </t>
  </si>
  <si>
    <t>Office. 1006 Hobart Building, San Francisco, California.</t>
  </si>
  <si>
    <t>amm81161</t>
  </si>
  <si>
    <t>ZENDA GOLD MINING CO., CALIENTE. MGP</t>
  </si>
  <si>
    <t>E. H. Clausen. Caliente, California, Manager.</t>
  </si>
  <si>
    <t>claus</t>
  </si>
  <si>
    <t>amm81861</t>
  </si>
  <si>
    <t>Edna Forest Mining &amp; Milling Co., Cripple Creek, Lessee.</t>
  </si>
  <si>
    <t>Gold Sovereign and J. G. Blaine Mines. Gold. Shafts.</t>
  </si>
  <si>
    <t>amm82015</t>
  </si>
  <si>
    <t>KING SOLOMON TUNNEL &amp; DEVELOPMENT CO., FRISCO. LFS</t>
  </si>
  <si>
    <t>South Dakota</t>
  </si>
  <si>
    <t>Incorporated, South Dakota. Stoek, $2,500,000. Shares, $1.00,</t>
  </si>
  <si>
    <t>amm82045</t>
  </si>
  <si>
    <t>LITTLE KINGDOM LAND at MINES CO., CENTRAL CITY. MGP</t>
  </si>
  <si>
    <t xml:space="preserve">winchester </t>
  </si>
  <si>
    <t>Howard L. Winchester, Boston, Pres.; Harry K. Dean, Secretary.</t>
  </si>
  <si>
    <t>amm82404</t>
  </si>
  <si>
    <t>(Sub. or National Radium Products Co., Park Bldg., Pittsburgh.)</t>
  </si>
  <si>
    <t>Ferrovanadinm-Uranium-Tungsten-Molybdenum-Manganese, Etc.</t>
  </si>
  <si>
    <t>amm82739</t>
  </si>
  <si>
    <t>SUMMIT COPPER MINING G. MILLING CO., IRONTON. MGP</t>
  </si>
  <si>
    <t>George P. Heckel, Federal Reserve Building, St. Louis, Manager.</t>
  </si>
  <si>
    <t>hebbcrt</t>
  </si>
  <si>
    <t>amm82827</t>
  </si>
  <si>
    <t>(Sub. of Western Metals Co., Newhouse Bldg, Salt Lake, Incorporated, Utah, Utah.) 1916. Stock, $30,000. Shares, 10 Cents.</t>
  </si>
  <si>
    <t>Rawley Copper-Silver-Lead Mine. 6500‘ Adit and 1200' Raise.</t>
  </si>
  <si>
    <t>amm83360</t>
  </si>
  <si>
    <t>MATCH LESS FUEL CO., LOUISVILLE, BOULDER CO. MGP</t>
  </si>
  <si>
    <t>Matchless Colliery. 250' Shaft. Steam, and Electric (Comm.) Power.</t>
  </si>
  <si>
    <t>amm83689</t>
  </si>
  <si>
    <t>BUENA VISTA GOLD MINES CO., IDAHO CITY. MGP</t>
  </si>
  <si>
    <t>Oregon</t>
  </si>
  <si>
    <t xml:space="preserve">oregon </t>
  </si>
  <si>
    <t>Incorporated, Oregon, 1885. Stock, $3,270,000. Shares, $10.00. Frederick W. Bradley, Crocker Bdg., San Francisco, President.</t>
  </si>
  <si>
    <t>francisco</t>
  </si>
  <si>
    <t>san</t>
  </si>
  <si>
    <t>amm84556</t>
  </si>
  <si>
    <t>BARNES-KING DEVELOPMENT CO., KENDALL. FGD</t>
  </si>
  <si>
    <t>Electric Power and Compressors. 150-ton Cyanide Plant. 100 Men</t>
  </si>
  <si>
    <t>amm84851</t>
  </si>
  <si>
    <t>NEW MINE SAPPHIRE SYNDICATE, MOORE. FGD</t>
  </si>
  <si>
    <t>amm85211</t>
  </si>
  <si>
    <t>BETTY O'NEAL MINES CO., BATTLE MOUNTAIN. MGP</t>
  </si>
  <si>
    <t xml:space="preserve">devonshire </t>
  </si>
  <si>
    <t>Oflice (George W. Sias &amp; 00.), 68 Devonshire Street, Boston.</t>
  </si>
  <si>
    <t>amm85495</t>
  </si>
  <si>
    <t>EUREKA HOLLY MINING CO., EUREKA. MGP</t>
  </si>
  <si>
    <t>Eureka Holly Lead-Silver Mine. Shaft. Oil Engines &amp; Compressors.</t>
  </si>
  <si>
    <t>amm85705</t>
  </si>
  <si>
    <t>LONE STAR CONSOLIDATED MINING CO., GOLDFIELD. 123</t>
  </si>
  <si>
    <t>Nathaniel H. Wheeler, Pres. and Manager; W. D. Miller, Secretary.</t>
  </si>
  <si>
    <t>wheeler</t>
  </si>
  <si>
    <t>amm85756</t>
  </si>
  <si>
    <t>(Subsidiary of MacNamara Mining &amp; Milling Co., Tonopah.)</t>
  </si>
  <si>
    <t>Nevada</t>
  </si>
  <si>
    <t xml:space="preserve">nevada </t>
  </si>
  <si>
    <t>Incorporated, Nevada, 1918. Stock, $1,500,000. Shares, 25 Cents.</t>
  </si>
  <si>
    <t>amm85894</t>
  </si>
  <si>
    <t>(Controlled by Utah Copper Co., 25 Broad Street, New York.)</t>
  </si>
  <si>
    <t>4000 HP. Waste Heat and 4500 HP. Coal Fired Boiler Plants.</t>
  </si>
  <si>
    <t>amm86259</t>
  </si>
  <si>
    <t>SUNSHINE MINES CO., WINNEMUCCA. FGP</t>
  </si>
  <si>
    <t>Chloride Gold-Silver Mines. Gas Engine and Compressor. 15 Men.</t>
  </si>
  <si>
    <t>amm86420</t>
  </si>
  <si>
    <t>WHITE CAPS MINING CO., MANHATTAN. EHD</t>
  </si>
  <si>
    <t xml:space="preserve">tonopah </t>
  </si>
  <si>
    <t>John G. Kirchen, Tonopah, Nevada, President and Manager.</t>
  </si>
  <si>
    <t>kirby</t>
  </si>
  <si>
    <t>amm87574</t>
  </si>
  <si>
    <t>amm87580</t>
  </si>
  <si>
    <t>EUREKA METALLURGICAL CO., EUREKA. MGP</t>
  </si>
  <si>
    <t>Oflice, 727 McIntyre Building, Salt Lake City, Utah.</t>
  </si>
  <si>
    <t>amm87741</t>
  </si>
  <si>
    <t>TINTIC MILLING CO., SILVER CITY.</t>
  </si>
  <si>
    <t>Gyratory Crusher, Vezln Sampler and 11 Holt-Dem Roasters,</t>
  </si>
  <si>
    <t>amm87851</t>
  </si>
  <si>
    <t>2500-t0n Concentration Mill and Flotation Plant. 250 Men.</t>
  </si>
  <si>
    <t>amm87913</t>
  </si>
  <si>
    <t>SILVER KING COALITION MINES CO., PARK CITY. BHD</t>
  </si>
  <si>
    <t>amm88076</t>
  </si>
  <si>
    <t>UTAH COPPER CO., SALT LAKE CITY. AHD</t>
  </si>
  <si>
    <t xml:space="preserve">garfield </t>
  </si>
  <si>
    <t>36 Tube Mills, 24 Sets Garfield Rolls, Twelve 24" Dry Conveyors.</t>
  </si>
  <si>
    <t>amm88566</t>
  </si>
  <si>
    <t>NORTHPORT SMELTING &amp; REFINING CO., NORTHPORT. AHD</t>
  </si>
  <si>
    <t>amm88670</t>
  </si>
  <si>
    <t>UNITED SILVER—COPPER MINING CO., CHEWELAH. FGD</t>
  </si>
  <si>
    <t xml:space="preserve">chewelah </t>
  </si>
  <si>
    <t>amm88787</t>
  </si>
  <si>
    <t>DURHAM COLLIERY CO., DURHAM, KING CO. FGP</t>
  </si>
  <si>
    <t xml:space="preserve">durham </t>
  </si>
  <si>
    <t>amm88811</t>
  </si>
  <si>
    <t>INDEPENDENT COAL a COKE CO., CLE ELUM. FGP</t>
  </si>
  <si>
    <t>White Building, Seattle</t>
  </si>
  <si>
    <t xml:space="preserve">seattle </t>
  </si>
  <si>
    <t>Office, White Building, Seattle, Washington.</t>
  </si>
  <si>
    <t>amm88895</t>
  </si>
  <si>
    <t>ROSLYN COAL a COKE CO., ROSLYN, KITTITAS CO. OGP</t>
  </si>
  <si>
    <t xml:space="preserve">roslyn </t>
  </si>
  <si>
    <t>amm88948</t>
  </si>
  <si>
    <t>BILROWE ALLOYS CO., TACOMA. FGP</t>
  </si>
  <si>
    <t xml:space="preserve">tacoma </t>
  </si>
  <si>
    <t>1025 East F. Street, Tacoma. Inc. 1915. Stock, $1,000,000.</t>
  </si>
  <si>
    <t>amm89188</t>
  </si>
  <si>
    <t>KIRBY CREEK COAL CO.,THERMOPOLIS. LGP</t>
  </si>
  <si>
    <t xml:space="preserve">thermopolis </t>
  </si>
  <si>
    <t>P. J. Horack, Thermopolis, Wyoming, President, Manager.</t>
  </si>
  <si>
    <t>hoppin</t>
  </si>
  <si>
    <t>amm89331</t>
  </si>
  <si>
    <t>ANNISTON STEEL CO., ANNIS‘I'ON. EHD</t>
  </si>
  <si>
    <t>ALABAMA</t>
  </si>
  <si>
    <t>amm89338</t>
  </si>
  <si>
    <t>BIRMINGHAM ORE &amp;. MINING CO., BIRMINGHAM. MGP</t>
  </si>
  <si>
    <t xml:space="preserve">birmingham </t>
  </si>
  <si>
    <t>amm89347</t>
  </si>
  <si>
    <t>CENTRAL IRON &amp;. COAL CO., HOLT. —HD</t>
  </si>
  <si>
    <t xml:space="preserve">new jersey </t>
  </si>
  <si>
    <t>Inc., New Jersey, 1901. Stock, $1,000,000. Bonds, $1,171,000.</t>
  </si>
  <si>
    <t>amm89372</t>
  </si>
  <si>
    <t>CONNORS WEYMAN STEEL CO., HELENA. FGP</t>
  </si>
  <si>
    <t>Birmingham, Ala</t>
  </si>
  <si>
    <t>Office, Birmingham, Ala. Inc., Delaware, 1918. Stock, $100,000.</t>
  </si>
  <si>
    <t>amm89688</t>
  </si>
  <si>
    <t>AMERICAN LOCOMOTIVE CO., NEW CASTLE. AHD</t>
  </si>
  <si>
    <t>80 Church St., New York. Stock, $50,000,000; Bonds, $1,983,000.</t>
  </si>
  <si>
    <t>amm89926</t>
  </si>
  <si>
    <t>BLEWETT MINING CO., GALENA. MGP</t>
  </si>
  <si>
    <t>Inc., Missouri, 1918. 10,000 Shares, No. Par. Bonds, $500,000.</t>
  </si>
  <si>
    <t>amm90666</t>
  </si>
  <si>
    <t>DE SOTO FOUNDRY G MACHINE CO., LTD., MANSFIELD. MGP</t>
  </si>
  <si>
    <t xml:space="preserve">mansfield </t>
  </si>
  <si>
    <t>Oflice, Mansfield, La. Incorporated 1906. Stock, $75,000.</t>
  </si>
  <si>
    <t>amm91628</t>
  </si>
  <si>
    <t>BATES IRON CO., IRON RIVER, MICHIGAN.</t>
  </si>
  <si>
    <t>Bates Mine. (90,000 Tons) Shaft. Electric Power and Compressors.</t>
  </si>
  <si>
    <t>amm92198</t>
  </si>
  <si>
    <t>ST..JOSEPH LEAD CO., BONNE TERRE. AHD</t>
  </si>
  <si>
    <t>Incorporated, New York, 1864. Stock, $20,000,000. Shares, $10 00.</t>
  </si>
  <si>
    <t>amm92308</t>
  </si>
  <si>
    <t>BEN B. MINING CO., JOPLIN, MISSOURI. LGP</t>
  </si>
  <si>
    <t xml:space="preserve">joplin </t>
  </si>
  <si>
    <t>W. B. Brice, Joplin, Missouri, Superintendent.</t>
  </si>
  <si>
    <t>brice</t>
  </si>
  <si>
    <t>amm92576</t>
  </si>
  <si>
    <t>(Sub. of International Minerals &amp; Metals Co., 61 Broadway, N.Y.)</t>
  </si>
  <si>
    <t>Acids, Salt Cake, Glauber Salts, Copperas, Sal Soda, Electrolite.</t>
  </si>
  <si>
    <t>amm92773</t>
  </si>
  <si>
    <t>KANSAS CITY BOLT 6. NUT CO., KANSAS CITY. FGP</t>
  </si>
  <si>
    <t xml:space="preserve">kansas </t>
  </si>
  <si>
    <t>Solomon Stoddard, Kansas City, Vice President and Manager.</t>
  </si>
  <si>
    <t>stoddart</t>
  </si>
  <si>
    <t>solomon</t>
  </si>
  <si>
    <t>amm92777</t>
  </si>
  <si>
    <t>22" and 12" Continuous Roughing, and 10" Finishing Mills.</t>
  </si>
  <si>
    <t>amm93258</t>
  </si>
  <si>
    <t>ST. LAWRENCE PYRITES CO., DE KALB. FGD</t>
  </si>
  <si>
    <t>St. Lawrence Mine. Iron Pyrites. 600’ Shaft.</t>
  </si>
  <si>
    <t>amm93973</t>
  </si>
  <si>
    <t>CANTON STEEL FOUNDRY CO., CANTON. EHD</t>
  </si>
  <si>
    <t xml:space="preserve">morgan </t>
  </si>
  <si>
    <t>W. H. Morgan, Canton, President; W. H. Ramsey, Vice President.</t>
  </si>
  <si>
    <t>morgan</t>
  </si>
  <si>
    <t>marrian</t>
  </si>
  <si>
    <t>amm94105</t>
  </si>
  <si>
    <t>FALCON STEEL CO., NILES. EHD</t>
  </si>
  <si>
    <t>W. W. Lewis, Niles, Ohio, General Superintendent.</t>
  </si>
  <si>
    <t>lewis</t>
  </si>
  <si>
    <t>General Superintendent</t>
  </si>
  <si>
    <t>amm94239</t>
  </si>
  <si>
    <t>MARION STEAM SHOVEL CO., MARION. DHD</t>
  </si>
  <si>
    <t>20-ton B.O.H. Furnace. 3 Forging Presses. Castings for Own Use.</t>
  </si>
  <si>
    <t>amm94241</t>
  </si>
  <si>
    <t>MARTING IRON a. STEEL CO., IRONTON. EHD</t>
  </si>
  <si>
    <t>Ironton, Ohio</t>
  </si>
  <si>
    <t xml:space="preserve">ironton </t>
  </si>
  <si>
    <t>Office, Ironton, Ohio. Incorporated 1899. Stock, $2,000,000.</t>
  </si>
  <si>
    <t>amm94256</t>
  </si>
  <si>
    <t>MASSILLON ROLLING MILL CO., MASSILLON. CHD</t>
  </si>
  <si>
    <t>11 Cold Roll Stands. 12 Annealing Furnaces. 3 Pickling Machines.</t>
  </si>
  <si>
    <t>amm94327</t>
  </si>
  <si>
    <t>OTIS STEEL CO., CLEVELAND. AHD</t>
  </si>
  <si>
    <t>8 Sheet Mills. 7 Annealing Furnaces. 2 Mesta Pickling Machines.</t>
  </si>
  <si>
    <t>amm94363</t>
  </si>
  <si>
    <t>REPUBLIC IRON &amp; STEEL CO., YOUNGSTOWN. AHD</t>
  </si>
  <si>
    <t xml:space="preserve">kennedy </t>
  </si>
  <si>
    <t>12 Kennedy Center Combustion and 7 Side Combustion Stoves.</t>
  </si>
  <si>
    <t>amm94488</t>
  </si>
  <si>
    <t>(Affiliation of M. A. Hanna &amp; Co., Leader News Bdg., Cleveland.)</t>
  </si>
  <si>
    <t>Thirteen 85-ton, Two 75-ton, Three 60th and One 35-ton B.O.H.</t>
  </si>
  <si>
    <t>amm94622</t>
  </si>
  <si>
    <t>AMERICAN STEEL a WIRE CO., DONORA. AHD</t>
  </si>
  <si>
    <t>George W. Sargent, Pittsburgh, Pres; Jas. S. Crawford, Secretary. J. W. Weitzenkorn, Washington, Pennsylvania, General Manager.</t>
  </si>
  <si>
    <t>saqui</t>
  </si>
  <si>
    <t>amm94793</t>
  </si>
  <si>
    <t>AMERICAN SHEET 6. TIN PLATE CO., PITTSBURGH. AHD</t>
  </si>
  <si>
    <t>New Castle Works, New Castle: 22 Sheet and 20 Pair Furnaces.</t>
  </si>
  <si>
    <t>amm95160</t>
  </si>
  <si>
    <t>CLAIRE FURNACE CO., SHARPSVILLE. CHD</t>
  </si>
  <si>
    <t>amm95572</t>
  </si>
  <si>
    <t>LUKENS STEEL CO., COATESVILLE. AHD</t>
  </si>
  <si>
    <t>Flanging Machines and Hydraulic Presses. Electric Power Plant.</t>
  </si>
  <si>
    <t>amm95898</t>
  </si>
  <si>
    <t>SCRANTON BOLT a NUT CO., SCRANTON. DHD</t>
  </si>
  <si>
    <t>7 Puddliug Furnaces. 6 Heating Furnaces. 1 Rotary Squeezer.</t>
  </si>
  <si>
    <t>amm96139</t>
  </si>
  <si>
    <t>WILKES ROLLING MILL CO., SHARON. EGP</t>
  </si>
  <si>
    <t>4 Double Puddliug, Billet Reheating and 1 Sheet &amp; Pair Furnaces.</t>
  </si>
  <si>
    <t>amm96436</t>
  </si>
  <si>
    <t>TENNESSEE VALLEY IRON &amp; RAILROAD CO., COLLINWOOD. FGP</t>
  </si>
  <si>
    <t>20 Charcoal Retorts (Wood Products Co.) and Byproducts Works.</t>
  </si>
  <si>
    <t>amm96528</t>
  </si>
  <si>
    <t>(Subsidiary of Lukens Steel Co., Coatesville, Pennsylvania.</t>
  </si>
  <si>
    <t>John W. Stuli, Lignite, Va., Mine Superintendent.</t>
  </si>
  <si>
    <t>studley</t>
  </si>
  <si>
    <t>amm96663</t>
  </si>
  <si>
    <t>VIRGINIA IRON, COAL 6. COKE CO., ROANOKE. CHD</t>
  </si>
  <si>
    <t>R. O. Brannan, Peoples National Building, Lynchburg, Manager.</t>
  </si>
  <si>
    <t>brann</t>
  </si>
  <si>
    <t>amm97071</t>
  </si>
  <si>
    <t>STOWELL COMPANY, SOUTH MILWAUKEE. FGP</t>
  </si>
  <si>
    <t>Ofiice, South Milwaukee, Wis. Inc., 1916. Stock, $200,000.</t>
  </si>
  <si>
    <t>amm97287</t>
  </si>
  <si>
    <t>ROSE DEER COAL MINING CO., LIMITED, WAYNE. FGP</t>
  </si>
  <si>
    <t>Compressed Air Cutters. Steam Locomotives. Screens. 150 Men.</t>
  </si>
  <si>
    <t>amm97567</t>
  </si>
  <si>
    <t>DOUGLAS CHANNEL MINES, LTD., HARTLEY BAY. MGP</t>
  </si>
  <si>
    <t>Frederick G. Jarret, Hartley Bay, B.C., Superintendent.</t>
  </si>
  <si>
    <t>jaramillo</t>
  </si>
  <si>
    <t>amm97613</t>
  </si>
  <si>
    <t>GRANBY CONS. M., SM ELTING &amp;. POWER CO., LTD., ANYOX. AHD</t>
  </si>
  <si>
    <t xml:space="preserve">vancouver </t>
  </si>
  <si>
    <t>Harold S. Munroe, Birks Building, Vancouver, General Manager.</t>
  </si>
  <si>
    <t>munro</t>
  </si>
  <si>
    <t>harold</t>
  </si>
  <si>
    <t>amm97759</t>
  </si>
  <si>
    <t>MOUNTAIN CHIEF MINING CO., LIMITED, RENATA. MGP J. W. Evans, Nelson, British Columbia, President and Manager.</t>
  </si>
  <si>
    <t>Copper-Silver. Shaft. Gas. Engine and Compressor. Developing.</t>
  </si>
  <si>
    <t>amm97776</t>
  </si>
  <si>
    <t>NEW ERA MINES, LIMITED, BEATON. LGP</t>
  </si>
  <si>
    <t>Beatrice Silver-Lead-Zinc Mine. 3 Adits. Developing.</t>
  </si>
  <si>
    <t>amm98164</t>
  </si>
  <si>
    <t>COAL MINES</t>
  </si>
  <si>
    <t>amm98202</t>
  </si>
  <si>
    <t>SHERBROOKE MINES 6. POWER CO., LTD., GOLDENVILLE. FGD</t>
  </si>
  <si>
    <t xml:space="preserve">sherbrooke </t>
  </si>
  <si>
    <t>Sherbrooke Gold Mine. Shafts. Hydro-Electric and Compressor.</t>
  </si>
  <si>
    <t>amm98285</t>
  </si>
  <si>
    <t>CANADIAN CAR &amp; FOUNDRY CO., LTD., AMHERST. DHD</t>
  </si>
  <si>
    <t>2 Nut Machines. Gray Iron Foundry. Machine and Car Mnfg. Shops.</t>
  </si>
  <si>
    <t>amm98548</t>
  </si>
  <si>
    <t>CONIAGAS MINES, LIMITED, COBALT. AHD</t>
  </si>
  <si>
    <t>Coniagas and Trethewey Silver Mines. Electric (Comm.) Power.</t>
  </si>
  <si>
    <t>amm98663</t>
  </si>
  <si>
    <t>GENESEE MINING CO., LIMITED, COBALT. LGP</t>
  </si>
  <si>
    <t>Leonard F. Steenman, Cobalt, General Manager.</t>
  </si>
  <si>
    <t>steely</t>
  </si>
  <si>
    <t>leonard</t>
  </si>
  <si>
    <t>amm98974</t>
  </si>
  <si>
    <t>NIPISSING MINES CO., LIMITED.</t>
  </si>
  <si>
    <t>E. P. Earle, New York, President; Alexander Fasken, Secretary.</t>
  </si>
  <si>
    <t>earl</t>
  </si>
  <si>
    <t>amm99154</t>
  </si>
  <si>
    <t>TEMISKAMING MINING CO., LIMITED, COBALT. DHD</t>
  </si>
  <si>
    <t>amm99277</t>
  </si>
  <si>
    <t>(Subsidiary of Baldwins, Ltd., 23 St. Mary Axe, London, England)</t>
  </si>
  <si>
    <t xml:space="preserve">swansea </t>
  </si>
  <si>
    <t>Colonel Sir John Roper Wright, Swansea, Wales, Chairman.</t>
  </si>
  <si>
    <t>amm100167</t>
  </si>
  <si>
    <t>AGUJITA FUEL CO., SABINAS. AHD</t>
  </si>
  <si>
    <t>(COMPANIA DE COMBUS'I‘IBLES AGITJITA, S.A.)</t>
  </si>
  <si>
    <t>amm100386</t>
  </si>
  <si>
    <t>GUANAJUATO REDUCTION a MINES CO., GUANAJUATO. —GP</t>
  </si>
  <si>
    <t>Shafts. Electric Power and Compressors. Crusher, 20 Stamps.</t>
  </si>
  <si>
    <t>amm101135</t>
  </si>
  <si>
    <t>(CIA. MINERA CARBONCILLO Y ANEXAS. S. A.)</t>
  </si>
  <si>
    <t>25 Stamp Concentration Mill and 100-ton Cyanide Plant. 250 Men.</t>
  </si>
  <si>
    <t>minerals</t>
  </si>
  <si>
    <t>owns</t>
  </si>
  <si>
    <t>owned</t>
  </si>
  <si>
    <t>doutput</t>
  </si>
  <si>
    <t>technology</t>
  </si>
  <si>
    <t>incor</t>
  </si>
  <si>
    <t>mmm5</t>
  </si>
  <si>
    <t xml:space="preserve">po, asientso ags, </t>
  </si>
  <si>
    <t>aguascalientes metal co.</t>
  </si>
  <si>
    <t>asientso ags</t>
  </si>
  <si>
    <t>mmm15</t>
  </si>
  <si>
    <t>cia min la fortuna sa</t>
  </si>
  <si>
    <t>aguascalientes</t>
  </si>
  <si>
    <t>mmm21</t>
  </si>
  <si>
    <t>212 725</t>
  </si>
  <si>
    <t>compania minera san geronimo sa</t>
  </si>
  <si>
    <t>mmm24</t>
  </si>
  <si>
    <t>copper silver</t>
  </si>
  <si>
    <t>mmm31</t>
  </si>
  <si>
    <t xml:space="preserve">location&amp; po, asientos, ags, </t>
  </si>
  <si>
    <t>compania min socorro y an sa</t>
  </si>
  <si>
    <t>asientos ags</t>
  </si>
  <si>
    <t>mmm33</t>
  </si>
  <si>
    <t>mmm42</t>
  </si>
  <si>
    <t xml:space="preserve">daily out put, 300 metric tons., </t>
  </si>
  <si>
    <t>minerva mining co. s. a.</t>
  </si>
  <si>
    <t>300 metric tons.</t>
  </si>
  <si>
    <t>mmm50</t>
  </si>
  <si>
    <t>spt of power, .j. kaufer, asientos, ags.</t>
  </si>
  <si>
    <t>kasper</t>
  </si>
  <si>
    <t>spt of power</t>
  </si>
  <si>
    <t>mmm56</t>
  </si>
  <si>
    <t>mexico city office, a.venida capuchinas 44, manager., mr l majar</t>
  </si>
  <si>
    <t>compañia del boleo</t>
  </si>
  <si>
    <t>mr l majar</t>
  </si>
  <si>
    <t>mmm57</t>
  </si>
  <si>
    <t>copper</t>
  </si>
  <si>
    <t>baja california.</t>
  </si>
  <si>
    <t>mmm61</t>
  </si>
  <si>
    <t xml:space="preserve">refining plant location, sta. rosalia, b · c ·, </t>
  </si>
  <si>
    <t>sta rosalia bc</t>
  </si>
  <si>
    <t>text to source</t>
  </si>
  <si>
    <t>mmm68</t>
  </si>
  <si>
    <t>ming. Eng., .j. cazanove., sta. ro salia, b. c.</t>
  </si>
  <si>
    <t>ro salia bc</t>
  </si>
  <si>
    <t>mmm75</t>
  </si>
  <si>
    <t xml:space="preserve">foreign office, 40 w. congress st. tucson, ariz., </t>
  </si>
  <si>
    <t>cia y reduccion del golfo s. a.</t>
  </si>
  <si>
    <t>st tucson ariz</t>
  </si>
  <si>
    <t>mmm76</t>
  </si>
  <si>
    <t>silver gold arsenic.</t>
  </si>
  <si>
    <t>mmm78</t>
  </si>
  <si>
    <t>grl. spt., geo. w. pickett, san antonio, b. c.</t>
  </si>
  <si>
    <t>san antonio bc</t>
  </si>
  <si>
    <t>pickard</t>
  </si>
  <si>
    <t>geo</t>
  </si>
  <si>
    <t>grl. spt.</t>
  </si>
  <si>
    <t>mmm84</t>
  </si>
  <si>
    <t>lead zinc silver.</t>
  </si>
  <si>
    <t>calera mining co.</t>
  </si>
  <si>
    <t>mmm91</t>
  </si>
  <si>
    <t>asst. grl. mgr., e. s. plumb, chihuahua, chih.</t>
  </si>
  <si>
    <t>chihuahua chih</t>
  </si>
  <si>
    <t>plews</t>
  </si>
  <si>
    <t>edwanl</t>
  </si>
  <si>
    <t>asst. grl. mgr.</t>
  </si>
  <si>
    <t>mmm100</t>
  </si>
  <si>
    <t>location, &amp; p. o., chihuahua, chih.</t>
  </si>
  <si>
    <t>cia . minera alianza</t>
  </si>
  <si>
    <t>mmm102</t>
  </si>
  <si>
    <t>manager, a. l. kraft, chihuahua, chih.</t>
  </si>
  <si>
    <t>kothsctaild</t>
  </si>
  <si>
    <t>mmm108</t>
  </si>
  <si>
    <t xml:space="preserve">owners, the prieto estate., </t>
  </si>
  <si>
    <t>cia. Minera astreas y otros</t>
  </si>
  <si>
    <t>mmm116</t>
  </si>
  <si>
    <t xml:space="preserve">cyanidation., </t>
  </si>
  <si>
    <t>cia. Minera cienega sa</t>
  </si>
  <si>
    <t>cyanidation.</t>
  </si>
  <si>
    <t>mmm117</t>
  </si>
  <si>
    <t xml:space="preserve">daily output, 50 metric tons., </t>
  </si>
  <si>
    <t>50 metric tons.</t>
  </si>
  <si>
    <t>mmm120</t>
  </si>
  <si>
    <t>purch. agt., clyde harding, el paso, texas.</t>
  </si>
  <si>
    <t>el paso texas</t>
  </si>
  <si>
    <t>hardenbergh</t>
  </si>
  <si>
    <t>clyde</t>
  </si>
  <si>
    <t>purch. agt.</t>
  </si>
  <si>
    <t>mmm124</t>
  </si>
  <si>
    <t>this company owns the leponte y an. mines.</t>
  </si>
  <si>
    <t>cia. minera de naica</t>
  </si>
  <si>
    <t>mmm147</t>
  </si>
  <si>
    <t xml:space="preserve">foreign office, warren, ariz., </t>
  </si>
  <si>
    <t>cia . min . erupcion y an. s. a.</t>
  </si>
  <si>
    <t>office warren ariz</t>
  </si>
  <si>
    <t>mmm148</t>
  </si>
  <si>
    <t>lead silver.</t>
  </si>
  <si>
    <t>this company is subsidiary of ahumada lead co.</t>
  </si>
  <si>
    <t>mmm151</t>
  </si>
  <si>
    <t>purch. Agt., john b. rawlings, 315 two republics bdg., el paso. texas.</t>
  </si>
  <si>
    <t>raub</t>
  </si>
  <si>
    <t>purch. Agt.</t>
  </si>
  <si>
    <t>mmm155</t>
  </si>
  <si>
    <t>manager, jose bovio, chihuahua, chih</t>
  </si>
  <si>
    <t>cia. min. la sorpresa y an. s. a.</t>
  </si>
  <si>
    <t>bovill</t>
  </si>
  <si>
    <t>mmm158</t>
  </si>
  <si>
    <t>manager, j. c. shepard, chihuahua, chih.</t>
  </si>
  <si>
    <t>cia. min. mexicana de la cieneguilla</t>
  </si>
  <si>
    <t>shepard</t>
  </si>
  <si>
    <t>mmm161</t>
  </si>
  <si>
    <t>this conmpany owns the san pascual mines .</t>
  </si>
  <si>
    <t>cia. Min. san pascual de las adargas s. a.</t>
  </si>
  <si>
    <t>lead silver gold.</t>
  </si>
  <si>
    <t>mmm172</t>
  </si>
  <si>
    <t>gold silver.</t>
  </si>
  <si>
    <t>dolores mines co.</t>
  </si>
  <si>
    <t>mmm174</t>
  </si>
  <si>
    <t xml:space="preserve">daily output, 200 metric tons, </t>
  </si>
  <si>
    <t>200 metric tons</t>
  </si>
  <si>
    <t>mmm177</t>
  </si>
  <si>
    <t>grl. Mgr., f. m. estes, la dura, son.</t>
  </si>
  <si>
    <t>la dura son</t>
  </si>
  <si>
    <t>estates</t>
  </si>
  <si>
    <t>francis</t>
  </si>
  <si>
    <t>grl. Mgr.</t>
  </si>
  <si>
    <t>mmm186</t>
  </si>
  <si>
    <t xml:space="preserve">foreign office, 780 fifth ave. new york, </t>
  </si>
  <si>
    <t>el potosi mining co.</t>
  </si>
  <si>
    <t>ave new york</t>
  </si>
  <si>
    <t>mmm192</t>
  </si>
  <si>
    <t xml:space="preserve">secr., w. j. walworth, new york., </t>
  </si>
  <si>
    <t>new york</t>
  </si>
  <si>
    <t>walworth</t>
  </si>
  <si>
    <t>secr.</t>
  </si>
  <si>
    <t>mmm197</t>
  </si>
  <si>
    <t xml:space="preserve">chairman, e. b. schley, new york., </t>
  </si>
  <si>
    <t>schlesinger</t>
  </si>
  <si>
    <t>evander</t>
  </si>
  <si>
    <t>chairman</t>
  </si>
  <si>
    <t>mmm199</t>
  </si>
  <si>
    <t>superintendent, h. a. walker., chihuahua, chih.</t>
  </si>
  <si>
    <t>mmm209</t>
  </si>
  <si>
    <t>owners, Dale Brothers,, chihuahua, chih.</t>
  </si>
  <si>
    <t>inglaterra mining co.</t>
  </si>
  <si>
    <t>mmm211</t>
  </si>
  <si>
    <t xml:space="preserve">location, santa barbara., chih., </t>
  </si>
  <si>
    <t>moctezuma lead company</t>
  </si>
  <si>
    <t>santa barbara chih</t>
  </si>
  <si>
    <t>mmm220</t>
  </si>
  <si>
    <t xml:space="preserve">daily output, 300 metric tons, </t>
  </si>
  <si>
    <t>palmarejo &amp; mexican gold fields ltd.</t>
  </si>
  <si>
    <t>300 metric tons</t>
  </si>
  <si>
    <t>mmm228</t>
  </si>
  <si>
    <t xml:space="preserve">organized, in 1906 in arizona., </t>
  </si>
  <si>
    <t>rio plata mining co.</t>
  </si>
  <si>
    <t>mmm230</t>
  </si>
  <si>
    <t xml:space="preserve">location, río plata, chih., </t>
  </si>
  <si>
    <t>río plata chih</t>
  </si>
  <si>
    <t>mmm231</t>
  </si>
  <si>
    <t xml:space="preserve">p. o., guazapares, chih., </t>
  </si>
  <si>
    <t>o guazapares chih</t>
  </si>
  <si>
    <t>mmm232</t>
  </si>
  <si>
    <t>silver gold</t>
  </si>
  <si>
    <t>mmm249</t>
  </si>
  <si>
    <t>mill. spt., glen. l. allen, parral, chih.</t>
  </si>
  <si>
    <t>san francisco mines of mexico ltd</t>
  </si>
  <si>
    <t>parral chih</t>
  </si>
  <si>
    <t>allen</t>
  </si>
  <si>
    <t>glen</t>
  </si>
  <si>
    <t>boyce</t>
  </si>
  <si>
    <t>mill. spt.</t>
  </si>
  <si>
    <t>mmm250</t>
  </si>
  <si>
    <t>mech. eng., w . g . savage, parral, chih.</t>
  </si>
  <si>
    <t>saup</t>
  </si>
  <si>
    <t>mech. eng.</t>
  </si>
  <si>
    <t>mmm252</t>
  </si>
  <si>
    <t xml:space="preserve">struct. steel foreman, henry weithaus, </t>
  </si>
  <si>
    <t>weiss</t>
  </si>
  <si>
    <t>struct. steel foreman</t>
  </si>
  <si>
    <t>mmm256</t>
  </si>
  <si>
    <t>$7. 000,000 u. s. c.</t>
  </si>
  <si>
    <t>san toy mining co.</t>
  </si>
  <si>
    <t>mmm257</t>
  </si>
  <si>
    <t>the company owns the juarez la central, la fotuna, independencia &amp; bustillos mines.</t>
  </si>
  <si>
    <t>mmm261</t>
  </si>
  <si>
    <t xml:space="preserve">location &amp; p. o., batopilas, chih., </t>
  </si>
  <si>
    <t>the batopilas mining co.</t>
  </si>
  <si>
    <t>batopilas chih</t>
  </si>
  <si>
    <t>mmm274</t>
  </si>
  <si>
    <t>location, sta. domingo, near sta. eulalia, chih.</t>
  </si>
  <si>
    <t>the buena tierra mining co. ltd</t>
  </si>
  <si>
    <t>sta eulalia chih</t>
  </si>
  <si>
    <t>mmm288</t>
  </si>
  <si>
    <t xml:space="preserve">grl. mgr., a . p. cortelyou., </t>
  </si>
  <si>
    <t>the concheño mining co.</t>
  </si>
  <si>
    <t>mmm291</t>
  </si>
  <si>
    <t>master mech., narcizo ruiz. Sr., concheño, chih.</t>
  </si>
  <si>
    <t>concheño chih</t>
  </si>
  <si>
    <t>mmm294</t>
  </si>
  <si>
    <t xml:space="preserve">foreign office, 1549 railway exchange bdg. chicago, ill., </t>
  </si>
  <si>
    <t>the cusi mining co.</t>
  </si>
  <si>
    <t>bdg chicago ill</t>
  </si>
  <si>
    <t>mmm307</t>
  </si>
  <si>
    <t xml:space="preserve">local office, baca, chih., </t>
  </si>
  <si>
    <t>the international ore &amp; smelting co.</t>
  </si>
  <si>
    <t>office baca chih</t>
  </si>
  <si>
    <t>mmm308</t>
  </si>
  <si>
    <t xml:space="preserve">main office in mexico, apartado 136 saltillo, coah., </t>
  </si>
  <si>
    <t>apartado saltillo coah</t>
  </si>
  <si>
    <t>mmm325</t>
  </si>
  <si>
    <t>president, alfonso madero, san pedro, coah.</t>
  </si>
  <si>
    <t>compañia exploradora y explotadora de minas, s. a.</t>
  </si>
  <si>
    <t>san pedro coah</t>
  </si>
  <si>
    <t>maczregor</t>
  </si>
  <si>
    <t>alfonso</t>
  </si>
  <si>
    <t>president</t>
  </si>
  <si>
    <t>mmm326</t>
  </si>
  <si>
    <t>secr., emillo madero, san pedro, coah.</t>
  </si>
  <si>
    <t>madden</t>
  </si>
  <si>
    <t>emillo</t>
  </si>
  <si>
    <t>mmm327</t>
  </si>
  <si>
    <t>treas., raul madero, san pedro, coah.</t>
  </si>
  <si>
    <t>raul</t>
  </si>
  <si>
    <t>treas.</t>
  </si>
  <si>
    <t>mmm332</t>
  </si>
  <si>
    <t>mining eng., alberto p gonzalez, bolivar 35, monterrey, n. l.</t>
  </si>
  <si>
    <t>monterrey n l</t>
  </si>
  <si>
    <t>gomez</t>
  </si>
  <si>
    <t>alberto</t>
  </si>
  <si>
    <t>mining eng.</t>
  </si>
  <si>
    <t>mmm335</t>
  </si>
  <si>
    <t xml:space="preserve">mexico city office, ave, madero 2. (apartado 2920.), </t>
  </si>
  <si>
    <t>compañia minera de minerales s. a.</t>
  </si>
  <si>
    <t>ave madero apartado</t>
  </si>
  <si>
    <t>mmm337</t>
  </si>
  <si>
    <t>grl. Mgr., f. e. salas,, saltillo, coah.</t>
  </si>
  <si>
    <t>saltillo coah</t>
  </si>
  <si>
    <t>mmm341</t>
  </si>
  <si>
    <t xml:space="preserve">sierra mojada, coah., c/o a. s. &amp; r. co., see special information (end of mining list.), </t>
  </si>
  <si>
    <t>cia. Metalurgica mexicana</t>
  </si>
  <si>
    <t>of mining list</t>
  </si>
  <si>
    <t>mmm348</t>
  </si>
  <si>
    <t>The company owns the esmeralda, providencia, tercera zona, etc., mines. The cia. Min. de peñoles s. a. owns 50% of the shares of this co. and operates these mines. See the sierra mojada esmeralda units of the cia. Min. de peñoles s. a.</t>
  </si>
  <si>
    <t>cia. Min. la constancia la constancia s. a.</t>
  </si>
  <si>
    <t>coahuila</t>
  </si>
  <si>
    <t>mmm352</t>
  </si>
  <si>
    <t>silver lead zinc.</t>
  </si>
  <si>
    <t>cia. minera favorita y a n.s. a.</t>
  </si>
  <si>
    <t>mmm353</t>
  </si>
  <si>
    <t>president &amp; gr. mgr., luis guimbardo, monterrey., n. l.</t>
  </si>
  <si>
    <t>guiana</t>
  </si>
  <si>
    <t>luis</t>
  </si>
  <si>
    <t>president &amp; gr. mgr.</t>
  </si>
  <si>
    <t>mmm357</t>
  </si>
  <si>
    <t xml:space="preserve">p. o., esmeralda, </t>
  </si>
  <si>
    <t>cia. Minera la parreña</t>
  </si>
  <si>
    <t>p o esmeralda</t>
  </si>
  <si>
    <t>mmm361</t>
  </si>
  <si>
    <t xml:space="preserve">location, bajan, coah., </t>
  </si>
  <si>
    <t>cia. Minera norias de bajan s. a.</t>
  </si>
  <si>
    <t>bajan coah</t>
  </si>
  <si>
    <t>mmm371</t>
  </si>
  <si>
    <t xml:space="preserve">location &amp; p. o., higueras, coah., </t>
  </si>
  <si>
    <t>cia. Min palomas y cabrillas s. a.</t>
  </si>
  <si>
    <t>higueras coah</t>
  </si>
  <si>
    <t>mmm384</t>
  </si>
  <si>
    <t xml:space="preserve">location &amp; p.o., rio escondido, coah., </t>
  </si>
  <si>
    <t>minas carboniferas de rio escondido</t>
  </si>
  <si>
    <t>rio escondido coah</t>
  </si>
  <si>
    <t>mmm398</t>
  </si>
  <si>
    <t>zinc metallurgist, g. ross, saltillo, coah.</t>
  </si>
  <si>
    <t>graham</t>
  </si>
  <si>
    <t>zinc metallurgist</t>
  </si>
  <si>
    <t>mmm402</t>
  </si>
  <si>
    <t>location &amp; p. o., cloete,, coah., coah.</t>
  </si>
  <si>
    <t>the new sabinas co. ltd.</t>
  </si>
  <si>
    <t>cloete coah coah</t>
  </si>
  <si>
    <t>mmm417</t>
  </si>
  <si>
    <t>l. 600,000</t>
  </si>
  <si>
    <t>the mazapil copper co. ltd.</t>
  </si>
  <si>
    <t>mmm422</t>
  </si>
  <si>
    <t>chairman, joseph ramsden, manchester, england</t>
  </si>
  <si>
    <t>manchester england</t>
  </si>
  <si>
    <t>ramirez</t>
  </si>
  <si>
    <t>mmm423</t>
  </si>
  <si>
    <t>grl. mgr., r. h. jeffrey, saltillo, coah.</t>
  </si>
  <si>
    <t>jdowpawtximited</t>
  </si>
  <si>
    <t>grl. mgr.</t>
  </si>
  <si>
    <t>mmm437</t>
  </si>
  <si>
    <t xml:space="preserve">grl. mgr., r. h. jeffrey, saltillo, </t>
  </si>
  <si>
    <t>a vino mines ltd.</t>
  </si>
  <si>
    <t>saltillo</t>
  </si>
  <si>
    <t>je ek</t>
  </si>
  <si>
    <t>mmm442</t>
  </si>
  <si>
    <t xml:space="preserve">organized, on june 7th 1904., </t>
  </si>
  <si>
    <t>bacis gold &amp; silver mining co. ltd.</t>
  </si>
  <si>
    <t>mmm444</t>
  </si>
  <si>
    <t>location, bacis district, santiago papasquiero, durango</t>
  </si>
  <si>
    <t>santiago papasquiero durango</t>
  </si>
  <si>
    <t>mmm470</t>
  </si>
  <si>
    <t xml:space="preserve">mill name, santa ana y anexas., </t>
  </si>
  <si>
    <t>cia. min. san andres de la sierra s. a.</t>
  </si>
  <si>
    <t>ana y anexas</t>
  </si>
  <si>
    <t>mmm472</t>
  </si>
  <si>
    <t xml:space="preserve">mill p. o., canelas, dgo., </t>
  </si>
  <si>
    <t>canelas dgo</t>
  </si>
  <si>
    <t>mmm475</t>
  </si>
  <si>
    <t xml:space="preserve">smelter name, cia. fundidora de la sierra., </t>
  </si>
  <si>
    <t>de la sierra</t>
  </si>
  <si>
    <t>mmm499</t>
  </si>
  <si>
    <t xml:space="preserve">location, san juan de guadalupe, dgo., </t>
  </si>
  <si>
    <t>alberto genty y cia.</t>
  </si>
  <si>
    <t>de guadalupe dgo</t>
  </si>
  <si>
    <t>mmm500</t>
  </si>
  <si>
    <t xml:space="preserve">p. o., estacion rivas, dgo., </t>
  </si>
  <si>
    <t>estacion rivas dgo</t>
  </si>
  <si>
    <t>mmm504</t>
  </si>
  <si>
    <t>anita custom mill</t>
  </si>
  <si>
    <t>mmm513</t>
  </si>
  <si>
    <t>gold, silver, lead</t>
  </si>
  <si>
    <t>inde gold mining co.</t>
  </si>
  <si>
    <t>mmm516</t>
  </si>
  <si>
    <t xml:space="preserve">daily output, 100 metric tons, </t>
  </si>
  <si>
    <t>100 metric tons</t>
  </si>
  <si>
    <t>mmm537</t>
  </si>
  <si>
    <t>san luis mining co.</t>
  </si>
  <si>
    <t>mmm548</t>
  </si>
  <si>
    <t xml:space="preserve">location &amp; p. o., guanacevi, dgo., </t>
  </si>
  <si>
    <t>the soto mines co. s. a.</t>
  </si>
  <si>
    <t>guanacevi dgo</t>
  </si>
  <si>
    <t>mmm552</t>
  </si>
  <si>
    <t xml:space="preserve">table &amp; flotation concentration., </t>
  </si>
  <si>
    <t>table &amp; flotation concentration.</t>
  </si>
  <si>
    <t>mmm559</t>
  </si>
  <si>
    <t>1.000,000 oro nac.</t>
  </si>
  <si>
    <t>cia. minera aurora y anexas s. a.</t>
  </si>
  <si>
    <t>guanajuato</t>
  </si>
  <si>
    <t>mmm567</t>
  </si>
  <si>
    <t xml:space="preserve">organized, in mexico on august 9, 1924, </t>
  </si>
  <si>
    <t>cia. minera cristo rey y anexas s. a.</t>
  </si>
  <si>
    <t>mmm575</t>
  </si>
  <si>
    <t>purch. agt., diego flores chapa, mexico, d. f.</t>
  </si>
  <si>
    <t>mexico df</t>
  </si>
  <si>
    <t>chapa</t>
  </si>
  <si>
    <t>diego</t>
  </si>
  <si>
    <t>flores</t>
  </si>
  <si>
    <t>mmm582</t>
  </si>
  <si>
    <t>This company owns the angustias, dolores and cinco señores mines, all located at pozos, gto.</t>
  </si>
  <si>
    <t>cia. minera de angustias dolores y anexas s. a.</t>
  </si>
  <si>
    <t>mmm591</t>
  </si>
  <si>
    <t>mine spt., j. welsh, pozos, gto.</t>
  </si>
  <si>
    <t>pozos gto</t>
  </si>
  <si>
    <t>welsh</t>
  </si>
  <si>
    <t>mine spt.</t>
  </si>
  <si>
    <t>mmm606</t>
  </si>
  <si>
    <t>president, h. l. hollis, chicago, ill.</t>
  </si>
  <si>
    <t>cia. minera del cubo s. a.</t>
  </si>
  <si>
    <t>chicago ill</t>
  </si>
  <si>
    <t>hollingworth</t>
  </si>
  <si>
    <t>mmm612</t>
  </si>
  <si>
    <t xml:space="preserve">location, la luz, gto., </t>
  </si>
  <si>
    <t>cia. minera explotadora y benificiado ra de guanajuato s. a.</t>
  </si>
  <si>
    <t>la luz gto</t>
  </si>
  <si>
    <t>mmm614</t>
  </si>
  <si>
    <t>mexico city office, calle isabel la católica 40 room l., gto.</t>
  </si>
  <si>
    <t>room l gto</t>
  </si>
  <si>
    <t>mmm625</t>
  </si>
  <si>
    <t>location &amp; p. o., apartado 33, guanajuato, gto.</t>
  </si>
  <si>
    <t>guanajuato consolidated mining &amp; milling co.</t>
  </si>
  <si>
    <t>apartado guanajuato gto</t>
  </si>
  <si>
    <t>mmm629</t>
  </si>
  <si>
    <t xml:space="preserve">table concentration &amp; cyanidation., </t>
  </si>
  <si>
    <t>table concentration &amp; cyanidation.</t>
  </si>
  <si>
    <t>mmm639</t>
  </si>
  <si>
    <t>chief electr., pancho garcía, guanajuato, gto.</t>
  </si>
  <si>
    <t>guanajuato gto</t>
  </si>
  <si>
    <t>garber</t>
  </si>
  <si>
    <t>pancho</t>
  </si>
  <si>
    <t>chief electr.</t>
  </si>
  <si>
    <t>mmm649</t>
  </si>
  <si>
    <t>grl. mgr., henry p. smith, guanajuato, gto.</t>
  </si>
  <si>
    <t>guanajuato reduction &amp; mines co.</t>
  </si>
  <si>
    <t>smith</t>
  </si>
  <si>
    <t>mmm651</t>
  </si>
  <si>
    <t>purch. agt., henry p. smith, guanajuato, gto.</t>
  </si>
  <si>
    <t>mmm652</t>
  </si>
  <si>
    <t>cashier, frank devotie, guanajuato, gto.</t>
  </si>
  <si>
    <t>devinney</t>
  </si>
  <si>
    <t>cashier</t>
  </si>
  <si>
    <t>mmm656</t>
  </si>
  <si>
    <t xml:space="preserve">spt, c. c. aisthrope, </t>
  </si>
  <si>
    <t>aitchison</t>
  </si>
  <si>
    <t>spt</t>
  </si>
  <si>
    <t>maccclloch</t>
  </si>
  <si>
    <t>augustus</t>
  </si>
  <si>
    <t xml:space="preserve"> superintendent</t>
  </si>
  <si>
    <t>mmm673</t>
  </si>
  <si>
    <t xml:space="preserve">mexico city office, avenida isabel la catolica 40, room 1., </t>
  </si>
  <si>
    <t>sociedad franco-mexicana de minas s. a.</t>
  </si>
  <si>
    <t>la catolica room</t>
  </si>
  <si>
    <t>mmm675</t>
  </si>
  <si>
    <t>president, adolfo aymes, mexico, d. f.</t>
  </si>
  <si>
    <t>aypruesvives</t>
  </si>
  <si>
    <t>adolfo</t>
  </si>
  <si>
    <t>mmm680</t>
  </si>
  <si>
    <t>united mines co.</t>
  </si>
  <si>
    <t>mmm686</t>
  </si>
  <si>
    <t>chief eng., albert helpling, guanajuato, gto.</t>
  </si>
  <si>
    <t>hellmann</t>
  </si>
  <si>
    <t>albert</t>
  </si>
  <si>
    <t>chief eng.</t>
  </si>
  <si>
    <t>mmm701</t>
  </si>
  <si>
    <t xml:space="preserve">purch. agt., fernando guinchard, mexico, </t>
  </si>
  <si>
    <t>cia. minera chontalpan y anexas s. a.</t>
  </si>
  <si>
    <t>guibault</t>
  </si>
  <si>
    <t>fernando</t>
  </si>
  <si>
    <t>mmm704</t>
  </si>
  <si>
    <t>mining eng., h. w. fowler, zacualpan, mex.</t>
  </si>
  <si>
    <t>zacualpan mex</t>
  </si>
  <si>
    <t>fowler</t>
  </si>
  <si>
    <t>mmm715</t>
  </si>
  <si>
    <t>main office in mexico, apartado 136, saltillo, coah.</t>
  </si>
  <si>
    <t>mmm716</t>
  </si>
  <si>
    <t xml:space="preserve">mill name, atlixtac, </t>
  </si>
  <si>
    <t>name atlixtac</t>
  </si>
  <si>
    <t>mmm719</t>
  </si>
  <si>
    <t xml:space="preserve">daily output, 100 metric tons., </t>
  </si>
  <si>
    <t>100 metric tons.</t>
  </si>
  <si>
    <t>guerrero</t>
  </si>
  <si>
    <t>mmm732</t>
  </si>
  <si>
    <t>vice-pres., b. j. silbert, taxco, mex.</t>
  </si>
  <si>
    <t>los membrillos s. a.</t>
  </si>
  <si>
    <t>taxco mex</t>
  </si>
  <si>
    <t>siiiister</t>
  </si>
  <si>
    <t>vice-pres.</t>
  </si>
  <si>
    <t>mmm741</t>
  </si>
  <si>
    <t xml:space="preserve">daily output, 150 metric tons., </t>
  </si>
  <si>
    <t>blaisdell coscotitlan syndicate</t>
  </si>
  <si>
    <t>150 metric tons.</t>
  </si>
  <si>
    <t>hidalgo</t>
  </si>
  <si>
    <t>mmm749</t>
  </si>
  <si>
    <t>this co. is the milling co. of cia. de santa gertrudis s. a. and is subsidiary of cia. de santa gertrudis, s. a., pachuca, hgo.</t>
  </si>
  <si>
    <t>cia. beneficiadora de pachoca s. a.</t>
  </si>
  <si>
    <t>mmm753</t>
  </si>
  <si>
    <t>location &amp; p. o., apartado 142, pachuca, hgo. 4</t>
  </si>
  <si>
    <t>cia. de minas "la blanca y an."</t>
  </si>
  <si>
    <t>apartado pachuca hgo</t>
  </si>
  <si>
    <t>mmm754</t>
  </si>
  <si>
    <t>mexico city office, plaza colegio de niños 4. rooms, 3-4-5, aprtado 7201., hgo.</t>
  </si>
  <si>
    <t>rooms aprtado hgo</t>
  </si>
  <si>
    <t>mmm755</t>
  </si>
  <si>
    <t>this company owns several mines in pachuca.</t>
  </si>
  <si>
    <t>mmm757</t>
  </si>
  <si>
    <t xml:space="preserve">daily output, 500 metric tons., </t>
  </si>
  <si>
    <t>500 metric tons.</t>
  </si>
  <si>
    <t>mmm761</t>
  </si>
  <si>
    <t xml:space="preserve">organized, in mexico., </t>
  </si>
  <si>
    <t>cia. de minas rosario viejo y an. s. a</t>
  </si>
  <si>
    <t>mmm774</t>
  </si>
  <si>
    <t>cyanidation., hgo</t>
  </si>
  <si>
    <t>cia. de real del monte y pachuca</t>
  </si>
  <si>
    <t>mmm777</t>
  </si>
  <si>
    <t>director, m. h. kuryla, pachuca, hgo.</t>
  </si>
  <si>
    <t>pachuca hgo</t>
  </si>
  <si>
    <t>kunze</t>
  </si>
  <si>
    <t>at</t>
  </si>
  <si>
    <t>director</t>
  </si>
  <si>
    <t>mmm781</t>
  </si>
  <si>
    <t>grl. spt. of mines, t. e. phillips, pachuca, hgo.</t>
  </si>
  <si>
    <t>grl. spt. of mines</t>
  </si>
  <si>
    <t>mmm783</t>
  </si>
  <si>
    <t>mill spt., g. s. embury, pachuca, hgo.</t>
  </si>
  <si>
    <t>elze</t>
  </si>
  <si>
    <t>mill spt.</t>
  </si>
  <si>
    <t>mmm787</t>
  </si>
  <si>
    <t>electr. eng., m. w. russey, pachuca, hgo.</t>
  </si>
  <si>
    <t>russell</t>
  </si>
  <si>
    <t>mines</t>
  </si>
  <si>
    <t>electr. eng.</t>
  </si>
  <si>
    <t>mmm792</t>
  </si>
  <si>
    <t>location &amp; p. o., apartado 142, pachuca, hgo.</t>
  </si>
  <si>
    <t>cia. min. de guadalupe hidalgo y an. s. a.</t>
  </si>
  <si>
    <t>mmm794</t>
  </si>
  <si>
    <t>president, thomas p. honey, capuchinas 38, d. f.</t>
  </si>
  <si>
    <t>capuchinas df</t>
  </si>
  <si>
    <t>hone</t>
  </si>
  <si>
    <t>mmm800</t>
  </si>
  <si>
    <t>this company is leased to the cía. Explorado de hidalgo, s. a.</t>
  </si>
  <si>
    <t>cia. min. de san cayetana s. a.</t>
  </si>
  <si>
    <t>mmm805</t>
  </si>
  <si>
    <t>l. 1. 500,000</t>
  </si>
  <si>
    <t>cia. de santa gertrudis s. a.</t>
  </si>
  <si>
    <t>mmm808</t>
  </si>
  <si>
    <t>this company is subsidiary of the santa gertrudis co. ltd. London, e. c.</t>
  </si>
  <si>
    <t>mmm811</t>
  </si>
  <si>
    <t>grl. mgr., c. a. lantz, pachuca, hgo.</t>
  </si>
  <si>
    <t>langworthy</t>
  </si>
  <si>
    <t>mmm813</t>
  </si>
  <si>
    <t>purch. agt., w. j. a. palmer, pachuca, hgo.</t>
  </si>
  <si>
    <t>palmer</t>
  </si>
  <si>
    <t>mmm815</t>
  </si>
  <si>
    <t>mill spt, w. c. crawford, pachuca, hgo.</t>
  </si>
  <si>
    <t>crawford</t>
  </si>
  <si>
    <t>mill spt</t>
  </si>
  <si>
    <t>mmm817</t>
  </si>
  <si>
    <t>mech. Eng., f. h. walsh, pachuca, hgo.</t>
  </si>
  <si>
    <t>walsh</t>
  </si>
  <si>
    <t>mech. Eng.</t>
  </si>
  <si>
    <t>mmm822</t>
  </si>
  <si>
    <t xml:space="preserve">location and p. o., apartado 1, pachuca, hgo., </t>
  </si>
  <si>
    <t>cia. Dos carlos s. a.</t>
  </si>
  <si>
    <t>mmm825</t>
  </si>
  <si>
    <t>this company is a subsidiary of cia. De real del monte y pachuca, hgo.</t>
  </si>
  <si>
    <t>cia. Exploradora de hildalgo s. a.</t>
  </si>
  <si>
    <t>mmm835</t>
  </si>
  <si>
    <t>$860,000 oro nac.</t>
  </si>
  <si>
    <t>cia. minera y fundidora de zimapan s. a</t>
  </si>
  <si>
    <t>mmm837</t>
  </si>
  <si>
    <t xml:space="preserve">mexico city office, capuchinas 93, room 15, </t>
  </si>
  <si>
    <t>office capuchinas room</t>
  </si>
  <si>
    <t>mmm850</t>
  </si>
  <si>
    <t>secretary, eduardo lopez portillo, mexico, d. f.</t>
  </si>
  <si>
    <t>el chico gold-silver mining co. s. a.</t>
  </si>
  <si>
    <t>porter</t>
  </si>
  <si>
    <t>eduardo</t>
  </si>
  <si>
    <t>lopez</t>
  </si>
  <si>
    <t>mmm853</t>
  </si>
  <si>
    <t xml:space="preserve">organized, in mexico in 187 4 ., </t>
  </si>
  <si>
    <t>negociacion minera de san rafael y anexas s. a.</t>
  </si>
  <si>
    <t>mmm855</t>
  </si>
  <si>
    <t>location &amp; p. o., apartado 79, pachuca, hgo.</t>
  </si>
  <si>
    <t>mmm860</t>
  </si>
  <si>
    <t xml:space="preserve">daily output, 600 metric tons, </t>
  </si>
  <si>
    <t>600 metric tons</t>
  </si>
  <si>
    <t>mmm865</t>
  </si>
  <si>
    <t xml:space="preserve">purch. agt., h. s. g. mackie, woolworth bdg., new york, </t>
  </si>
  <si>
    <t>mmm867</t>
  </si>
  <si>
    <t>mine spt., c. r. riley, pachuca, hgo., unit.</t>
  </si>
  <si>
    <t>pachuca hgo unit</t>
  </si>
  <si>
    <t>riggs</t>
  </si>
  <si>
    <t>mmm869</t>
  </si>
  <si>
    <t>chief eng., blair burwell, mexico, d. f.</t>
  </si>
  <si>
    <t>bury</t>
  </si>
  <si>
    <t>blair</t>
  </si>
  <si>
    <t>mmm877</t>
  </si>
  <si>
    <t>negociacion minera hacienda purisma grande y minas guadalupe y anexas</t>
  </si>
  <si>
    <t>mmm880</t>
  </si>
  <si>
    <t xml:space="preserve">daily output, 150 metric tons, </t>
  </si>
  <si>
    <t>150 metric tons</t>
  </si>
  <si>
    <t>mmm882</t>
  </si>
  <si>
    <t>secr., m. serralde, mexico, d. f.</t>
  </si>
  <si>
    <t>serjeant</t>
  </si>
  <si>
    <t>mmm893</t>
  </si>
  <si>
    <t>gold silver . mill location</t>
  </si>
  <si>
    <t>amparo mining co.</t>
  </si>
  <si>
    <t>jalisco</t>
  </si>
  <si>
    <t>mmm903</t>
  </si>
  <si>
    <t>mine spt., c. f. joyce, etzatlan, jal.</t>
  </si>
  <si>
    <t>etzatlan jal</t>
  </si>
  <si>
    <t>joues</t>
  </si>
  <si>
    <t>mmm929</t>
  </si>
  <si>
    <t>mining eng, w. a. gardiner, ameca, jal.</t>
  </si>
  <si>
    <t>cia. de cobre magistral ameca s. a.</t>
  </si>
  <si>
    <t>ameca jal</t>
  </si>
  <si>
    <t>gardiner</t>
  </si>
  <si>
    <t>mining eng</t>
  </si>
  <si>
    <t>mmm941</t>
  </si>
  <si>
    <t>asst. grl. Mgr., wm. howard, etzatlan, jal.</t>
  </si>
  <si>
    <t>cia. Minera de jalisco s. a.</t>
  </si>
  <si>
    <t>wm</t>
  </si>
  <si>
    <t>asst. grl. Mgr.</t>
  </si>
  <si>
    <t>mmm946</t>
  </si>
  <si>
    <t>zinc.</t>
  </si>
  <si>
    <t>cia. minera de plomozinc s. a.</t>
  </si>
  <si>
    <t>mmm947</t>
  </si>
  <si>
    <t>president, r. h. ludlow, mexico, d. f.</t>
  </si>
  <si>
    <t>lucme</t>
  </si>
  <si>
    <t>mmm950</t>
  </si>
  <si>
    <t>superint., e. r. edwards, higuero, jal.</t>
  </si>
  <si>
    <t>higuero jal</t>
  </si>
  <si>
    <t>edwarde</t>
  </si>
  <si>
    <t>superint.</t>
  </si>
  <si>
    <t>mmm952</t>
  </si>
  <si>
    <t xml:space="preserve">location, zacatongo, jal., </t>
  </si>
  <si>
    <t>cia. minera de zacatongo s. a.</t>
  </si>
  <si>
    <t>zacatongo jal</t>
  </si>
  <si>
    <t>mmm965</t>
  </si>
  <si>
    <t>secr. &amp; treas, ernest w. king, magdalena, jal.</t>
  </si>
  <si>
    <t>cia. minera del aguila s. a.</t>
  </si>
  <si>
    <t>magdalena jal</t>
  </si>
  <si>
    <t>king</t>
  </si>
  <si>
    <t>secr. &amp; treas</t>
  </si>
  <si>
    <t>mmm995</t>
  </si>
  <si>
    <t xml:space="preserve">p. o., la quemada, jal., </t>
  </si>
  <si>
    <t>espada mines co.</t>
  </si>
  <si>
    <t>la quemada jal</t>
  </si>
  <si>
    <t>mmm999</t>
  </si>
  <si>
    <t>president, e. poarch, san antonio, texas</t>
  </si>
  <si>
    <t>san antonio texas</t>
  </si>
  <si>
    <t>plunkett</t>
  </si>
  <si>
    <t>mmm1019</t>
  </si>
  <si>
    <t>master mech., f. clark, magdalena, jal.</t>
  </si>
  <si>
    <t>clark</t>
  </si>
  <si>
    <t>master mech.</t>
  </si>
  <si>
    <t>mmm1023</t>
  </si>
  <si>
    <t xml:space="preserve">mill location, etzatlan, jal., </t>
  </si>
  <si>
    <t>nueva cia. mjn. la mazata y an. s. a.</t>
  </si>
  <si>
    <t>mmm1024</t>
  </si>
  <si>
    <t xml:space="preserve">officers personnel, same as amparo mining co. etzatlan, </t>
  </si>
  <si>
    <t>mining co etzatlan</t>
  </si>
  <si>
    <t>mmm1026</t>
  </si>
  <si>
    <t>mill spt, jas. m. brown, etzatlan, jal.</t>
  </si>
  <si>
    <t>jas</t>
  </si>
  <si>
    <t>mmm1027</t>
  </si>
  <si>
    <t>asst. mine spt, f. g. willson, etzatlan, jal.</t>
  </si>
  <si>
    <t>willson</t>
  </si>
  <si>
    <t>asst. mine spt</t>
  </si>
  <si>
    <t>mmm1030</t>
  </si>
  <si>
    <t>$1.000,000 oro nac</t>
  </si>
  <si>
    <t>compañia esperanza s. a.</t>
  </si>
  <si>
    <t>mmm1034</t>
  </si>
  <si>
    <t xml:space="preserve">mill location, el oro, mex., </t>
  </si>
  <si>
    <t>el oro mex</t>
  </si>
  <si>
    <t>mmm1036</t>
  </si>
  <si>
    <t>mmm1042</t>
  </si>
  <si>
    <t>director, h. constante, el oro, mex.</t>
  </si>
  <si>
    <t>constable</t>
  </si>
  <si>
    <t>mmm1046</t>
  </si>
  <si>
    <t>mill spt, i. crosby, el oro, mex.</t>
  </si>
  <si>
    <t>crosby</t>
  </si>
  <si>
    <t>it</t>
  </si>
  <si>
    <t>mmm1050</t>
  </si>
  <si>
    <t xml:space="preserve">organized, in sultepec,, state of mexico, </t>
  </si>
  <si>
    <t>cia. minera la quimica y anexas s. a.</t>
  </si>
  <si>
    <t>mmm1054</t>
  </si>
  <si>
    <t>gold silver copper lead.</t>
  </si>
  <si>
    <t>this co. owns the la quimica y anexas, malacate, carbajal, beatriz (bronze) amparo, presentacion, san cayetano (lead), san antonio, tres marias, &amp; canchal mines, all located in sultepec.</t>
  </si>
  <si>
    <t>mmm1057</t>
  </si>
  <si>
    <t xml:space="preserve">table flotation concentration., </t>
  </si>
  <si>
    <t>table flotation concentration.</t>
  </si>
  <si>
    <t>mmm1060</t>
  </si>
  <si>
    <t>secr. &amp; treas, epifanio talavera, mexico, d. f.</t>
  </si>
  <si>
    <t>take</t>
  </si>
  <si>
    <t>epifanio</t>
  </si>
  <si>
    <t>mmm1067</t>
  </si>
  <si>
    <t xml:space="preserve">superintendent, j. c. l. lopez, el oro, mex, </t>
  </si>
  <si>
    <t>cia. min. los tres dulces nombres y anexas</t>
  </si>
  <si>
    <t>mex</t>
  </si>
  <si>
    <t>mmm1069</t>
  </si>
  <si>
    <t xml:space="preserve">organized, in mexico in 1918., </t>
  </si>
  <si>
    <t>cia. min. san miguel y an. s. a.</t>
  </si>
  <si>
    <t>mmm1072</t>
  </si>
  <si>
    <t xml:space="preserve">mexico city office, capuchinas 40 room 9., </t>
  </si>
  <si>
    <t>mmm1084</t>
  </si>
  <si>
    <t>el oro mining railway co. ltd.</t>
  </si>
  <si>
    <t>mmm1107</t>
  </si>
  <si>
    <t>silver gold.</t>
  </si>
  <si>
    <t>negociacion minera el alacran y anexas s. a.</t>
  </si>
  <si>
    <t>mmm1111</t>
  </si>
  <si>
    <t>cons. eng., luis c. espinosa, mexico, d. f.</t>
  </si>
  <si>
    <t>escobar</t>
  </si>
  <si>
    <t>cons. eng.</t>
  </si>
  <si>
    <t>mmm1114</t>
  </si>
  <si>
    <t xml:space="preserve">location, sultepec, mexico, </t>
  </si>
  <si>
    <t>negociacion minera san juan bautista y anexas</t>
  </si>
  <si>
    <t>sultepec mexico</t>
  </si>
  <si>
    <t>mmm1125</t>
  </si>
  <si>
    <t>l. 210,000</t>
  </si>
  <si>
    <t>the mexican mines of el oro, ltd.</t>
  </si>
  <si>
    <t>mmm1126</t>
  </si>
  <si>
    <t xml:space="preserve">location &amp; p. o., apartado 10. el oro, mex., </t>
  </si>
  <si>
    <t>mmm1130</t>
  </si>
  <si>
    <t>mmm1134</t>
  </si>
  <si>
    <t>secretary, edmund heisch, 18 rue chauveau-legarde paris, france</t>
  </si>
  <si>
    <t>legarde paris france</t>
  </si>
  <si>
    <t>heinle</t>
  </si>
  <si>
    <t>edmund</t>
  </si>
  <si>
    <t>mmm1137</t>
  </si>
  <si>
    <t>purch. agt., m. d. steta, el oro, mex.</t>
  </si>
  <si>
    <t>sterne</t>
  </si>
  <si>
    <t>mmm1152</t>
  </si>
  <si>
    <t>this co. owns the borda antigua, refugio, josefina, sta. rosa, tesoro, de borda, maravillas, azteca, sta. rita, coloradillas, la luz de la sirena, s. antonio comargo. Requeña, st. luis, carmen de los virgenes mines of which the borda antigua is the best producing property.</t>
  </si>
  <si>
    <t>cia. minera borda antigua y anexas s. a.</t>
  </si>
  <si>
    <t>michoacan</t>
  </si>
  <si>
    <t>mmm1162</t>
  </si>
  <si>
    <t xml:space="preserve">organized, on september 19, 1898., </t>
  </si>
  <si>
    <t>cia. minera de lais dos estrellas s. a.</t>
  </si>
  <si>
    <t>mmm1168</t>
  </si>
  <si>
    <t xml:space="preserve">mill name, el cedro., </t>
  </si>
  <si>
    <t>name el cedro</t>
  </si>
  <si>
    <t>mmm1171</t>
  </si>
  <si>
    <t>president, jose a. signoret, mexico, d. f.</t>
  </si>
  <si>
    <t>sievwright</t>
  </si>
  <si>
    <t>mmm1180</t>
  </si>
  <si>
    <t>consult. eng, h. jouanen, mexico, d. f.</t>
  </si>
  <si>
    <t>josephl</t>
  </si>
  <si>
    <t>consult. eng</t>
  </si>
  <si>
    <t>mmm1195</t>
  </si>
  <si>
    <t>grl. mgr., g p. garcÍa, pachuca, hgo.</t>
  </si>
  <si>
    <t>cia. exploradora de hidalgo s. a.</t>
  </si>
  <si>
    <t>ganser</t>
  </si>
  <si>
    <t>mmm1196</t>
  </si>
  <si>
    <t>local spt, maurice breen, tepic, nay.</t>
  </si>
  <si>
    <t>tepic nay</t>
  </si>
  <si>
    <t>breen</t>
  </si>
  <si>
    <t>maurice</t>
  </si>
  <si>
    <t>local spt</t>
  </si>
  <si>
    <t>mmm1219</t>
  </si>
  <si>
    <t>location p. o., apartado 22, tepic, nay., mines are in development stage.</t>
  </si>
  <si>
    <t>negociacion minera de huicicila</t>
  </si>
  <si>
    <t>in development stage</t>
  </si>
  <si>
    <t>mmm1224</t>
  </si>
  <si>
    <t xml:space="preserve">p. o., hostotipaquillo, jal., </t>
  </si>
  <si>
    <t>san miguel mining co.</t>
  </si>
  <si>
    <t>o hostotipaquillo jal</t>
  </si>
  <si>
    <t>mmm1229</t>
  </si>
  <si>
    <t>zapopan gold mining co.</t>
  </si>
  <si>
    <t>mmm1230</t>
  </si>
  <si>
    <t>president manager, geo. w. ray, hostotipaquillo, jal.</t>
  </si>
  <si>
    <t>hostotipaquillo jal</t>
  </si>
  <si>
    <t>mmm1231</t>
  </si>
  <si>
    <t>purch. agt., w. l. smart, calle madero 218,, guadalajara</t>
  </si>
  <si>
    <t>calle madero guadalajara</t>
  </si>
  <si>
    <t>smart</t>
  </si>
  <si>
    <t>willi</t>
  </si>
  <si>
    <t>am</t>
  </si>
  <si>
    <t>mmm1236</t>
  </si>
  <si>
    <t xml:space="preserve">p. o., villaldama, n. l., </t>
  </si>
  <si>
    <t>cia. exploradora de minas viejas s. a.</t>
  </si>
  <si>
    <t>villaldama n l</t>
  </si>
  <si>
    <t>mmm1242</t>
  </si>
  <si>
    <t>location, monterrey, nueva leon, (apartado 1336)</t>
  </si>
  <si>
    <t>cia. fundidora de fierro y acero de monterrey.</t>
  </si>
  <si>
    <t>nueva leon apartado</t>
  </si>
  <si>
    <t>mmm1244</t>
  </si>
  <si>
    <t>this company has its foundry at monterrey, n. l.</t>
  </si>
  <si>
    <t>nuevo leon</t>
  </si>
  <si>
    <t>mmm1257</t>
  </si>
  <si>
    <t>chemical eng., manuel martinez, monterrey, n. l.</t>
  </si>
  <si>
    <t>manuel</t>
  </si>
  <si>
    <t>chemical eng.</t>
  </si>
  <si>
    <t>mmm1264</t>
  </si>
  <si>
    <t>lead zinc.</t>
  </si>
  <si>
    <t>cia. minera la soledad s. a.</t>
  </si>
  <si>
    <t>mmm1265</t>
  </si>
  <si>
    <t>president, manuel garza guerra, mexico, d. f.</t>
  </si>
  <si>
    <t>guedalla</t>
  </si>
  <si>
    <t>garza</t>
  </si>
  <si>
    <t>mmm1266</t>
  </si>
  <si>
    <t>grl. mgr, jose l. garza, monterrey, n. l.</t>
  </si>
  <si>
    <t>gartner</t>
  </si>
  <si>
    <t>grl. mgr</t>
  </si>
  <si>
    <t>mmm1267</t>
  </si>
  <si>
    <t>ming. eng., juan p. mason, 144 bolivar st. Monterrey, n. l.</t>
  </si>
  <si>
    <t>Monterrey n l</t>
  </si>
  <si>
    <t>masjoan</t>
  </si>
  <si>
    <t>juan</t>
  </si>
  <si>
    <t>ming. eng.</t>
  </si>
  <si>
    <t>mmm1270</t>
  </si>
  <si>
    <t xml:space="preserve">location, monterrey, n. l., </t>
  </si>
  <si>
    <t>cia. min. santa eugenia de monterrey y anexas</t>
  </si>
  <si>
    <t>mmm1274</t>
  </si>
  <si>
    <t xml:space="preserve">location, sierra de la mitra, n. l., </t>
  </si>
  <si>
    <t>hijos de a. carnavali</t>
  </si>
  <si>
    <t>mitra n l</t>
  </si>
  <si>
    <t>mmm1290</t>
  </si>
  <si>
    <t>president, ricardo maiz, bilbao, spain</t>
  </si>
  <si>
    <t>sindicato minero fundidor cerralvo bustamante s. a.</t>
  </si>
  <si>
    <t>bilbao spain</t>
  </si>
  <si>
    <t>main</t>
  </si>
  <si>
    <t>ricardo</t>
  </si>
  <si>
    <t>mmm1291</t>
  </si>
  <si>
    <t>grl. Mgr, jose maiz, monterrey, n. l.</t>
  </si>
  <si>
    <t>grl. Mgr</t>
  </si>
  <si>
    <t>mmm1299</t>
  </si>
  <si>
    <t>this co. is a subsidiary of cia. Min. de peñoles, s. a. see natividad unit of the cia min. de peñoles, s. a.</t>
  </si>
  <si>
    <t>cia. min. natividad y an. s. a.</t>
  </si>
  <si>
    <t>mmm1302</t>
  </si>
  <si>
    <t>$1. 000,000 u. s. c.</t>
  </si>
  <si>
    <t>indiana-oaxaca mining co.</t>
  </si>
  <si>
    <t>mmm1308</t>
  </si>
  <si>
    <t>president, albert e. sterne, indianapolis, ind.</t>
  </si>
  <si>
    <t>indianapolis ind</t>
  </si>
  <si>
    <t>sternberg</t>
  </si>
  <si>
    <t>mmm1311</t>
  </si>
  <si>
    <t>treasurer, edgar o. hunter, indianapolis, ind.</t>
  </si>
  <si>
    <t>hunt</t>
  </si>
  <si>
    <t>edgar</t>
  </si>
  <si>
    <t>treasurer</t>
  </si>
  <si>
    <t>mmm1315</t>
  </si>
  <si>
    <t xml:space="preserve">p. o., oaxaca, oax., </t>
  </si>
  <si>
    <t>minas la leona y jucamaya</t>
  </si>
  <si>
    <t>o oaxaca oax</t>
  </si>
  <si>
    <t>mmm1322</t>
  </si>
  <si>
    <t>purch. agt., b. j. silbert, mexico, d. f.</t>
  </si>
  <si>
    <t>siiiveh</t>
  </si>
  <si>
    <t>mmm1331</t>
  </si>
  <si>
    <t xml:space="preserve">mill location, tequisquiapan, qro., </t>
  </si>
  <si>
    <t>cia. Minera ajuchitlan s. a.</t>
  </si>
  <si>
    <t>tequisquiapan qro</t>
  </si>
  <si>
    <t>mmm1344</t>
  </si>
  <si>
    <t xml:space="preserve">location, san pedro, s. l. p., </t>
  </si>
  <si>
    <t>cia. metalurgica mexicana san pedro mines</t>
  </si>
  <si>
    <t>s l p</t>
  </si>
  <si>
    <t>mmm1353</t>
  </si>
  <si>
    <t>cia. minera el barreno y anexas s. a.</t>
  </si>
  <si>
    <t>san luis potosi</t>
  </si>
  <si>
    <t>mmm1354</t>
  </si>
  <si>
    <t xml:space="preserve">daily output, 50 metric tons, </t>
  </si>
  <si>
    <t>50 metric tons</t>
  </si>
  <si>
    <t>mmm1356</t>
  </si>
  <si>
    <t>superint., d. b. mcalister, apartado 64, san lucia potosi, s. l. p.</t>
  </si>
  <si>
    <t>apel</t>
  </si>
  <si>
    <t>mmm1361</t>
  </si>
  <si>
    <t xml:space="preserve">location, la paz, s. l. p., </t>
  </si>
  <si>
    <t>cia. minera sucesora nueva paz y anexas s. a.</t>
  </si>
  <si>
    <t>mmm1363</t>
  </si>
  <si>
    <t xml:space="preserve">mexico city office, avenida uruguay 70., </t>
  </si>
  <si>
    <t>office avenida uruguay</t>
  </si>
  <si>
    <t>mmm1372</t>
  </si>
  <si>
    <t>c/o a. s. &amp; r. co. see special information (end of mining list.)</t>
  </si>
  <si>
    <t>potosi rio verde railway co.</t>
  </si>
  <si>
    <t>mmm1391</t>
  </si>
  <si>
    <t xml:space="preserve">organized, in 1877 ., </t>
  </si>
  <si>
    <t>cia. minera de panuco</t>
  </si>
  <si>
    <t>sinaloa</t>
  </si>
  <si>
    <t>mmm1401</t>
  </si>
  <si>
    <t>silver</t>
  </si>
  <si>
    <t>cia. minera la soledad y an. s. a.</t>
  </si>
  <si>
    <t>mmm1408</t>
  </si>
  <si>
    <t xml:space="preserve">foreign office, 1207 first ntl bk bdg. san francisco, calif., </t>
  </si>
  <si>
    <t>mexican candelaria co. s. a.</t>
  </si>
  <si>
    <t>san francisco calif</t>
  </si>
  <si>
    <t>mmm1411</t>
  </si>
  <si>
    <t>vice pres, r. j. dunphy, estacion dimas, sin.</t>
  </si>
  <si>
    <t>estacion dimas sin</t>
  </si>
  <si>
    <t>dunning</t>
  </si>
  <si>
    <t>vice pres</t>
  </si>
  <si>
    <t>mmm1418</t>
  </si>
  <si>
    <t xml:space="preserve">contra estaca mill, e. a. knapp, superintendent, </t>
  </si>
  <si>
    <t>a knapp superintendent</t>
  </si>
  <si>
    <t>mmm1428</t>
  </si>
  <si>
    <t>minas el tajo s. a.</t>
  </si>
  <si>
    <t>mmm1440</t>
  </si>
  <si>
    <t xml:space="preserve">mill location, guadalupe de los reyes, sin., </t>
  </si>
  <si>
    <t>negociacion minera de guadalupe de los reyes s. a.</t>
  </si>
  <si>
    <t>los reyes sin</t>
  </si>
  <si>
    <t>mmm1449</t>
  </si>
  <si>
    <t xml:space="preserve">location, san vicente, sin., </t>
  </si>
  <si>
    <t>nueva compañia de san vicente</t>
  </si>
  <si>
    <t>san vicente sin</t>
  </si>
  <si>
    <t>mmm1452</t>
  </si>
  <si>
    <t>mmm1454</t>
  </si>
  <si>
    <t>gr. mgr, gordon wilson, san vicente, sin.</t>
  </si>
  <si>
    <t>wilson</t>
  </si>
  <si>
    <t>gordon</t>
  </si>
  <si>
    <t>gr. mgr</t>
  </si>
  <si>
    <t>mmm1460</t>
  </si>
  <si>
    <t xml:space="preserve">post office, mocorito, sin., </t>
  </si>
  <si>
    <t>the potrero co.</t>
  </si>
  <si>
    <t>office mocorito sin</t>
  </si>
  <si>
    <t>mmm1463</t>
  </si>
  <si>
    <t xml:space="preserve">mill location, magistral, sin., </t>
  </si>
  <si>
    <t>magistral sin</t>
  </si>
  <si>
    <t>mmm1474</t>
  </si>
  <si>
    <t xml:space="preserve">foreign office, 702 oliver bdg. pittsburgh, </t>
  </si>
  <si>
    <t>calumet sonora co. s. a.</t>
  </si>
  <si>
    <t>oliver bdg pittsburgh</t>
  </si>
  <si>
    <t>mmm1475</t>
  </si>
  <si>
    <t>this co. owns the buenavista, chivera, san juan, san antonio &amp; catalina mines</t>
  </si>
  <si>
    <t>sonora</t>
  </si>
  <si>
    <t>silver lead zinc</t>
  </si>
  <si>
    <t>mmm1476</t>
  </si>
  <si>
    <t xml:space="preserve">mill location, cananea, son., </t>
  </si>
  <si>
    <t>cananea son</t>
  </si>
  <si>
    <t>mmm1480</t>
  </si>
  <si>
    <t>vice pres, henry wyman, zacatecas, zac.</t>
  </si>
  <si>
    <t>zacatecas zac</t>
  </si>
  <si>
    <t>wyman</t>
  </si>
  <si>
    <t>mmm1481</t>
  </si>
  <si>
    <t xml:space="preserve">ser. treas., r. e. lund., </t>
  </si>
  <si>
    <t>mmm1486</t>
  </si>
  <si>
    <t xml:space="preserve">main office, la dura, son., </t>
  </si>
  <si>
    <t>creston colorada co.</t>
  </si>
  <si>
    <t>mmm1488</t>
  </si>
  <si>
    <t xml:space="preserve">organized, in 1919, </t>
  </si>
  <si>
    <t>dolores esperanza corp.</t>
  </si>
  <si>
    <t>mmm1494</t>
  </si>
  <si>
    <t>gr. mgr, f.m. estes, la dura, son.</t>
  </si>
  <si>
    <t>mmm1498</t>
  </si>
  <si>
    <t>copper.</t>
  </si>
  <si>
    <t>el canario consolidated copper co. s. a.</t>
  </si>
  <si>
    <t>mmm1502</t>
  </si>
  <si>
    <t>grl. spt., frank r. wilson, nacozari, son.</t>
  </si>
  <si>
    <t>nacozari son</t>
  </si>
  <si>
    <t>mmm1506</t>
  </si>
  <si>
    <t xml:space="preserve">foreign address, 111 broadway, new york, </t>
  </si>
  <si>
    <t>la dura mill &amp; mining co.</t>
  </si>
  <si>
    <t>broadway new york</t>
  </si>
  <si>
    <t>mmm1509</t>
  </si>
  <si>
    <t xml:space="preserve">mill location, la dura, son., </t>
  </si>
  <si>
    <t>mmm1513</t>
  </si>
  <si>
    <t xml:space="preserve">vice pres, a. t. black, new york, </t>
  </si>
  <si>
    <t>blaakk</t>
  </si>
  <si>
    <t>mmm1515</t>
  </si>
  <si>
    <t>manager, j. h. oates, la dura, son.</t>
  </si>
  <si>
    <t>oakes</t>
  </si>
  <si>
    <t>mmm1517</t>
  </si>
  <si>
    <t>mine spt., h. b. martin, la dura, son.</t>
  </si>
  <si>
    <t>stuart</t>
  </si>
  <si>
    <t>mmm1520</t>
  </si>
  <si>
    <t>pedrazzini gold silver mining co.</t>
  </si>
  <si>
    <t>mmm1526</t>
  </si>
  <si>
    <t xml:space="preserve">flotation concentration, </t>
  </si>
  <si>
    <t>flotation concentration</t>
  </si>
  <si>
    <t>mmm1536</t>
  </si>
  <si>
    <t>$10.000,000 u. s. c.</t>
  </si>
  <si>
    <t>the cananea consolidated copper co. s. a.</t>
  </si>
  <si>
    <t>mmm1537</t>
  </si>
  <si>
    <t xml:space="preserve">location &amp; p. o., cananea, son., </t>
  </si>
  <si>
    <t>mmm1550</t>
  </si>
  <si>
    <t>smelter spt., a. w. wilkinson, cananea, son.</t>
  </si>
  <si>
    <t>wilkinson</t>
  </si>
  <si>
    <t>smelter spt.</t>
  </si>
  <si>
    <t>mmm1556</t>
  </si>
  <si>
    <t>the moctezuma co.</t>
  </si>
  <si>
    <t>mmm1566</t>
  </si>
  <si>
    <t>ming. eng., l. d. macrea, nacozari, son.</t>
  </si>
  <si>
    <t>macpherson</t>
  </si>
  <si>
    <t>lillian</t>
  </si>
  <si>
    <t>mmm1567</t>
  </si>
  <si>
    <t>mech. eng., a. j. houle, nacozari, son.</t>
  </si>
  <si>
    <t>houghton</t>
  </si>
  <si>
    <t>mmm1573</t>
  </si>
  <si>
    <t xml:space="preserve">location p. o., el tigre, son., </t>
  </si>
  <si>
    <t>the tigre mining co. s. a.</t>
  </si>
  <si>
    <t>el tigre son</t>
  </si>
  <si>
    <t>mmm1589</t>
  </si>
  <si>
    <t xml:space="preserve">organized, in 1921., </t>
  </si>
  <si>
    <t>amatlan mining company of zacatecas s. a.</t>
  </si>
  <si>
    <t>mmm1593</t>
  </si>
  <si>
    <t>this company owns the la colorado mine</t>
  </si>
  <si>
    <t>mmm1595</t>
  </si>
  <si>
    <t xml:space="preserve">vice pres, m. h. willis., </t>
  </si>
  <si>
    <t>mmm1596</t>
  </si>
  <si>
    <t>ser., treas. &amp; attorney, john d. mackay, tampico, tamps.</t>
  </si>
  <si>
    <t>tampico tamps</t>
  </si>
  <si>
    <t>macizregor</t>
  </si>
  <si>
    <t>ser., treas. &amp; attorney</t>
  </si>
  <si>
    <t>mmm1598</t>
  </si>
  <si>
    <t>asst mgr., john w. lawson, chalchihuites, zac.</t>
  </si>
  <si>
    <t>chalchihuites zac</t>
  </si>
  <si>
    <t>lawson</t>
  </si>
  <si>
    <t>asst mgr.</t>
  </si>
  <si>
    <t>mmm1602</t>
  </si>
  <si>
    <t xml:space="preserve">organized, in june 1925., </t>
  </si>
  <si>
    <t>carnegie metals co.</t>
  </si>
  <si>
    <t>mmm1608</t>
  </si>
  <si>
    <t>secretary, caroline peterson, pittsburgh, pa.</t>
  </si>
  <si>
    <t>pittsburgh pa</t>
  </si>
  <si>
    <t>peters</t>
  </si>
  <si>
    <t>caroline</t>
  </si>
  <si>
    <t>mmm1618</t>
  </si>
  <si>
    <t>purch. agt., e. r. atchison, mexico, d. f.</t>
  </si>
  <si>
    <t>cia. de inversiones del oro s. a.</t>
  </si>
  <si>
    <t>ated</t>
  </si>
  <si>
    <t>mmm1624</t>
  </si>
  <si>
    <t>cia. international minera s. a.</t>
  </si>
  <si>
    <t>mmm1625</t>
  </si>
  <si>
    <t xml:space="preserve">mill location, zacatecas mining district, zac., </t>
  </si>
  <si>
    <t>mining district zac</t>
  </si>
  <si>
    <t>mmm1626</t>
  </si>
  <si>
    <t xml:space="preserve">table concentration., </t>
  </si>
  <si>
    <t>table concentration.</t>
  </si>
  <si>
    <t>mmm1627</t>
  </si>
  <si>
    <t>grl. mgr., w. o. north, guadalupe, zac.</t>
  </si>
  <si>
    <t>guadalupe zac</t>
  </si>
  <si>
    <t>north</t>
  </si>
  <si>
    <t>mmm1629</t>
  </si>
  <si>
    <t>mine spt., a. syveron, guadalupe, zac.</t>
  </si>
  <si>
    <t>synodinos</t>
  </si>
  <si>
    <t>mmm1631</t>
  </si>
  <si>
    <t>mech. eng., w. e. mashburn, guadalupe, zac.</t>
  </si>
  <si>
    <t>marx</t>
  </si>
  <si>
    <t>mmm1640</t>
  </si>
  <si>
    <t>cia. Mnera la parroquia y an</t>
  </si>
  <si>
    <t>mmm1641</t>
  </si>
  <si>
    <t xml:space="preserve">grl. mgr., gualterio c. palmer, zac., </t>
  </si>
  <si>
    <t>zac</t>
  </si>
  <si>
    <t>gualterio</t>
  </si>
  <si>
    <t>mmm1647</t>
  </si>
  <si>
    <t xml:space="preserve">mexico city office, edificio españa, room 408, </t>
  </si>
  <si>
    <t>cia. minera la providencia s. a.</t>
  </si>
  <si>
    <t>edificio españa room</t>
  </si>
  <si>
    <t>mmm1649</t>
  </si>
  <si>
    <t xml:space="preserve">mill, in construction, </t>
  </si>
  <si>
    <t>in construction</t>
  </si>
  <si>
    <t>mmm1654</t>
  </si>
  <si>
    <t>secretary, antonio maza, mexico, d. f.</t>
  </si>
  <si>
    <t>mayne</t>
  </si>
  <si>
    <t>antonio</t>
  </si>
  <si>
    <t>mmm1662</t>
  </si>
  <si>
    <t xml:space="preserve">location, vetagrande, zac, </t>
  </si>
  <si>
    <t>cia. restauradora del mineral de vetagrande s. a.</t>
  </si>
  <si>
    <t>vetagrande zac</t>
  </si>
  <si>
    <t>mmm1665</t>
  </si>
  <si>
    <t>president, lic. rodolfo f . villalpando, mexico, d. f.</t>
  </si>
  <si>
    <t>villaines</t>
  </si>
  <si>
    <t>lic</t>
  </si>
  <si>
    <t>mmm1667</t>
  </si>
  <si>
    <t>location, sombrerete, c/o cia. Min. asarco, s. a., see special information (end of mining list.)</t>
  </si>
  <si>
    <t>moctezuma mining co.</t>
  </si>
  <si>
    <t>mmm1669</t>
  </si>
  <si>
    <t xml:space="preserve">organized, in 1924 in mexico., </t>
  </si>
  <si>
    <t>palenque mining co. s. a.</t>
  </si>
  <si>
    <t>mmm1670</t>
  </si>
  <si>
    <t>$77,000 u. s. c.</t>
  </si>
  <si>
    <t>mmm1689</t>
  </si>
  <si>
    <t xml:space="preserve">mill name, el bote, </t>
  </si>
  <si>
    <t>pittsburg bote mining co. s. a.</t>
  </si>
  <si>
    <t>name el bote</t>
  </si>
  <si>
    <t>mmm1692</t>
  </si>
  <si>
    <t>this company is subsidiary of the carnegie metals co.</t>
  </si>
  <si>
    <t>mmm1694</t>
  </si>
  <si>
    <t>mmm1707</t>
  </si>
  <si>
    <t xml:space="preserve">location &amp; p. o., apartado 7, zacetecas, zac., </t>
  </si>
  <si>
    <t>pittsburgh veta grande mining co. s. a.</t>
  </si>
  <si>
    <t>apartado zacetecas zac</t>
  </si>
  <si>
    <t>mmm1709</t>
  </si>
  <si>
    <t>this company owns the vetagrande and san acacio mines.</t>
  </si>
  <si>
    <t>mmm1713</t>
  </si>
  <si>
    <t>president, j. h. sanford, pittsburgh, pa.</t>
  </si>
  <si>
    <t>sandy</t>
  </si>
  <si>
    <t>mmm1718</t>
  </si>
  <si>
    <t>business mgr., g. f. kinney, zacatecas, zac.</t>
  </si>
  <si>
    <t>kinjj</t>
  </si>
  <si>
    <t>business mgr.</t>
  </si>
  <si>
    <t>mmm1719</t>
  </si>
  <si>
    <t>director grl, henry wyman, zacatecas, zac.</t>
  </si>
  <si>
    <t>director grl</t>
  </si>
  <si>
    <t>mmm1722</t>
  </si>
  <si>
    <t>mine spt., g. r. tingle, zacatecas, zac.</t>
  </si>
  <si>
    <t>tindall</t>
  </si>
  <si>
    <t>mmm1734</t>
  </si>
  <si>
    <t xml:space="preserve">mill p. o. address, apartado 12, concepcion del oro, zac, </t>
  </si>
  <si>
    <t>santa rosa mining co. ltd.</t>
  </si>
  <si>
    <t>del oro zac</t>
  </si>
  <si>
    <t>mmm1736</t>
  </si>
  <si>
    <t xml:space="preserve">table concentration cyanidation., </t>
  </si>
  <si>
    <t>table concentration cyanidation.</t>
  </si>
  <si>
    <t>mmm1756</t>
  </si>
  <si>
    <t>grl. Mines spt., w. whyte, concepcion del oro, zac.</t>
  </si>
  <si>
    <t>the mazapil copper co ltd.</t>
  </si>
  <si>
    <t>whyte</t>
  </si>
  <si>
    <t>grl. Mines spt.</t>
  </si>
  <si>
    <t>mmm1769</t>
  </si>
  <si>
    <t>this company is associated with cia. De santa gertrudis, s. a.</t>
  </si>
  <si>
    <t>the mexican corporation s. a.</t>
  </si>
  <si>
    <t>gold, silver, lead, zinc, copper</t>
  </si>
  <si>
    <t>mmm1781</t>
  </si>
  <si>
    <t>geologist, max. m. dixon, pachuca, hgo.</t>
  </si>
  <si>
    <t>dixon</t>
  </si>
  <si>
    <t>max</t>
  </si>
  <si>
    <t>geologist</t>
  </si>
  <si>
    <t>mmm1782</t>
  </si>
  <si>
    <t>chief eng., a. livingston, fresnillo, zac.</t>
  </si>
  <si>
    <t>fresnillo zac</t>
  </si>
  <si>
    <t>livermore</t>
  </si>
  <si>
    <t>archibald</t>
  </si>
  <si>
    <t>mmm1783</t>
  </si>
  <si>
    <t>mech. eng., h. t. colson, fresnillo, zac.</t>
  </si>
  <si>
    <t>colquhoun</t>
  </si>
  <si>
    <t>mmm1790</t>
  </si>
  <si>
    <t xml:space="preserve">location, sombrerete, zac., </t>
  </si>
  <si>
    <t>the sombrerete mining co.</t>
  </si>
  <si>
    <t>sombrerete zac</t>
  </si>
  <si>
    <t>mmm1793</t>
  </si>
  <si>
    <t xml:space="preserve">location &amp; p. o., zacatecas, zac., </t>
  </si>
  <si>
    <t>zacatecas mining corp.</t>
  </si>
  <si>
    <t>mmm1815</t>
  </si>
  <si>
    <t xml:space="preserve">management, </t>
  </si>
  <si>
    <t>american smelting refining co.</t>
  </si>
  <si>
    <t>mmm1822</t>
  </si>
  <si>
    <t xml:space="preserve">milling engineer, h. cooper, </t>
  </si>
  <si>
    <t>cooper</t>
  </si>
  <si>
    <t>milling engineer</t>
  </si>
  <si>
    <t>mmm1829</t>
  </si>
  <si>
    <t>mail and telegraphic address, 1112 mills bldg., el paso, texas</t>
  </si>
  <si>
    <t>mmm1841</t>
  </si>
  <si>
    <t>mail address, cia. metalurgica mexicana, apartado 307, mexico</t>
  </si>
  <si>
    <t>mexicana apartado mexico</t>
  </si>
  <si>
    <t>mmm1844</t>
  </si>
  <si>
    <t>mmm1859</t>
  </si>
  <si>
    <t>telegraphic address, edificio iturbe ave, juarez 83, mexico</t>
  </si>
  <si>
    <t>ave juarez mexico</t>
  </si>
  <si>
    <t>mmm1865</t>
  </si>
  <si>
    <t xml:space="preserve">cashier, d. r. salazar, </t>
  </si>
  <si>
    <t>saine</t>
  </si>
  <si>
    <t>domingo</t>
  </si>
  <si>
    <t>mmm1876</t>
  </si>
  <si>
    <t>mail address, american smelting refining co, apartado 137, aguascalientes</t>
  </si>
  <si>
    <t>aguascalientes plant</t>
  </si>
  <si>
    <t>co apartado aguascalientes</t>
  </si>
  <si>
    <t>mmm1892</t>
  </si>
  <si>
    <t>mines at los lamentos, chih., ook of m in e s</t>
  </si>
  <si>
    <t>los lamentos</t>
  </si>
  <si>
    <t>in e s</t>
  </si>
  <si>
    <t>mmm1900</t>
  </si>
  <si>
    <t xml:space="preserve">supt., h. h. sharp, </t>
  </si>
  <si>
    <t>parral consolidated</t>
  </si>
  <si>
    <t>sharp</t>
  </si>
  <si>
    <t>parkinson</t>
  </si>
  <si>
    <t>supt.</t>
  </si>
  <si>
    <t>mmm1907</t>
  </si>
  <si>
    <t xml:space="preserve">supt., s. e. reed, </t>
  </si>
  <si>
    <t>reed</t>
  </si>
  <si>
    <t>samuel</t>
  </si>
  <si>
    <t>mmm1909</t>
  </si>
  <si>
    <t>mail address, cia. minera asarco s. a., apartado 85, parral</t>
  </si>
  <si>
    <t>a apartado parral</t>
  </si>
  <si>
    <t>mmm1922</t>
  </si>
  <si>
    <t>mail and telegraphic address, minas tecolotes, santa barbara, chih.</t>
  </si>
  <si>
    <t>santa barbara</t>
  </si>
  <si>
    <t>mmm1927</t>
  </si>
  <si>
    <t xml:space="preserve">mines at santa eulalia, chih., </t>
  </si>
  <si>
    <t>santa eulalia</t>
  </si>
  <si>
    <t>santa eulalia chih</t>
  </si>
  <si>
    <t>mmm1952</t>
  </si>
  <si>
    <t>tel. address, american smelting refining co, esmeralda, coah</t>
  </si>
  <si>
    <t>veta grande</t>
  </si>
  <si>
    <t>co esmeralda coah</t>
  </si>
  <si>
    <t>mmm1960</t>
  </si>
  <si>
    <t xml:space="preserve">grl. Mgr. rosita coah., j. w. kniffin, </t>
  </si>
  <si>
    <t>compañía carbonifera de sabinas, s. a.</t>
  </si>
  <si>
    <t>knauth</t>
  </si>
  <si>
    <t>grl. Mgr. rosita coah.</t>
  </si>
  <si>
    <t>mmm1969</t>
  </si>
  <si>
    <t xml:space="preserve">supt., g. p. robinson, </t>
  </si>
  <si>
    <t>asarco plant</t>
  </si>
  <si>
    <t>mmm1978</t>
  </si>
  <si>
    <t xml:space="preserve">supt., r. e. adams, </t>
  </si>
  <si>
    <t>velardeña</t>
  </si>
  <si>
    <t>adams</t>
  </si>
  <si>
    <t>mmm2012</t>
  </si>
  <si>
    <t>mail and telegraphic address, mina tiro general, charcas, s. l. p.</t>
  </si>
  <si>
    <t>mexican lead co.</t>
  </si>
  <si>
    <t>mmm2036</t>
  </si>
  <si>
    <t xml:space="preserve">mines near sombrerete, zac., </t>
  </si>
  <si>
    <t>matehuala plant</t>
  </si>
  <si>
    <t>near sombrerete zac</t>
  </si>
  <si>
    <t>mmm2043</t>
  </si>
  <si>
    <t xml:space="preserve">mines at sombrerete, sombrerete, zac, </t>
  </si>
  <si>
    <t>sombrerete mining co.</t>
  </si>
  <si>
    <t>sombrerete sombrerete zac</t>
  </si>
  <si>
    <t>mmm2055</t>
  </si>
  <si>
    <t xml:space="preserve">2nd vice pres &amp; treasurer, h. himes, </t>
  </si>
  <si>
    <t>cia. minera de penoles s. a.</t>
  </si>
  <si>
    <t>hills</t>
  </si>
  <si>
    <t>2nd vice pres &amp; treasurer</t>
  </si>
  <si>
    <t>mmm2057</t>
  </si>
  <si>
    <t xml:space="preserve">assistant to the general manager, j. m. brooks jr., </t>
  </si>
  <si>
    <t>mmm2062</t>
  </si>
  <si>
    <t xml:space="preserve">travelling auditor, e. m. gutierrez, </t>
  </si>
  <si>
    <t>guskell</t>
  </si>
  <si>
    <t>travelling auditor</t>
  </si>
  <si>
    <t>mmm2075</t>
  </si>
  <si>
    <t xml:space="preserve">master mechanic, f. rothe, </t>
  </si>
  <si>
    <t>the naica mines of mexico</t>
  </si>
  <si>
    <t>chih.</t>
  </si>
  <si>
    <t>rossman</t>
  </si>
  <si>
    <t>master mechanic</t>
  </si>
  <si>
    <t>mmm2076</t>
  </si>
  <si>
    <t xml:space="preserve">santa eulalia, </t>
  </si>
  <si>
    <t>mmm2081</t>
  </si>
  <si>
    <t xml:space="preserve">agent., e. cortazar, chihuahua, </t>
  </si>
  <si>
    <t>corser</t>
  </si>
  <si>
    <t>agent.</t>
  </si>
  <si>
    <t>mmm2084</t>
  </si>
  <si>
    <t xml:space="preserve">gen. supt., m. f. crossette, </t>
  </si>
  <si>
    <t>cross</t>
  </si>
  <si>
    <t>gen. supt.</t>
  </si>
  <si>
    <t>mmm2091</t>
  </si>
  <si>
    <t xml:space="preserve">ass't master mechanic, c. a. burn, </t>
  </si>
  <si>
    <t>burn</t>
  </si>
  <si>
    <t>hlpellmm</t>
  </si>
  <si>
    <t>ass't master mechanic</t>
  </si>
  <si>
    <t>mmm2158</t>
  </si>
  <si>
    <t xml:space="preserve">asst. chemist, c. s. bogart, </t>
  </si>
  <si>
    <t>monterrey smelter &amp; refinery</t>
  </si>
  <si>
    <t>bogajewsky</t>
  </si>
  <si>
    <t>asst. chemist</t>
  </si>
  <si>
    <t>mmm2187</t>
  </si>
  <si>
    <t xml:space="preserve">engineer, o. c. reinheimer, </t>
  </si>
  <si>
    <t>cia. minera y beneficiadora del norte</t>
  </si>
  <si>
    <t>reillv</t>
  </si>
  <si>
    <t>o</t>
  </si>
  <si>
    <t>mmm14861</t>
  </si>
  <si>
    <t>this company owns the creston colorada and prieta mines, which are leased to w. c. taylor of hermosillo, son. The mill of this company is in ruins.</t>
  </si>
  <si>
    <t>source</t>
  </si>
  <si>
    <t>org</t>
  </si>
  <si>
    <t>co21472</t>
  </si>
  <si>
    <t>colmines</t>
  </si>
  <si>
    <t>hill</t>
  </si>
  <si>
    <t>student</t>
  </si>
  <si>
    <t>co34769</t>
  </si>
  <si>
    <t>patterson</t>
  </si>
  <si>
    <t>co48041</t>
  </si>
  <si>
    <t>wells</t>
  </si>
  <si>
    <t>cu12925</t>
  </si>
  <si>
    <t>cu</t>
  </si>
  <si>
    <t>drasel</t>
  </si>
  <si>
    <t>cu16012</t>
  </si>
  <si>
    <t>earle</t>
  </si>
  <si>
    <t>cu18812</t>
  </si>
  <si>
    <t>guinchard</t>
  </si>
  <si>
    <t>cu19207</t>
  </si>
  <si>
    <t>hall</t>
  </si>
  <si>
    <t>harry</t>
  </si>
  <si>
    <t>cu20488</t>
  </si>
  <si>
    <t>hay</t>
  </si>
  <si>
    <t>cu21124</t>
  </si>
  <si>
    <t>herter</t>
  </si>
  <si>
    <t>cu21791</t>
  </si>
  <si>
    <t>hoffbauer</t>
  </si>
  <si>
    <t>cu22577</t>
  </si>
  <si>
    <t>howe</t>
  </si>
  <si>
    <t>cu23330</t>
  </si>
  <si>
    <t>hutchinson</t>
  </si>
  <si>
    <t>cu26219</t>
  </si>
  <si>
    <t>lamb</t>
  </si>
  <si>
    <t>cu28529</t>
  </si>
  <si>
    <t>macdermott</t>
  </si>
  <si>
    <t>cu29080</t>
  </si>
  <si>
    <t>mannheim</t>
  </si>
  <si>
    <t>paul</t>
  </si>
  <si>
    <t>cu31533</t>
  </si>
  <si>
    <t>moffett</t>
  </si>
  <si>
    <t>cu36129</t>
  </si>
  <si>
    <t>popper</t>
  </si>
  <si>
    <t>cu37053</t>
  </si>
  <si>
    <t>raphael</t>
  </si>
  <si>
    <t>cu44627</t>
  </si>
  <si>
    <t>cu46393</t>
  </si>
  <si>
    <t>van</t>
  </si>
  <si>
    <t>cu5040</t>
  </si>
  <si>
    <t>brcneman</t>
  </si>
  <si>
    <t>cu5940</t>
  </si>
  <si>
    <t>bryce</t>
  </si>
  <si>
    <t>cu6025</t>
  </si>
  <si>
    <t>buckmaster</t>
  </si>
  <si>
    <t>cu7529</t>
  </si>
  <si>
    <t>casamajor</t>
  </si>
  <si>
    <t>cu7564</t>
  </si>
  <si>
    <t>caspe</t>
  </si>
  <si>
    <t>cu8314</t>
  </si>
  <si>
    <t>church</t>
  </si>
  <si>
    <t>en34067</t>
  </si>
  <si>
    <t>eni</t>
  </si>
  <si>
    <t>ostos</t>
  </si>
  <si>
    <t>en34315</t>
  </si>
  <si>
    <t>palacio</t>
  </si>
  <si>
    <t>en46554</t>
  </si>
  <si>
    <t>vazquez</t>
  </si>
  <si>
    <t>fr2471</t>
  </si>
  <si>
    <t>frei</t>
  </si>
  <si>
    <t>de crano</t>
  </si>
  <si>
    <t>fr2510</t>
  </si>
  <si>
    <t>dietze</t>
  </si>
  <si>
    <t>georg</t>
  </si>
  <si>
    <t>moritz</t>
  </si>
  <si>
    <t>?b</t>
  </si>
  <si>
    <t>fr2638</t>
  </si>
  <si>
    <t>asbury</t>
  </si>
  <si>
    <t>freiberg school</t>
  </si>
  <si>
    <t>fr2697</t>
  </si>
  <si>
    <t>zoric</t>
  </si>
  <si>
    <t>svetosar</t>
  </si>
  <si>
    <t>fr2732</t>
  </si>
  <si>
    <t>stoiber</t>
  </si>
  <si>
    <t>eduard</t>
  </si>
  <si>
    <t>fr2813</t>
  </si>
  <si>
    <t>heck</t>
  </si>
  <si>
    <t>fr2955</t>
  </si>
  <si>
    <t>fuch8</t>
  </si>
  <si>
    <t>ernst</t>
  </si>
  <si>
    <t>fiirchtegott</t>
  </si>
  <si>
    <t>fr2987</t>
  </si>
  <si>
    <t>wei8</t>
  </si>
  <si>
    <t>fr2988</t>
  </si>
  <si>
    <t>zetzsche</t>
  </si>
  <si>
    <t>heinrich</t>
  </si>
  <si>
    <t>fr3001</t>
  </si>
  <si>
    <t>fischer</t>
  </si>
  <si>
    <t>fr3010</t>
  </si>
  <si>
    <t>jeramjanz</t>
  </si>
  <si>
    <t>stephan</t>
  </si>
  <si>
    <t>fr3210</t>
  </si>
  <si>
    <t>krantz</t>
  </si>
  <si>
    <t>friedrich</t>
  </si>
  <si>
    <t>august</t>
  </si>
  <si>
    <t>fr3306</t>
  </si>
  <si>
    <t>eydam</t>
  </si>
  <si>
    <t>willy</t>
  </si>
  <si>
    <t>fr3341</t>
  </si>
  <si>
    <t>franz</t>
  </si>
  <si>
    <t>fr3343</t>
  </si>
  <si>
    <t>schulze</t>
  </si>
  <si>
    <t>fr3368</t>
  </si>
  <si>
    <t>v dessauer</t>
  </si>
  <si>
    <t>anton</t>
  </si>
  <si>
    <t>fr3465</t>
  </si>
  <si>
    <t>roldan e pego</t>
  </si>
  <si>
    <t>fr3528</t>
  </si>
  <si>
    <t>zell</t>
  </si>
  <si>
    <t>fr3610</t>
  </si>
  <si>
    <t>keller</t>
  </si>
  <si>
    <t>richard</t>
  </si>
  <si>
    <t>fr3662</t>
  </si>
  <si>
    <t>hey</t>
  </si>
  <si>
    <t>gustav</t>
  </si>
  <si>
    <t>adolf</t>
  </si>
  <si>
    <t>fr3692</t>
  </si>
  <si>
    <t>schneiders</t>
  </si>
  <si>
    <t>karl</t>
  </si>
  <si>
    <t>gottfried</t>
  </si>
  <si>
    <t>fr3708</t>
  </si>
  <si>
    <t>wehner</t>
  </si>
  <si>
    <t>frederik</t>
  </si>
  <si>
    <t>fr3718</t>
  </si>
  <si>
    <t>boddinghaus</t>
  </si>
  <si>
    <t>walther</t>
  </si>
  <si>
    <t>fr3781</t>
  </si>
  <si>
    <t>v wolff</t>
  </si>
  <si>
    <t>erich</t>
  </si>
  <si>
    <t>maximilian</t>
  </si>
  <si>
    <t>fr3852</t>
  </si>
  <si>
    <t>abe</t>
  </si>
  <si>
    <t>fr3874</t>
  </si>
  <si>
    <t>lister</t>
  </si>
  <si>
    <t>fr3906</t>
  </si>
  <si>
    <t>bernhard</t>
  </si>
  <si>
    <t>fr4049</t>
  </si>
  <si>
    <t>bauer</t>
  </si>
  <si>
    <t>oswald</t>
  </si>
  <si>
    <t>fr4085</t>
  </si>
  <si>
    <t>korwazki</t>
  </si>
  <si>
    <t>wasili</t>
  </si>
  <si>
    <t>fr4118</t>
  </si>
  <si>
    <t>spitzner</t>
  </si>
  <si>
    <t>justus</t>
  </si>
  <si>
    <t>fr4135</t>
  </si>
  <si>
    <t>balasinovici</t>
  </si>
  <si>
    <t>eugeniu</t>
  </si>
  <si>
    <t>fr4279</t>
  </si>
  <si>
    <t>hilgenberg</t>
  </si>
  <si>
    <t>hermann</t>
  </si>
  <si>
    <t>fr4298</t>
  </si>
  <si>
    <t>kulbach</t>
  </si>
  <si>
    <t>fr4344</t>
  </si>
  <si>
    <t>schott</t>
  </si>
  <si>
    <t>fr4412</t>
  </si>
  <si>
    <t>v kupffer</t>
  </si>
  <si>
    <t>fr4477</t>
  </si>
  <si>
    <t>dabkowicz</t>
  </si>
  <si>
    <t>jan</t>
  </si>
  <si>
    <t>fr4540</t>
  </si>
  <si>
    <t>v neyman</t>
  </si>
  <si>
    <t>kasimir</t>
  </si>
  <si>
    <t>fr4545</t>
  </si>
  <si>
    <t>fr4602</t>
  </si>
  <si>
    <t>brill</t>
  </si>
  <si>
    <t>fr4648</t>
  </si>
  <si>
    <t>konjaroff</t>
  </si>
  <si>
    <t>georgi</t>
  </si>
  <si>
    <t>fr4685</t>
  </si>
  <si>
    <t>popoff</t>
  </si>
  <si>
    <t>fr4714</t>
  </si>
  <si>
    <t>steinberg</t>
  </si>
  <si>
    <t>wladimir</t>
  </si>
  <si>
    <t>fr4839</t>
  </si>
  <si>
    <t>singher</t>
  </si>
  <si>
    <t>leibu</t>
  </si>
  <si>
    <t>fr4958</t>
  </si>
  <si>
    <t>browne</t>
  </si>
  <si>
    <t>fr4979</t>
  </si>
  <si>
    <t>gorenstein</t>
  </si>
  <si>
    <t>nachim</t>
  </si>
  <si>
    <t>fr4989</t>
  </si>
  <si>
    <t>jones</t>
  </si>
  <si>
    <t>sidney</t>
  </si>
  <si>
    <t>fr5058</t>
  </si>
  <si>
    <t>warnecke</t>
  </si>
  <si>
    <t>fr5112</t>
  </si>
  <si>
    <t>glockler</t>
  </si>
  <si>
    <t>adam</t>
  </si>
  <si>
    <t>fr5129</t>
  </si>
  <si>
    <t>johnson</t>
  </si>
  <si>
    <t>bernard</t>
  </si>
  <si>
    <t>angas</t>
  </si>
  <si>
    <t>fr5176</t>
  </si>
  <si>
    <t>ralff</t>
  </si>
  <si>
    <t>eugen</t>
  </si>
  <si>
    <t>fr5208</t>
  </si>
  <si>
    <t>v gel</t>
  </si>
  <si>
    <t>herbert</t>
  </si>
  <si>
    <t>fr5214</t>
  </si>
  <si>
    <t>weise</t>
  </si>
  <si>
    <t>gerhard</t>
  </si>
  <si>
    <t>oskar</t>
  </si>
  <si>
    <t>fr5230</t>
  </si>
  <si>
    <t>brandt</t>
  </si>
  <si>
    <t>rudolf</t>
  </si>
  <si>
    <t>fr5368</t>
  </si>
  <si>
    <t>ficker</t>
  </si>
  <si>
    <t>kurt</t>
  </si>
  <si>
    <t>johannes</t>
  </si>
  <si>
    <t>fr5413</t>
  </si>
  <si>
    <t>molls</t>
  </si>
  <si>
    <t>otto</t>
  </si>
  <si>
    <t>fr5415</t>
  </si>
  <si>
    <t>moshaizew</t>
  </si>
  <si>
    <t>andreas</t>
  </si>
  <si>
    <t>lwowitsch</t>
  </si>
  <si>
    <t>fr5464</t>
  </si>
  <si>
    <t>beck</t>
  </si>
  <si>
    <t>felix</t>
  </si>
  <si>
    <t>fr5773</t>
  </si>
  <si>
    <t>nette</t>
  </si>
  <si>
    <t>fr5791</t>
  </si>
  <si>
    <t>schonfelder</t>
  </si>
  <si>
    <t>fr5797</t>
  </si>
  <si>
    <t>schwirkus</t>
  </si>
  <si>
    <t>fr5923</t>
  </si>
  <si>
    <t>glanzberg</t>
  </si>
  <si>
    <t>erwin</t>
  </si>
  <si>
    <t>fr6000</t>
  </si>
  <si>
    <t>wiirfel</t>
  </si>
  <si>
    <t>alwin</t>
  </si>
  <si>
    <t>gotthard</t>
  </si>
  <si>
    <t>fr6022</t>
  </si>
  <si>
    <t>wiegemann</t>
  </si>
  <si>
    <t>rosa</t>
  </si>
  <si>
    <t>fr6034</t>
  </si>
  <si>
    <t>geuthner</t>
  </si>
  <si>
    <t>fr6061</t>
  </si>
  <si>
    <t>mtiller</t>
  </si>
  <si>
    <t>merchant</t>
  </si>
  <si>
    <t>fr6080</t>
  </si>
  <si>
    <t>fr6093</t>
  </si>
  <si>
    <t>dachselt</t>
  </si>
  <si>
    <t>fr6127</t>
  </si>
  <si>
    <t>klinger</t>
  </si>
  <si>
    <t>fr6166</t>
  </si>
  <si>
    <t>rautenberg</t>
  </si>
  <si>
    <t>pastor</t>
  </si>
  <si>
    <t>fr6317</t>
  </si>
  <si>
    <t>raber</t>
  </si>
  <si>
    <t>fr6540</t>
  </si>
  <si>
    <t>gri rnmig</t>
  </si>
  <si>
    <t>hans</t>
  </si>
  <si>
    <t>fr6653</t>
  </si>
  <si>
    <t>berg</t>
  </si>
  <si>
    <t>fr6705</t>
  </si>
  <si>
    <t>hinkel</t>
  </si>
  <si>
    <t>fr6720</t>
  </si>
  <si>
    <t>kebner</t>
  </si>
  <si>
    <t>fr6949</t>
  </si>
  <si>
    <t>meyer</t>
  </si>
  <si>
    <t>fr6951</t>
  </si>
  <si>
    <t>muller</t>
  </si>
  <si>
    <t>fr7118</t>
  </si>
  <si>
    <t>maucher</t>
  </si>
  <si>
    <t>fr7152</t>
  </si>
  <si>
    <t>kimse</t>
  </si>
  <si>
    <t>werner</t>
  </si>
  <si>
    <t>fr7183</t>
  </si>
  <si>
    <t>herrmanns</t>
  </si>
  <si>
    <t>owner</t>
  </si>
  <si>
    <t>fr7202</t>
  </si>
  <si>
    <t>wolfgang</t>
  </si>
  <si>
    <t>fr7207</t>
  </si>
  <si>
    <t>steck</t>
  </si>
  <si>
    <t>gunter</t>
  </si>
  <si>
    <t>fr7222</t>
  </si>
  <si>
    <t>leon</t>
  </si>
  <si>
    <t>fr7226</t>
  </si>
  <si>
    <t>kraghwehn</t>
  </si>
  <si>
    <t>fr7267</t>
  </si>
  <si>
    <t>knackstedt</t>
  </si>
  <si>
    <t>mi19434</t>
  </si>
  <si>
    <t>michcoll</t>
  </si>
  <si>
    <t>hamilton</t>
  </si>
  <si>
    <t>mi27853</t>
  </si>
  <si>
    <t>longshore</t>
  </si>
  <si>
    <t>mi46377</t>
  </si>
  <si>
    <t>mi7654</t>
  </si>
  <si>
    <t>cavazos</t>
  </si>
  <si>
    <t>mitg11841</t>
  </si>
  <si>
    <t>MIT</t>
  </si>
  <si>
    <t>hughe</t>
  </si>
  <si>
    <t>mitg12098</t>
  </si>
  <si>
    <t>ilall</t>
  </si>
  <si>
    <t>mitg12140</t>
  </si>
  <si>
    <t>inglesias</t>
  </si>
  <si>
    <t>mitg12435</t>
  </si>
  <si>
    <t>v</t>
  </si>
  <si>
    <t>mitg1246</t>
  </si>
  <si>
    <t>barr</t>
  </si>
  <si>
    <t>mitg12629</t>
  </si>
  <si>
    <t>joyce</t>
  </si>
  <si>
    <t>clarence</t>
  </si>
  <si>
    <t>mitg12658</t>
  </si>
  <si>
    <t>kalbach</t>
  </si>
  <si>
    <t>lee</t>
  </si>
  <si>
    <t>mitg13025</t>
  </si>
  <si>
    <t>killam</t>
  </si>
  <si>
    <t>mitg13663</t>
  </si>
  <si>
    <t>lazenby</t>
  </si>
  <si>
    <t>mitg14088</t>
  </si>
  <si>
    <t>llarkness</t>
  </si>
  <si>
    <t>mitg14233</t>
  </si>
  <si>
    <t>look</t>
  </si>
  <si>
    <t>moses</t>
  </si>
  <si>
    <t>mitg15258</t>
  </si>
  <si>
    <t>mayo</t>
  </si>
  <si>
    <t>lincoln</t>
  </si>
  <si>
    <t>mitg16107</t>
  </si>
  <si>
    <t>mitg16348</t>
  </si>
  <si>
    <t>mitg17152</t>
  </si>
  <si>
    <t>orcm</t>
  </si>
  <si>
    <t>mitg1742</t>
  </si>
  <si>
    <t>berge</t>
  </si>
  <si>
    <t>mitg18153</t>
  </si>
  <si>
    <t>place</t>
  </si>
  <si>
    <t>adolph</t>
  </si>
  <si>
    <t>mitg19939</t>
  </si>
  <si>
    <t>mitg207</t>
  </si>
  <si>
    <t>albr</t>
  </si>
  <si>
    <t>mitg21128</t>
  </si>
  <si>
    <t>frederic</t>
  </si>
  <si>
    <t>mitg21649</t>
  </si>
  <si>
    <t>stanley</t>
  </si>
  <si>
    <t>mitg21847</t>
  </si>
  <si>
    <t>stevens</t>
  </si>
  <si>
    <t>mitg2350</t>
  </si>
  <si>
    <t>bovnton</t>
  </si>
  <si>
    <t>mitg23524</t>
  </si>
  <si>
    <t>veaton</t>
  </si>
  <si>
    <t>mitg24278</t>
  </si>
  <si>
    <t>mitg24452</t>
  </si>
  <si>
    <t>weymouth</t>
  </si>
  <si>
    <t>mitg24892</t>
  </si>
  <si>
    <t>david</t>
  </si>
  <si>
    <t>mitg3556</t>
  </si>
  <si>
    <t>calkins</t>
  </si>
  <si>
    <t>gary</t>
  </si>
  <si>
    <t>mitg4687</t>
  </si>
  <si>
    <t>coffin</t>
  </si>
  <si>
    <t>mitg534</t>
  </si>
  <si>
    <t>angus</t>
  </si>
  <si>
    <t>mitg5966</t>
  </si>
  <si>
    <t>mitg6265</t>
  </si>
  <si>
    <t>derr</t>
  </si>
  <si>
    <t>louis</t>
  </si>
  <si>
    <t>mitg7525</t>
  </si>
  <si>
    <t>fallon</t>
  </si>
  <si>
    <t>nugent</t>
  </si>
  <si>
    <t>mitg78</t>
  </si>
  <si>
    <t>mitg8891</t>
  </si>
  <si>
    <t>gi</t>
  </si>
  <si>
    <t>mitg9825</t>
  </si>
  <si>
    <t>hale</t>
  </si>
  <si>
    <t>mitg9835</t>
  </si>
  <si>
    <t>mito10010</t>
  </si>
  <si>
    <t>gilmore</t>
  </si>
  <si>
    <t>luther</t>
  </si>
  <si>
    <t>with s g flagg</t>
  </si>
  <si>
    <t>mito10036</t>
  </si>
  <si>
    <t>messinger</t>
  </si>
  <si>
    <t>physician</t>
  </si>
  <si>
    <t>mito10190</t>
  </si>
  <si>
    <t>aumack</t>
  </si>
  <si>
    <t>alma</t>
  </si>
  <si>
    <t>mito10303</t>
  </si>
  <si>
    <t>gilson</t>
  </si>
  <si>
    <t>expert</t>
  </si>
  <si>
    <t>mito10448</t>
  </si>
  <si>
    <t>krueger</t>
  </si>
  <si>
    <t>mrs</t>
  </si>
  <si>
    <t>mito10529</t>
  </si>
  <si>
    <t>holmes</t>
  </si>
  <si>
    <t>mito10559</t>
  </si>
  <si>
    <t>ayer</t>
  </si>
  <si>
    <t>mito10649</t>
  </si>
  <si>
    <t>taber</t>
  </si>
  <si>
    <t>edward</t>
  </si>
  <si>
    <t>mito10768</t>
  </si>
  <si>
    <t>fairchild</t>
  </si>
  <si>
    <t>mito10890</t>
  </si>
  <si>
    <t>laforest</t>
  </si>
  <si>
    <t>mito11015</t>
  </si>
  <si>
    <t>norris</t>
  </si>
  <si>
    <t>wilfred</t>
  </si>
  <si>
    <t>architect</t>
  </si>
  <si>
    <t>mito11041</t>
  </si>
  <si>
    <t>kershaw</t>
  </si>
  <si>
    <t>mito11272</t>
  </si>
  <si>
    <t>wright</t>
  </si>
  <si>
    <t>julian</t>
  </si>
  <si>
    <t>lawyer</t>
  </si>
  <si>
    <t>mito11457</t>
  </si>
  <si>
    <t>mathesius</t>
  </si>
  <si>
    <t>mito11589</t>
  </si>
  <si>
    <t>howes</t>
  </si>
  <si>
    <t>ralph</t>
  </si>
  <si>
    <t>mito11684</t>
  </si>
  <si>
    <t>fogerty</t>
  </si>
  <si>
    <t>emory</t>
  </si>
  <si>
    <t>mito11688</t>
  </si>
  <si>
    <t>mito11745</t>
  </si>
  <si>
    <t>du pont</t>
  </si>
  <si>
    <t>mito1183</t>
  </si>
  <si>
    <t>sears</t>
  </si>
  <si>
    <t>assistant</t>
  </si>
  <si>
    <t>assistant lockwood greene co.</t>
  </si>
  <si>
    <t>mito11905</t>
  </si>
  <si>
    <t>mito12139</t>
  </si>
  <si>
    <t>mito12147</t>
  </si>
  <si>
    <t>cole</t>
  </si>
  <si>
    <t>rhoda</t>
  </si>
  <si>
    <t>mito1218</t>
  </si>
  <si>
    <t>warren</t>
  </si>
  <si>
    <t>of warren gerrish archi</t>
  </si>
  <si>
    <t>mito1220</t>
  </si>
  <si>
    <t>wattles</t>
  </si>
  <si>
    <t>edison electric illuminating co.</t>
  </si>
  <si>
    <t>mito1248</t>
  </si>
  <si>
    <t>with directors of port</t>
  </si>
  <si>
    <t>mito12514</t>
  </si>
  <si>
    <t>mito12611</t>
  </si>
  <si>
    <t>youngerman</t>
  </si>
  <si>
    <t>conrad</t>
  </si>
  <si>
    <t>mito12643</t>
  </si>
  <si>
    <t>mito12666</t>
  </si>
  <si>
    <t>hammond</t>
  </si>
  <si>
    <t>mito1279</t>
  </si>
  <si>
    <t>drummey</t>
  </si>
  <si>
    <t>accountant</t>
  </si>
  <si>
    <t>haven hartford railroad co.</t>
  </si>
  <si>
    <t>mito12810</t>
  </si>
  <si>
    <t>boush</t>
  </si>
  <si>
    <t>kenneth</t>
  </si>
  <si>
    <t>mito12884</t>
  </si>
  <si>
    <t>drake</t>
  </si>
  <si>
    <t>mito12952</t>
  </si>
  <si>
    <t>hansen</t>
  </si>
  <si>
    <t>mito12998</t>
  </si>
  <si>
    <t>joslin</t>
  </si>
  <si>
    <t>mito13003</t>
  </si>
  <si>
    <t>kendall</t>
  </si>
  <si>
    <t>sewall</t>
  </si>
  <si>
    <t>mito13362</t>
  </si>
  <si>
    <t>haley</t>
  </si>
  <si>
    <t>mito13473</t>
  </si>
  <si>
    <t>sparrow</t>
  </si>
  <si>
    <t>mito13522</t>
  </si>
  <si>
    <t>yoder</t>
  </si>
  <si>
    <t>bartolette</t>
  </si>
  <si>
    <t>mito13528</t>
  </si>
  <si>
    <t>abbott</t>
  </si>
  <si>
    <t>mito13750</t>
  </si>
  <si>
    <t>cutler</t>
  </si>
  <si>
    <t>ephraim</t>
  </si>
  <si>
    <t>mito13751</t>
  </si>
  <si>
    <t>cutting</t>
  </si>
  <si>
    <t>mito13809</t>
  </si>
  <si>
    <t>evans</t>
  </si>
  <si>
    <t>mito13835</t>
  </si>
  <si>
    <t>footman</t>
  </si>
  <si>
    <t>mito13924</t>
  </si>
  <si>
    <t>hastings</t>
  </si>
  <si>
    <t>mito13983</t>
  </si>
  <si>
    <t>jameson</t>
  </si>
  <si>
    <t>mito13997</t>
  </si>
  <si>
    <t>johnston</t>
  </si>
  <si>
    <t>mito14051</t>
  </si>
  <si>
    <t>lombard</t>
  </si>
  <si>
    <t>mito14059</t>
  </si>
  <si>
    <t>low</t>
  </si>
  <si>
    <t>mito14121</t>
  </si>
  <si>
    <t>minor</t>
  </si>
  <si>
    <t>mito14189</t>
  </si>
  <si>
    <t>parmenter</t>
  </si>
  <si>
    <t>mito14205</t>
  </si>
  <si>
    <t>mito14218</t>
  </si>
  <si>
    <t>pike</t>
  </si>
  <si>
    <t>mito14409</t>
  </si>
  <si>
    <t>tuttle</t>
  </si>
  <si>
    <t>mito14434</t>
  </si>
  <si>
    <t>ware</t>
  </si>
  <si>
    <t>mito1486</t>
  </si>
  <si>
    <t>sohier</t>
  </si>
  <si>
    <t>counselor</t>
  </si>
  <si>
    <t>massachusetts highway commission</t>
  </si>
  <si>
    <t>mito1624</t>
  </si>
  <si>
    <t>crocker</t>
  </si>
  <si>
    <t>calvin</t>
  </si>
  <si>
    <t>assistant engineer depart</t>
  </si>
  <si>
    <t>mito1794</t>
  </si>
  <si>
    <t>guy</t>
  </si>
  <si>
    <t>draftsman</t>
  </si>
  <si>
    <t>united states government balboa</t>
  </si>
  <si>
    <t>mito1840</t>
  </si>
  <si>
    <t>rich</t>
  </si>
  <si>
    <t>chester</t>
  </si>
  <si>
    <t>orchardist and school</t>
  </si>
  <si>
    <t>mito189</t>
  </si>
  <si>
    <t>welbourn</t>
  </si>
  <si>
    <t>superintendent rennous kleinle co.</t>
  </si>
  <si>
    <t>mito2039</t>
  </si>
  <si>
    <t>burnham</t>
  </si>
  <si>
    <t>wholesale hair depart</t>
  </si>
  <si>
    <t>mito2234</t>
  </si>
  <si>
    <t>rickey</t>
  </si>
  <si>
    <t>singer manufac turing co.</t>
  </si>
  <si>
    <t>mito2376</t>
  </si>
  <si>
    <t>detroit edison illuminating co.</t>
  </si>
  <si>
    <t>mito2474</t>
  </si>
  <si>
    <t>dennison</t>
  </si>
  <si>
    <t>chemist</t>
  </si>
  <si>
    <t>chemist american rubber co.</t>
  </si>
  <si>
    <t>mito2562</t>
  </si>
  <si>
    <t>raymond</t>
  </si>
  <si>
    <t>england gas coke co.</t>
  </si>
  <si>
    <t>mito2625</t>
  </si>
  <si>
    <t>mauran</t>
  </si>
  <si>
    <t>castner electrolytic alkali co.</t>
  </si>
  <si>
    <t>mito2765</t>
  </si>
  <si>
    <t>anderson</t>
  </si>
  <si>
    <t>president electric boat co.</t>
  </si>
  <si>
    <t>mito2779</t>
  </si>
  <si>
    <t>hart</t>
  </si>
  <si>
    <t>engineer canadian westinghouse co.</t>
  </si>
  <si>
    <t>mito2841</t>
  </si>
  <si>
    <t>gentner</t>
  </si>
  <si>
    <t>commissioners engineering depart</t>
  </si>
  <si>
    <t>mito312</t>
  </si>
  <si>
    <t>jackson</t>
  </si>
  <si>
    <t>daniel</t>
  </si>
  <si>
    <t>united shoe machinery co.</t>
  </si>
  <si>
    <t>mito3136</t>
  </si>
  <si>
    <t>hamblet</t>
  </si>
  <si>
    <t>proprietor</t>
  </si>
  <si>
    <t>proprietor hamblet machine co.</t>
  </si>
  <si>
    <t>mito3162</t>
  </si>
  <si>
    <t>patten</t>
  </si>
  <si>
    <t>pulp and paper co.</t>
  </si>
  <si>
    <t>mito323</t>
  </si>
  <si>
    <t>states treasury depart</t>
  </si>
  <si>
    <t>mito3237</t>
  </si>
  <si>
    <t>pead</t>
  </si>
  <si>
    <t>lowell gas light co.</t>
  </si>
  <si>
    <t>mito3304</t>
  </si>
  <si>
    <t>cummings</t>
  </si>
  <si>
    <t>of mathematics depart</t>
  </si>
  <si>
    <t>mito334</t>
  </si>
  <si>
    <t>paessler</t>
  </si>
  <si>
    <t>vinton</t>
  </si>
  <si>
    <t>principal barlow school</t>
  </si>
  <si>
    <t>mito3509</t>
  </si>
  <si>
    <t>berliner</t>
  </si>
  <si>
    <t>the berliner gramophone co.</t>
  </si>
  <si>
    <t>mito3538</t>
  </si>
  <si>
    <t>gray</t>
  </si>
  <si>
    <t>curtis</t>
  </si>
  <si>
    <t>manager vulcanized products co.</t>
  </si>
  <si>
    <t>mito3665</t>
  </si>
  <si>
    <t>valley sewage commission</t>
  </si>
  <si>
    <t>mito369</t>
  </si>
  <si>
    <t>breitzke</t>
  </si>
  <si>
    <t>of water depart</t>
  </si>
  <si>
    <t>mito3754</t>
  </si>
  <si>
    <t>capen</t>
  </si>
  <si>
    <t>bessie</t>
  </si>
  <si>
    <t>capen s school</t>
  </si>
  <si>
    <t>mito3778</t>
  </si>
  <si>
    <t>craven</t>
  </si>
  <si>
    <t>of ogden ogden utah</t>
  </si>
  <si>
    <t>mito4129</t>
  </si>
  <si>
    <t>munroe</t>
  </si>
  <si>
    <t>light and power co.</t>
  </si>
  <si>
    <t>mito429</t>
  </si>
  <si>
    <t>shepherd</t>
  </si>
  <si>
    <t>boston maine railroad</t>
  </si>
  <si>
    <t>mito470</t>
  </si>
  <si>
    <t>rowe</t>
  </si>
  <si>
    <t>allan</t>
  </si>
  <si>
    <t>professor</t>
  </si>
  <si>
    <t>of chemistry boston university</t>
  </si>
  <si>
    <t>mito4859</t>
  </si>
  <si>
    <t>rounds</t>
  </si>
  <si>
    <t>tacoma railway power co.</t>
  </si>
  <si>
    <t>mito4919</t>
  </si>
  <si>
    <t>schaffer</t>
  </si>
  <si>
    <t>mito4956</t>
  </si>
  <si>
    <t>litchman</t>
  </si>
  <si>
    <t>ing and drawing university</t>
  </si>
  <si>
    <t>mito5246</t>
  </si>
  <si>
    <t>haynes</t>
  </si>
  <si>
    <t>winthrop</t>
  </si>
  <si>
    <t>in geology harvard university</t>
  </si>
  <si>
    <t>mito5262</t>
  </si>
  <si>
    <t>comstock</t>
  </si>
  <si>
    <t>with general electric co.</t>
  </si>
  <si>
    <t>mito5764</t>
  </si>
  <si>
    <t>mcquaid</t>
  </si>
  <si>
    <t>silk manufac turing co.</t>
  </si>
  <si>
    <t>mito5898</t>
  </si>
  <si>
    <t>bowles</t>
  </si>
  <si>
    <t>the carnegie steel co.</t>
  </si>
  <si>
    <t>mito5919</t>
  </si>
  <si>
    <t>scales</t>
  </si>
  <si>
    <t>giant portland cement co.</t>
  </si>
  <si>
    <t>mito5975</t>
  </si>
  <si>
    <t>dennett</t>
  </si>
  <si>
    <t>hartley</t>
  </si>
  <si>
    <t>mito5980</t>
  </si>
  <si>
    <t>coye</t>
  </si>
  <si>
    <t>mito6448</t>
  </si>
  <si>
    <t>with a h richardson</t>
  </si>
  <si>
    <t>mito6491</t>
  </si>
  <si>
    <t>mito6591</t>
  </si>
  <si>
    <t>harding</t>
  </si>
  <si>
    <t>mito6928</t>
  </si>
  <si>
    <t>harrington</t>
  </si>
  <si>
    <t>mito7339</t>
  </si>
  <si>
    <t>lunan</t>
  </si>
  <si>
    <t>mito7417</t>
  </si>
  <si>
    <t>hugelmann</t>
  </si>
  <si>
    <t>mito7858</t>
  </si>
  <si>
    <t>ferdinand</t>
  </si>
  <si>
    <t>mito7862</t>
  </si>
  <si>
    <t>conron</t>
  </si>
  <si>
    <t>mito8029</t>
  </si>
  <si>
    <t>spencer</t>
  </si>
  <si>
    <t>mito8078</t>
  </si>
  <si>
    <t>irish</t>
  </si>
  <si>
    <t>mito8213</t>
  </si>
  <si>
    <t>mito8309</t>
  </si>
  <si>
    <t>mito8422</t>
  </si>
  <si>
    <t>beal</t>
  </si>
  <si>
    <t>mito8518</t>
  </si>
  <si>
    <t>snell</t>
  </si>
  <si>
    <t>elmer</t>
  </si>
  <si>
    <t>mito8572</t>
  </si>
  <si>
    <t>hancock</t>
  </si>
  <si>
    <t>mito8610</t>
  </si>
  <si>
    <t>bohlen</t>
  </si>
  <si>
    <t>oscar</t>
  </si>
  <si>
    <t>mito8754</t>
  </si>
  <si>
    <t>cannon</t>
  </si>
  <si>
    <t>mito8775</t>
  </si>
  <si>
    <t>boardman</t>
  </si>
  <si>
    <t>jvajtpr</t>
  </si>
  <si>
    <t>mito8906</t>
  </si>
  <si>
    <t>hampton</t>
  </si>
  <si>
    <t>lawrence</t>
  </si>
  <si>
    <t>mito9088</t>
  </si>
  <si>
    <t>baker</t>
  </si>
  <si>
    <t>mito9256</t>
  </si>
  <si>
    <t>davila</t>
  </si>
  <si>
    <t>janaro</t>
  </si>
  <si>
    <t>mito9876</t>
  </si>
  <si>
    <t>speer</t>
  </si>
  <si>
    <t>farmer</t>
  </si>
  <si>
    <t>mo19909</t>
  </si>
  <si>
    <t>montana</t>
  </si>
  <si>
    <t>engineer's department</t>
  </si>
  <si>
    <t>city of butte.</t>
  </si>
  <si>
    <t>mo2718</t>
  </si>
  <si>
    <t>bassett</t>
  </si>
  <si>
    <t>montana school of mines</t>
  </si>
  <si>
    <t>mo42573</t>
  </si>
  <si>
    <t>mo43910</t>
  </si>
  <si>
    <t>stuewe</t>
  </si>
  <si>
    <t>pe14778</t>
  </si>
  <si>
    <t>pennstate</t>
  </si>
  <si>
    <t>fehl</t>
  </si>
  <si>
    <t>pe21347</t>
  </si>
  <si>
    <t>hildebrand</t>
  </si>
  <si>
    <t>rs10290</t>
  </si>
  <si>
    <t>rsm</t>
  </si>
  <si>
    <t>arsm</t>
  </si>
  <si>
    <t>ma</t>
  </si>
  <si>
    <t>cambridge</t>
  </si>
  <si>
    <t>trustee</t>
  </si>
  <si>
    <t>the australian museum</t>
  </si>
  <si>
    <t>rs10385</t>
  </si>
  <si>
    <t>love</t>
  </si>
  <si>
    <t>gilkison</t>
  </si>
  <si>
    <t>rs11178</t>
  </si>
  <si>
    <t>monteiro</t>
  </si>
  <si>
    <t>joachim</t>
  </si>
  <si>
    <t>royal school of mines</t>
  </si>
  <si>
    <t>rs1190</t>
  </si>
  <si>
    <t>cooke</t>
  </si>
  <si>
    <t>rs1251</t>
  </si>
  <si>
    <t>creswell</t>
  </si>
  <si>
    <t>assayer</t>
  </si>
  <si>
    <t>assayer the yuruaru co</t>
  </si>
  <si>
    <t>rs12766</t>
  </si>
  <si>
    <t>mimm</t>
  </si>
  <si>
    <t>fgs</t>
  </si>
  <si>
    <t>lecturer</t>
  </si>
  <si>
    <t>sydney</t>
  </si>
  <si>
    <t>rs13299</t>
  </si>
  <si>
    <t>tawerner</t>
  </si>
  <si>
    <t>rs14046</t>
  </si>
  <si>
    <t>arcs</t>
  </si>
  <si>
    <t>s neumann</t>
  </si>
  <si>
    <t>rs14231</t>
  </si>
  <si>
    <t>young</t>
  </si>
  <si>
    <t>edwin</t>
  </si>
  <si>
    <t>rs1559</t>
  </si>
  <si>
    <t>school</t>
  </si>
  <si>
    <t>st</t>
  </si>
  <si>
    <t>rs1778</t>
  </si>
  <si>
    <t>finch</t>
  </si>
  <si>
    <t>fred</t>
  </si>
  <si>
    <t>rs1866</t>
  </si>
  <si>
    <t>gilghrist</t>
  </si>
  <si>
    <t>carlyle</t>
  </si>
  <si>
    <t>3638556 tons</t>
  </si>
  <si>
    <t>rs2346</t>
  </si>
  <si>
    <t>harrison</t>
  </si>
  <si>
    <t>rs2696</t>
  </si>
  <si>
    <t>humpidge</t>
  </si>
  <si>
    <t>scholar</t>
  </si>
  <si>
    <t>rs2741</t>
  </si>
  <si>
    <t>iervis</t>
  </si>
  <si>
    <t>il</t>
  </si>
  <si>
    <t>cav</t>
  </si>
  <si>
    <t>master</t>
  </si>
  <si>
    <t>rs2927</t>
  </si>
  <si>
    <t>kitchener</t>
  </si>
  <si>
    <t>rs3070</t>
  </si>
  <si>
    <t>liversidge</t>
  </si>
  <si>
    <t>the sydney university</t>
  </si>
  <si>
    <t>rs3178</t>
  </si>
  <si>
    <t>mirza</t>
  </si>
  <si>
    <t>medhj</t>
  </si>
  <si>
    <t>khan</t>
  </si>
  <si>
    <t>author</t>
  </si>
  <si>
    <t>the nizarn</t>
  </si>
  <si>
    <t>rs3962</t>
  </si>
  <si>
    <t>riley</t>
  </si>
  <si>
    <t>other works</t>
  </si>
  <si>
    <t>rs4119</t>
  </si>
  <si>
    <t>saifeord</t>
  </si>
  <si>
    <t>rs4304</t>
  </si>
  <si>
    <t>simpson</t>
  </si>
  <si>
    <t>matthew</t>
  </si>
  <si>
    <t>died</t>
  </si>
  <si>
    <t>rs432</t>
  </si>
  <si>
    <t>becher</t>
  </si>
  <si>
    <t>pahang</t>
  </si>
  <si>
    <t>rs4334</t>
  </si>
  <si>
    <t>smeeth</t>
  </si>
  <si>
    <t>rs4387</t>
  </si>
  <si>
    <t>spiller</t>
  </si>
  <si>
    <t>rs4472</t>
  </si>
  <si>
    <t>streatfeild</t>
  </si>
  <si>
    <t>hugh</t>
  </si>
  <si>
    <t>rs4530</t>
  </si>
  <si>
    <t>swinburne</t>
  </si>
  <si>
    <t>umfreville</t>
  </si>
  <si>
    <t>rs5936</t>
  </si>
  <si>
    <t>mgmi</t>
  </si>
  <si>
    <t>rs6089</t>
  </si>
  <si>
    <t>beringer</t>
  </si>
  <si>
    <t>the camborne school mine</t>
  </si>
  <si>
    <t>rs6200</t>
  </si>
  <si>
    <t>gregory</t>
  </si>
  <si>
    <t>rs6692</t>
  </si>
  <si>
    <t>aimm</t>
  </si>
  <si>
    <t>jan 1920 dept</t>
  </si>
  <si>
    <t>rs6968</t>
  </si>
  <si>
    <t>forbes</t>
  </si>
  <si>
    <t>medallist</t>
  </si>
  <si>
    <t>rs7419</t>
  </si>
  <si>
    <t>manager moss rose mine</t>
  </si>
  <si>
    <t>rs81</t>
  </si>
  <si>
    <t>adie</t>
  </si>
  <si>
    <t>haliburton</t>
  </si>
  <si>
    <t>rs8174</t>
  </si>
  <si>
    <t>la</t>
  </si>
  <si>
    <t>surveyor</t>
  </si>
  <si>
    <t>11 pahang consolidated co ltd</t>
  </si>
  <si>
    <t>rs8299</t>
  </si>
  <si>
    <t>garrido</t>
  </si>
  <si>
    <t>1914 assistant demonstrator in mine</t>
  </si>
  <si>
    <t>rs8761</t>
  </si>
  <si>
    <t>griffiths</t>
  </si>
  <si>
    <t>andre</t>
  </si>
  <si>
    <t>pierre</t>
  </si>
  <si>
    <t>99 manager oaheawai quicksilver mine</t>
  </si>
  <si>
    <t>st13192</t>
  </si>
  <si>
    <t>stanford</t>
  </si>
  <si>
    <t>dunbtan</t>
  </si>
  <si>
    <t>teacher</t>
  </si>
  <si>
    <t>st18537</t>
  </si>
  <si>
    <t>gregg</t>
  </si>
  <si>
    <t>stanford university</t>
  </si>
  <si>
    <t>st19836</t>
  </si>
  <si>
    <t>harrelson</t>
  </si>
  <si>
    <t>st21982</t>
  </si>
  <si>
    <t>hollistkr</t>
  </si>
  <si>
    <t>st2450</t>
  </si>
  <si>
    <t>barnhisel</t>
  </si>
  <si>
    <t>st27083</t>
  </si>
  <si>
    <t>lesley</t>
  </si>
  <si>
    <t>st28944</t>
  </si>
  <si>
    <t>mailer</t>
  </si>
  <si>
    <t>st37171</t>
  </si>
  <si>
    <t>rdddell</t>
  </si>
  <si>
    <t>st43764</t>
  </si>
  <si>
    <t>stratton</t>
  </si>
  <si>
    <t>roadmaster</t>
  </si>
  <si>
    <t>southern pacific company.</t>
  </si>
  <si>
    <t>st44348</t>
  </si>
  <si>
    <t>st47692</t>
  </si>
  <si>
    <t>wbioht</t>
  </si>
  <si>
    <t>st49037</t>
  </si>
  <si>
    <t>wigle</t>
  </si>
  <si>
    <t>st49880</t>
  </si>
  <si>
    <t>wood</t>
  </si>
  <si>
    <t>st50564</t>
  </si>
  <si>
    <t>st50663</t>
  </si>
  <si>
    <t>zion</t>
  </si>
  <si>
    <t>st9890</t>
  </si>
  <si>
    <t>cory</t>
  </si>
  <si>
    <t>ua25301</t>
  </si>
  <si>
    <t>uariz</t>
  </si>
  <si>
    <t>kilgore</t>
  </si>
  <si>
    <t>ua25303</t>
  </si>
  <si>
    <t>kilgour</t>
  </si>
  <si>
    <t>wo10390</t>
  </si>
  <si>
    <t>worcester</t>
  </si>
  <si>
    <t>crooker</t>
  </si>
  <si>
    <t>wo13011</t>
  </si>
  <si>
    <t>drury</t>
  </si>
  <si>
    <t>wo13210</t>
  </si>
  <si>
    <t>duncan</t>
  </si>
  <si>
    <t>wo13552</t>
  </si>
  <si>
    <t>eaton</t>
  </si>
  <si>
    <t>wo13567</t>
  </si>
  <si>
    <t>wo1771</t>
  </si>
  <si>
    <t>bagdigian</t>
  </si>
  <si>
    <t>wo17954</t>
  </si>
  <si>
    <t>wo19272</t>
  </si>
  <si>
    <t>wo19938</t>
  </si>
  <si>
    <t>wo20552</t>
  </si>
  <si>
    <t>hayes</t>
  </si>
  <si>
    <t>wo22419</t>
  </si>
  <si>
    <t>hossack</t>
  </si>
  <si>
    <t>wo22639</t>
  </si>
  <si>
    <t>wo23737</t>
  </si>
  <si>
    <t>jacobs</t>
  </si>
  <si>
    <t>wo23817</t>
  </si>
  <si>
    <t>jamieson</t>
  </si>
  <si>
    <t>wo24361</t>
  </si>
  <si>
    <t>wo26994</t>
  </si>
  <si>
    <t>leland</t>
  </si>
  <si>
    <t>wo27882</t>
  </si>
  <si>
    <t>loomis</t>
  </si>
  <si>
    <t>wo28373</t>
  </si>
  <si>
    <t>lyman</t>
  </si>
  <si>
    <t>wo28727</t>
  </si>
  <si>
    <t>macnamara</t>
  </si>
  <si>
    <t>wo32820</t>
  </si>
  <si>
    <t>nelson</t>
  </si>
  <si>
    <t>wo34198</t>
  </si>
  <si>
    <t>paelian</t>
  </si>
  <si>
    <t>wo35300</t>
  </si>
  <si>
    <t>perry</t>
  </si>
  <si>
    <t>wo35627</t>
  </si>
  <si>
    <t>pickwick</t>
  </si>
  <si>
    <t>wo39021</t>
  </si>
  <si>
    <t>rowell</t>
  </si>
  <si>
    <t>wo40791</t>
  </si>
  <si>
    <t>shaw</t>
  </si>
  <si>
    <t>brackley</t>
  </si>
  <si>
    <t>wo41805</t>
  </si>
  <si>
    <t>wo42702</t>
  </si>
  <si>
    <t>sprague</t>
  </si>
  <si>
    <t>wo42712</t>
  </si>
  <si>
    <t>wo42912</t>
  </si>
  <si>
    <t>starbird</t>
  </si>
  <si>
    <t>wo44732</t>
  </si>
  <si>
    <t>tenney</t>
  </si>
  <si>
    <t>wo46341</t>
  </si>
  <si>
    <t>vail</t>
  </si>
  <si>
    <t>wo4703</t>
  </si>
  <si>
    <t>bowman</t>
  </si>
  <si>
    <t>wo47518</t>
  </si>
  <si>
    <t>washburn</t>
  </si>
  <si>
    <t>wo49047</t>
  </si>
  <si>
    <t>wilber</t>
  </si>
  <si>
    <t>wo49704</t>
  </si>
  <si>
    <t>winslow</t>
  </si>
  <si>
    <t>wo49826</t>
  </si>
  <si>
    <t>wolcott</t>
  </si>
  <si>
    <t>wo50260</t>
  </si>
  <si>
    <t>wrede</t>
  </si>
  <si>
    <t>wo5573</t>
  </si>
  <si>
    <t>wo6431</t>
  </si>
  <si>
    <t>burpee</t>
  </si>
  <si>
    <t>wo7974</t>
  </si>
  <si>
    <t>chapman</t>
  </si>
  <si>
    <t>wo8154</t>
  </si>
  <si>
    <t>wo8227</t>
  </si>
  <si>
    <t>childs</t>
  </si>
  <si>
    <t>wo8585</t>
  </si>
  <si>
    <t>wv14372</t>
  </si>
  <si>
    <t>wvu</t>
  </si>
  <si>
    <t>everstine</t>
  </si>
  <si>
    <t>wv16826</t>
  </si>
  <si>
    <t>gardner</t>
  </si>
  <si>
    <t>lester</t>
  </si>
  <si>
    <t>wv18130</t>
  </si>
  <si>
    <t>wv28420</t>
  </si>
  <si>
    <t>lynch</t>
  </si>
  <si>
    <t>wv40565</t>
  </si>
  <si>
    <t>selby</t>
  </si>
  <si>
    <t>wv42688</t>
  </si>
  <si>
    <t>spragg</t>
  </si>
  <si>
    <t>wv43405</t>
  </si>
  <si>
    <t>stickler</t>
  </si>
  <si>
    <t>wv43923</t>
  </si>
  <si>
    <t>stump</t>
  </si>
  <si>
    <t>wv46327</t>
  </si>
  <si>
    <t>utt</t>
  </si>
  <si>
    <t>wv49293</t>
  </si>
  <si>
    <t>williams</t>
  </si>
  <si>
    <t>simpname</t>
  </si>
  <si>
    <t>nationality</t>
  </si>
  <si>
    <t>edu</t>
  </si>
  <si>
    <t>tai83</t>
  </si>
  <si>
    <t>new york city</t>
  </si>
  <si>
    <t>tai86</t>
  </si>
  <si>
    <t>easton pa</t>
  </si>
  <si>
    <t>tai137</t>
  </si>
  <si>
    <t>tai152</t>
  </si>
  <si>
    <t>fountain mill</t>
  </si>
  <si>
    <t>westmoreland co pa</t>
  </si>
  <si>
    <t>tai201</t>
  </si>
  <si>
    <t>dauphin co pa</t>
  </si>
  <si>
    <t>tai251</t>
  </si>
  <si>
    <t>brooklyn n y</t>
  </si>
  <si>
    <t>tai287</t>
  </si>
  <si>
    <t>new haven conn</t>
  </si>
  <si>
    <t>tai301</t>
  </si>
  <si>
    <t>u.s. navy</t>
  </si>
  <si>
    <t>washington d.c.</t>
  </si>
  <si>
    <t>tai307</t>
  </si>
  <si>
    <t>montgomery co pa</t>
  </si>
  <si>
    <t>tai336</t>
  </si>
  <si>
    <t>san francisco cal</t>
  </si>
  <si>
    <t>tai367</t>
  </si>
  <si>
    <t>troy n y</t>
  </si>
  <si>
    <t>tai374</t>
  </si>
  <si>
    <t>paris france</t>
  </si>
  <si>
    <t>tai430</t>
  </si>
  <si>
    <t>canal dover ohio</t>
  </si>
  <si>
    <t>tai457</t>
  </si>
  <si>
    <t>care wm. ford</t>
  </si>
  <si>
    <t>tai462</t>
  </si>
  <si>
    <t>care union iron works</t>
  </si>
  <si>
    <t>tai547</t>
  </si>
  <si>
    <t>charleston s. c.</t>
  </si>
  <si>
    <t>tai593</t>
  </si>
  <si>
    <t>tai665</t>
  </si>
  <si>
    <t>quebec canada.</t>
  </si>
  <si>
    <t>tai699</t>
  </si>
  <si>
    <t>hokendauqua pa</t>
  </si>
  <si>
    <t>tai813</t>
  </si>
  <si>
    <t>philadelphia pa</t>
  </si>
  <si>
    <t>tai973</t>
  </si>
  <si>
    <t>streator ill</t>
  </si>
  <si>
    <t>tai984</t>
  </si>
  <si>
    <t>cambridge mass</t>
  </si>
  <si>
    <t>tai1030</t>
  </si>
  <si>
    <t>tai1093</t>
  </si>
  <si>
    <t>chateauneuf de mazenc dr me</t>
  </si>
  <si>
    <t>tai1220</t>
  </si>
  <si>
    <t>tai1287</t>
  </si>
  <si>
    <t>eliza furnaces</t>
  </si>
  <si>
    <t>tai1307</t>
  </si>
  <si>
    <t>youngstown ohio</t>
  </si>
  <si>
    <t>tai1354</t>
  </si>
  <si>
    <t>tai1376</t>
  </si>
  <si>
    <t>riddlesburg pa</t>
  </si>
  <si>
    <t>tai1469</t>
  </si>
  <si>
    <t>orinoco exploring and mining co.</t>
  </si>
  <si>
    <t>walnut st philada</t>
  </si>
  <si>
    <t>tai1494</t>
  </si>
  <si>
    <t>nelsonville ohio</t>
  </si>
  <si>
    <t>tai1529</t>
  </si>
  <si>
    <t>tai1559</t>
  </si>
  <si>
    <t>cincinnati ohio</t>
  </si>
  <si>
    <t>tai1570</t>
  </si>
  <si>
    <t>tai1578</t>
  </si>
  <si>
    <t>twenty mile stand ohio</t>
  </si>
  <si>
    <t>tai1596</t>
  </si>
  <si>
    <t>columbia school of mines</t>
  </si>
  <si>
    <t>tai1671</t>
  </si>
  <si>
    <t>care a. w. thompson</t>
  </si>
  <si>
    <t>tai1696</t>
  </si>
  <si>
    <t>alleghany co va</t>
  </si>
  <si>
    <t>tai1810</t>
  </si>
  <si>
    <t>cleveland ohio</t>
  </si>
  <si>
    <t>tai1813</t>
  </si>
  <si>
    <t>tai1841</t>
  </si>
  <si>
    <t>port henry n y</t>
  </si>
  <si>
    <t>tai1865</t>
  </si>
  <si>
    <t>tai1897</t>
  </si>
  <si>
    <t>english</t>
  </si>
  <si>
    <t>dalton in furness england</t>
  </si>
  <si>
    <t>tai1914</t>
  </si>
  <si>
    <t>midvale steel works</t>
  </si>
  <si>
    <t>nicetown philadelphia</t>
  </si>
  <si>
    <t>tai1921</t>
  </si>
  <si>
    <t>cambridgeport mass</t>
  </si>
  <si>
    <t>tai1992</t>
  </si>
  <si>
    <t>alto pass Ill</t>
  </si>
  <si>
    <t>tai2007</t>
  </si>
  <si>
    <t>greenfield mass</t>
  </si>
  <si>
    <t>tai2013</t>
  </si>
  <si>
    <t>eg shakspere new mexico</t>
  </si>
  <si>
    <t>tai2023</t>
  </si>
  <si>
    <t>tai2073</t>
  </si>
  <si>
    <t>titusville pa</t>
  </si>
  <si>
    <t>tai2125</t>
  </si>
  <si>
    <t>occidental hotel</t>
  </si>
  <si>
    <t>tai2141</t>
  </si>
  <si>
    <t>russian</t>
  </si>
  <si>
    <t>st petersburg russia</t>
  </si>
  <si>
    <t>tai2168</t>
  </si>
  <si>
    <t>atlanta ga</t>
  </si>
  <si>
    <t>tai2228</t>
  </si>
  <si>
    <t>aurora ill</t>
  </si>
  <si>
    <t>tai2287</t>
  </si>
  <si>
    <t>anniston alabama</t>
  </si>
  <si>
    <t>tai2336</t>
  </si>
  <si>
    <t>cambria steel co</t>
  </si>
  <si>
    <t>johnstown pa</t>
  </si>
  <si>
    <t>tai2424</t>
  </si>
  <si>
    <t>secaucus n j</t>
  </si>
  <si>
    <t>tai2458</t>
  </si>
  <si>
    <t>santa f new mexico</t>
  </si>
  <si>
    <t>tai2483</t>
  </si>
  <si>
    <t>pottsville pa</t>
  </si>
  <si>
    <t>tai2484</t>
  </si>
  <si>
    <t>liege belgium</t>
  </si>
  <si>
    <t>tai2489</t>
  </si>
  <si>
    <t>tai2499</t>
  </si>
  <si>
    <t>manhattanville n y</t>
  </si>
  <si>
    <t>tai2501</t>
  </si>
  <si>
    <t>eureka nevada</t>
  </si>
  <si>
    <t>tai2552</t>
  </si>
  <si>
    <t>gautier steel co.</t>
  </si>
  <si>
    <t>tai2587</t>
  </si>
  <si>
    <t>ore knob n c</t>
  </si>
  <si>
    <t>tai2640</t>
  </si>
  <si>
    <t>crown point n y</t>
  </si>
  <si>
    <t>tai2660</t>
  </si>
  <si>
    <t>tai2673</t>
  </si>
  <si>
    <t>tai2682</t>
  </si>
  <si>
    <t>tai2699</t>
  </si>
  <si>
    <t>tai2815</t>
  </si>
  <si>
    <t>drifton pa</t>
  </si>
  <si>
    <t>tai2820</t>
  </si>
  <si>
    <t>montezuma colorado</t>
  </si>
  <si>
    <t>tai2822</t>
  </si>
  <si>
    <t>tucson arizona</t>
  </si>
  <si>
    <t>tai2842</t>
  </si>
  <si>
    <t>tai2950</t>
  </si>
  <si>
    <t>ashland md</t>
  </si>
  <si>
    <t>tai2983</t>
  </si>
  <si>
    <t>charleston arizona</t>
  </si>
  <si>
    <t>tai2999</t>
  </si>
  <si>
    <t>phoenixville pa</t>
  </si>
  <si>
    <t>tai3024</t>
  </si>
  <si>
    <t>sharpsburg pa</t>
  </si>
  <si>
    <t>tai3033</t>
  </si>
  <si>
    <t>montclair nj</t>
  </si>
  <si>
    <t>tai3047</t>
  </si>
  <si>
    <t>tin cup colorado</t>
  </si>
  <si>
    <t>tai3055</t>
  </si>
  <si>
    <t>tai3111</t>
  </si>
  <si>
    <t>tai3241</t>
  </si>
  <si>
    <t>batopilas chihuahua</t>
  </si>
  <si>
    <t>tai3299</t>
  </si>
  <si>
    <t>tai3411</t>
  </si>
  <si>
    <t>boston mass</t>
  </si>
  <si>
    <t>tai3420</t>
  </si>
  <si>
    <t>tai3499</t>
  </si>
  <si>
    <t>stockholm sweden</t>
  </si>
  <si>
    <t>tai3578</t>
  </si>
  <si>
    <t>bonne terre mo</t>
  </si>
  <si>
    <t>tai3628</t>
  </si>
  <si>
    <t>ophir colorado</t>
  </si>
  <si>
    <t>tai3652</t>
  </si>
  <si>
    <t>mineville n y</t>
  </si>
  <si>
    <t>tai3661</t>
  </si>
  <si>
    <t>catasauqua pa</t>
  </si>
  <si>
    <t>tai3669</t>
  </si>
  <si>
    <t>bergen point n j</t>
  </si>
  <si>
    <t>tai3687</t>
  </si>
  <si>
    <t>tai3703</t>
  </si>
  <si>
    <t>granite basin cal</t>
  </si>
  <si>
    <t>tai3782</t>
  </si>
  <si>
    <t>tai3786</t>
  </si>
  <si>
    <t>strasburg germany</t>
  </si>
  <si>
    <t>tai3855</t>
  </si>
  <si>
    <t>tai3862</t>
  </si>
  <si>
    <t>rapid city dakotah</t>
  </si>
  <si>
    <t>tai3926</t>
  </si>
  <si>
    <t>st albans vt</t>
  </si>
  <si>
    <t>tai3962</t>
  </si>
  <si>
    <t>tai3993</t>
  </si>
  <si>
    <t>tai4020</t>
  </si>
  <si>
    <t>boston lincolnshire</t>
  </si>
  <si>
    <t>tai4051</t>
  </si>
  <si>
    <t>falmouth england</t>
  </si>
  <si>
    <t>tai4124</t>
  </si>
  <si>
    <t>tai4212</t>
  </si>
  <si>
    <t>tai4284</t>
  </si>
  <si>
    <t>springfield iron co.</t>
  </si>
  <si>
    <t>springfield ill</t>
  </si>
  <si>
    <t>tai4292</t>
  </si>
  <si>
    <t>tai4341</t>
  </si>
  <si>
    <t>wassaic n y</t>
  </si>
  <si>
    <t>tai4396</t>
  </si>
  <si>
    <t>tai4397</t>
  </si>
  <si>
    <t>tai4416</t>
  </si>
  <si>
    <t>tai4427</t>
  </si>
  <si>
    <t>calumet michigan</t>
  </si>
  <si>
    <t>tai4433</t>
  </si>
  <si>
    <t>el paso texas.</t>
  </si>
  <si>
    <t>tai4439</t>
  </si>
  <si>
    <t>staunton va</t>
  </si>
  <si>
    <t>tai4521</t>
  </si>
  <si>
    <t>tai4669</t>
  </si>
  <si>
    <t>jersey city n j</t>
  </si>
  <si>
    <t>tai4687</t>
  </si>
  <si>
    <t>tai4691</t>
  </si>
  <si>
    <t>la salle ill</t>
  </si>
  <si>
    <t>tai4711</t>
  </si>
  <si>
    <t>keams cafion arizona</t>
  </si>
  <si>
    <t>tai4713</t>
  </si>
  <si>
    <t>st louis mo</t>
  </si>
  <si>
    <t>tai4722</t>
  </si>
  <si>
    <t>hazleton pa</t>
  </si>
  <si>
    <t>tai4746</t>
  </si>
  <si>
    <t>worcester mass</t>
  </si>
  <si>
    <t>tai4770</t>
  </si>
  <si>
    <t>golden colorado</t>
  </si>
  <si>
    <t>tai4775</t>
  </si>
  <si>
    <t>tai4804</t>
  </si>
  <si>
    <t>tai4841</t>
  </si>
  <si>
    <t>lebanon pa</t>
  </si>
  <si>
    <t>tai4850</t>
  </si>
  <si>
    <t>bloomfield n j</t>
  </si>
  <si>
    <t>tai4874</t>
  </si>
  <si>
    <t>ashland pa</t>
  </si>
  <si>
    <t>tai4898</t>
  </si>
  <si>
    <t>cheever n y</t>
  </si>
  <si>
    <t>tai4900</t>
  </si>
  <si>
    <t>waterford n y</t>
  </si>
  <si>
    <t>tai4920</t>
  </si>
  <si>
    <t>central city colorado</t>
  </si>
  <si>
    <t>tai4946</t>
  </si>
  <si>
    <t>blossburg pa</t>
  </si>
  <si>
    <t>tai5008</t>
  </si>
  <si>
    <t>tai5023</t>
  </si>
  <si>
    <t>silverton colo</t>
  </si>
  <si>
    <t>tai5219</t>
  </si>
  <si>
    <t>cheyenne wyoming</t>
  </si>
  <si>
    <t>tai5253</t>
  </si>
  <si>
    <t>tai5318</t>
  </si>
  <si>
    <t>maryville mo</t>
  </si>
  <si>
    <t>tai5336</t>
  </si>
  <si>
    <t>metcalf paul co.</t>
  </si>
  <si>
    <t>tai5386</t>
  </si>
  <si>
    <t>tai5430</t>
  </si>
  <si>
    <t>south pittsburgh tenn</t>
  </si>
  <si>
    <t>tai5531</t>
  </si>
  <si>
    <t>tai5535</t>
  </si>
  <si>
    <t>tai5547</t>
  </si>
  <si>
    <t>tai5564</t>
  </si>
  <si>
    <t>champaigne ill</t>
  </si>
  <si>
    <t>tai5577</t>
  </si>
  <si>
    <t>tai5611</t>
  </si>
  <si>
    <t>tai5647</t>
  </si>
  <si>
    <t>old broad st london</t>
  </si>
  <si>
    <t>tai5717</t>
  </si>
  <si>
    <t>tai5750</t>
  </si>
  <si>
    <t>edgar thomson steel co.</t>
  </si>
  <si>
    <t>tai5758</t>
  </si>
  <si>
    <t>tai5821</t>
  </si>
  <si>
    <t>tai5885</t>
  </si>
  <si>
    <t>tai5960</t>
  </si>
  <si>
    <t>tai5970</t>
  </si>
  <si>
    <t>tai6258</t>
  </si>
  <si>
    <t>tai6460</t>
  </si>
  <si>
    <t>seacaucus iron co.</t>
  </si>
  <si>
    <t>seacancus n j</t>
  </si>
  <si>
    <t>tai6541</t>
  </si>
  <si>
    <t>tai6558</t>
  </si>
  <si>
    <t>marietta ohio</t>
  </si>
  <si>
    <t>tai6576</t>
  </si>
  <si>
    <t>scranton pa</t>
  </si>
  <si>
    <t>tai6589</t>
  </si>
  <si>
    <t>south pueblo colorado</t>
  </si>
  <si>
    <t>tai6600</t>
  </si>
  <si>
    <t>stevens institute of technology</t>
  </si>
  <si>
    <t>hoboken n j</t>
  </si>
  <si>
    <t>tai6623</t>
  </si>
  <si>
    <t>tai6650</t>
  </si>
  <si>
    <t>concord n c</t>
  </si>
  <si>
    <t>tai6665</t>
  </si>
  <si>
    <t>edge hill furnace pa</t>
  </si>
  <si>
    <t>tai6704</t>
  </si>
  <si>
    <t>butte city montana</t>
  </si>
  <si>
    <t>tai6708</t>
  </si>
  <si>
    <t>macurgie lehigh co pa</t>
  </si>
  <si>
    <t>tai6709</t>
  </si>
  <si>
    <t>tai6726</t>
  </si>
  <si>
    <t>tai6745</t>
  </si>
  <si>
    <t>tai6785</t>
  </si>
  <si>
    <t>denver colorado</t>
  </si>
  <si>
    <t>tai6828</t>
  </si>
  <si>
    <t>south chicago ill</t>
  </si>
  <si>
    <t>tai6904</t>
  </si>
  <si>
    <t>tai7133</t>
  </si>
  <si>
    <t>pachuca mexico</t>
  </si>
  <si>
    <t>tai7149</t>
  </si>
  <si>
    <t>metallurgist</t>
  </si>
  <si>
    <t>crofton b.c. canada</t>
  </si>
  <si>
    <t>tai7164</t>
  </si>
  <si>
    <t>tai7295</t>
  </si>
  <si>
    <t>penrose tam oshanter and the new rok mines ltd</t>
  </si>
  <si>
    <t>aspen colo</t>
  </si>
  <si>
    <t>tai7305</t>
  </si>
  <si>
    <t>tai7309</t>
  </si>
  <si>
    <t>tai7399</t>
  </si>
  <si>
    <t>banker</t>
  </si>
  <si>
    <t>e. w. clark &amp; co</t>
  </si>
  <si>
    <t>tai7518</t>
  </si>
  <si>
    <t>berwind-white coal min. co</t>
  </si>
  <si>
    <t>punxsutawney pa</t>
  </si>
  <si>
    <t>tai7578</t>
  </si>
  <si>
    <t>mining engineer</t>
  </si>
  <si>
    <t>ledoux &amp; co</t>
  </si>
  <si>
    <t>ny city</t>
  </si>
  <si>
    <t>tai7637</t>
  </si>
  <si>
    <t>boston &amp; montana cons. cop. &amp; silver mining co</t>
  </si>
  <si>
    <t>philipsburg mont</t>
  </si>
  <si>
    <t>tai7746</t>
  </si>
  <si>
    <t>chattanooga tenn</t>
  </si>
  <si>
    <t>tai7800</t>
  </si>
  <si>
    <t>golden canada.</t>
  </si>
  <si>
    <t>tai7979</t>
  </si>
  <si>
    <t>chief engineer</t>
  </si>
  <si>
    <t>matthiessen &amp; hegeler zinc co</t>
  </si>
  <si>
    <t>tai7987</t>
  </si>
  <si>
    <t>kingsbridge ny</t>
  </si>
  <si>
    <t>tai8074</t>
  </si>
  <si>
    <t>compania beneficiador del concheno</t>
  </si>
  <si>
    <t>zacatecas mexico</t>
  </si>
  <si>
    <t>tai8098</t>
  </si>
  <si>
    <t>dayton tenn</t>
  </si>
  <si>
    <t>tai8175</t>
  </si>
  <si>
    <t>mut. nat. bank of troy,</t>
  </si>
  <si>
    <t>tai8198</t>
  </si>
  <si>
    <t>salt lake city utah</t>
  </si>
  <si>
    <t>tai8295</t>
  </si>
  <si>
    <t>pottstown pa</t>
  </si>
  <si>
    <t>tai8327</t>
  </si>
  <si>
    <t>operator</t>
  </si>
  <si>
    <t>mechanicsburg pa</t>
  </si>
  <si>
    <t>tai8475</t>
  </si>
  <si>
    <t>kansas city mo</t>
  </si>
  <si>
    <t>tai8479</t>
  </si>
  <si>
    <t>denver colo</t>
  </si>
  <si>
    <t>tai8515</t>
  </si>
  <si>
    <t>consulting engineer</t>
  </si>
  <si>
    <t>tai8527</t>
  </si>
  <si>
    <t>little rock ark</t>
  </si>
  <si>
    <t>tai8531</t>
  </si>
  <si>
    <t>sulphide corp. co of london &amp; australia</t>
  </si>
  <si>
    <t>tai8548</t>
  </si>
  <si>
    <t>tai8575</t>
  </si>
  <si>
    <t>presidio m. co</t>
  </si>
  <si>
    <t>presidio co texas</t>
  </si>
  <si>
    <t>tai8581</t>
  </si>
  <si>
    <t>civil engineer</t>
  </si>
  <si>
    <t>melbourne australia</t>
  </si>
  <si>
    <t>tai8722</t>
  </si>
  <si>
    <t>tai8850</t>
  </si>
  <si>
    <t>compania del boleo</t>
  </si>
  <si>
    <t>tai8885</t>
  </si>
  <si>
    <t>tai8942</t>
  </si>
  <si>
    <t>great falls mont</t>
  </si>
  <si>
    <t>tai8979</t>
  </si>
  <si>
    <t>asarco</t>
  </si>
  <si>
    <t>smelter mont</t>
  </si>
  <si>
    <t>tai8983</t>
  </si>
  <si>
    <t>l. s. &amp; m.s. ry.</t>
  </si>
  <si>
    <t>milwaukee wis</t>
  </si>
  <si>
    <t>tai9151</t>
  </si>
  <si>
    <t>gulf creek ltd.</t>
  </si>
  <si>
    <t>adelaide australia</t>
  </si>
  <si>
    <t>tai9165</t>
  </si>
  <si>
    <t>uehling steinbart mfg. co</t>
  </si>
  <si>
    <t>passaic nj</t>
  </si>
  <si>
    <t>tai9179</t>
  </si>
  <si>
    <t>tai9250</t>
  </si>
  <si>
    <t>london england</t>
  </si>
  <si>
    <t>tai9278</t>
  </si>
  <si>
    <t>new jersey zinc co</t>
  </si>
  <si>
    <t>franklin furnace n j</t>
  </si>
  <si>
    <t>tai9324</t>
  </si>
  <si>
    <t>butte montana</t>
  </si>
  <si>
    <t>tai9422</t>
  </si>
  <si>
    <t>sheffield england</t>
  </si>
  <si>
    <t>tai9475</t>
  </si>
  <si>
    <t>bloomington ind</t>
  </si>
  <si>
    <t>tai9491</t>
  </si>
  <si>
    <t>tai9553</t>
  </si>
  <si>
    <t>cooljfardie w australia</t>
  </si>
  <si>
    <t>tai9576</t>
  </si>
  <si>
    <t>south bethlehem pa</t>
  </si>
  <si>
    <t>tai9659</t>
  </si>
  <si>
    <t>broken hill new south wales</t>
  </si>
  <si>
    <t>tai9714</t>
  </si>
  <si>
    <t>hayange lorraine</t>
  </si>
  <si>
    <t>tai9723</t>
  </si>
  <si>
    <t>tai9817</t>
  </si>
  <si>
    <t>wheeling steel and iron co</t>
  </si>
  <si>
    <t>wheeling west va</t>
  </si>
  <si>
    <t>tai9847</t>
  </si>
  <si>
    <t>pres. mcalester coal co</t>
  </si>
  <si>
    <t>tai9859</t>
  </si>
  <si>
    <t>reliance steel] casting co</t>
  </si>
  <si>
    <t>tai9864</t>
  </si>
  <si>
    <t>cripple creek colo</t>
  </si>
  <si>
    <t>tai9890</t>
  </si>
  <si>
    <t>risdon iron works</t>
  </si>
  <si>
    <t>tai9896</t>
  </si>
  <si>
    <t>royal colonial inst.</t>
  </si>
  <si>
    <t>tai9898</t>
  </si>
  <si>
    <t>tai9944</t>
  </si>
  <si>
    <t>tai9982</t>
  </si>
  <si>
    <t>pinole cal</t>
  </si>
  <si>
    <t>tai9985</t>
  </si>
  <si>
    <t>johannesburg south africa</t>
  </si>
  <si>
    <t>tai9987</t>
  </si>
  <si>
    <t>care wm. s. bates</t>
  </si>
  <si>
    <t>tai10115</t>
  </si>
  <si>
    <t>nye tonopah nevada.</t>
  </si>
  <si>
    <t>tai10145</t>
  </si>
  <si>
    <t>oorgaum india</t>
  </si>
  <si>
    <t>tai10259</t>
  </si>
  <si>
    <t>tai10276</t>
  </si>
  <si>
    <t>gold belt mining co</t>
  </si>
  <si>
    <t>marysville mont</t>
  </si>
  <si>
    <t>tai10279</t>
  </si>
  <si>
    <t>blocton alabama</t>
  </si>
  <si>
    <t>tai10367</t>
  </si>
  <si>
    <t>fraser &amp; chalmers</t>
  </si>
  <si>
    <t>tai10368</t>
  </si>
  <si>
    <t>roane iron co</t>
  </si>
  <si>
    <t>tai10402</t>
  </si>
  <si>
    <t>american club</t>
  </si>
  <si>
    <t>mexico city</t>
  </si>
  <si>
    <t>tai10410</t>
  </si>
  <si>
    <t>instructor</t>
  </si>
  <si>
    <t>minn. school of mines</t>
  </si>
  <si>
    <t>minneapolis minnesota</t>
  </si>
  <si>
    <t>tai10517</t>
  </si>
  <si>
    <t>craig city va</t>
  </si>
  <si>
    <t>tai10521</t>
  </si>
  <si>
    <t>monticello</t>
  </si>
  <si>
    <t>helena mont</t>
  </si>
  <si>
    <t>tai10540</t>
  </si>
  <si>
    <t>tai10620</t>
  </si>
  <si>
    <t>tai10660</t>
  </si>
  <si>
    <t>tai10685</t>
  </si>
  <si>
    <t>illinois steel co</t>
  </si>
  <si>
    <t>tai10761</t>
  </si>
  <si>
    <t>tai10796</t>
  </si>
  <si>
    <t>bunker hill and sullivan m. and concent. co</t>
  </si>
  <si>
    <t>amador city cal.</t>
  </si>
  <si>
    <t>tai10833</t>
  </si>
  <si>
    <t>tai10938</t>
  </si>
  <si>
    <t>berkeley cal</t>
  </si>
  <si>
    <t>tai10967</t>
  </si>
  <si>
    <t>hidalgo mexico</t>
  </si>
  <si>
    <t>tai11088</t>
  </si>
  <si>
    <t>el oro m. &amp; ry. co</t>
  </si>
  <si>
    <t>el oro mexico</t>
  </si>
  <si>
    <t>tai11091</t>
  </si>
  <si>
    <t>michigamme mich</t>
  </si>
  <si>
    <t>tai11139</t>
  </si>
  <si>
    <t>tai11167</t>
  </si>
  <si>
    <t>u. s. steel corp.</t>
  </si>
  <si>
    <t>tai11195</t>
  </si>
  <si>
    <t>colorado springs colo</t>
  </si>
  <si>
    <t>tai11221</t>
  </si>
  <si>
    <t>congress cons. m. co</t>
  </si>
  <si>
    <t>congress ariz</t>
  </si>
  <si>
    <t>tai11226</t>
  </si>
  <si>
    <t>osceola mills pa</t>
  </si>
  <si>
    <t>tai11234</t>
  </si>
  <si>
    <t>gorham coal co sherman m. &amp; millg.</t>
  </si>
  <si>
    <t>tai11270</t>
  </si>
  <si>
    <t>anaconda copper m. co</t>
  </si>
  <si>
    <t>tai11332</t>
  </si>
  <si>
    <t>lake superior power co</t>
  </si>
  <si>
    <t>saul ste marie ontario</t>
  </si>
  <si>
    <t>tai11494</t>
  </si>
  <si>
    <t>tai11502</t>
  </si>
  <si>
    <t>agent</t>
  </si>
  <si>
    <t>pennsylvania steel co</t>
  </si>
  <si>
    <t>tai11574</t>
  </si>
  <si>
    <t>duluth minn</t>
  </si>
  <si>
    <t>tai11686</t>
  </si>
  <si>
    <t>dover n j</t>
  </si>
  <si>
    <t>tai11690</t>
  </si>
  <si>
    <t>albuquerque new mexico</t>
  </si>
  <si>
    <t>tai11770</t>
  </si>
  <si>
    <t>hibira copper mine</t>
  </si>
  <si>
    <t>hyuga japan</t>
  </si>
  <si>
    <t>tai11775</t>
  </si>
  <si>
    <t>mount brehoff m. co</t>
  </si>
  <si>
    <t>launceston tasmania</t>
  </si>
  <si>
    <t>tai11863</t>
  </si>
  <si>
    <t>monterrey nl</t>
  </si>
  <si>
    <t>tai11898</t>
  </si>
  <si>
    <t>walker company</t>
  </si>
  <si>
    <t>tai12088</t>
  </si>
  <si>
    <t>mexican coal and coke co</t>
  </si>
  <si>
    <t>las esperanzas coahuila</t>
  </si>
  <si>
    <t>tai12121</t>
  </si>
  <si>
    <t>care dupp syndicate</t>
  </si>
  <si>
    <t>singapore</t>
  </si>
  <si>
    <t>tai12189</t>
  </si>
  <si>
    <t>u. s. smelting co</t>
  </si>
  <si>
    <t>tai12195</t>
  </si>
  <si>
    <t>anaconda mont</t>
  </si>
  <si>
    <t>tai12207</t>
  </si>
  <si>
    <t>miami m co</t>
  </si>
  <si>
    <t>lordsburg n. mex.</t>
  </si>
  <si>
    <t>tai12276</t>
  </si>
  <si>
    <t>lake view consols</t>
  </si>
  <si>
    <t>boulder australia</t>
  </si>
  <si>
    <t>tai12281</t>
  </si>
  <si>
    <t>tai12325</t>
  </si>
  <si>
    <t>tai12335</t>
  </si>
  <si>
    <t>tai12344</t>
  </si>
  <si>
    <t>federal lead co</t>
  </si>
  <si>
    <t>tai12354</t>
  </si>
  <si>
    <t>tai12358</t>
  </si>
  <si>
    <t>moscow idaho</t>
  </si>
  <si>
    <t>tai12368</t>
  </si>
  <si>
    <t>balzac valley co</t>
  </si>
  <si>
    <t>tai12416</t>
  </si>
  <si>
    <t>homestake mining co</t>
  </si>
  <si>
    <t>lead s dakota</t>
  </si>
  <si>
    <t>tai12417</t>
  </si>
  <si>
    <t>tai12432</t>
  </si>
  <si>
    <t>detroit mich</t>
  </si>
  <si>
    <t>tai12439</t>
  </si>
  <si>
    <t>eckman west va</t>
  </si>
  <si>
    <t>tai12448</t>
  </si>
  <si>
    <t>continental mfg. co</t>
  </si>
  <si>
    <t>tai12472</t>
  </si>
  <si>
    <t>columbian college</t>
  </si>
  <si>
    <t>tai12497</t>
  </si>
  <si>
    <t>tai12508</t>
  </si>
  <si>
    <t>solvay process co</t>
  </si>
  <si>
    <t>syracuse n y</t>
  </si>
  <si>
    <t>tai12579</t>
  </si>
  <si>
    <t>tai12581</t>
  </si>
  <si>
    <t>tai12585</t>
  </si>
  <si>
    <t>tai12671</t>
  </si>
  <si>
    <t>bachmans system of water purification</t>
  </si>
  <si>
    <t>tai12772</t>
  </si>
  <si>
    <t>tai12773</t>
  </si>
  <si>
    <t>broken hill proprietary co</t>
  </si>
  <si>
    <t>port pirie australia</t>
  </si>
  <si>
    <t>tai12867</t>
  </si>
  <si>
    <t>rand drill co</t>
  </si>
  <si>
    <t>tai12915</t>
  </si>
  <si>
    <t>johns hopkins univ.</t>
  </si>
  <si>
    <t>baltimore md</t>
  </si>
  <si>
    <t>tai12960</t>
  </si>
  <si>
    <t>a. chester beatty</t>
  </si>
  <si>
    <t>tai13029</t>
  </si>
  <si>
    <t>apen mines</t>
  </si>
  <si>
    <t>tai13062</t>
  </si>
  <si>
    <t>tai13120</t>
  </si>
  <si>
    <t>Baden Wurttemberg germany.</t>
  </si>
  <si>
    <t>tai13173</t>
  </si>
  <si>
    <t>birmingham ala</t>
  </si>
  <si>
    <t>tai13188</t>
  </si>
  <si>
    <t>tai13254</t>
  </si>
  <si>
    <t>allegheny pa</t>
  </si>
  <si>
    <t>tai13255</t>
  </si>
  <si>
    <t>bienne switzerland.</t>
  </si>
  <si>
    <t>tai13269</t>
  </si>
  <si>
    <t>colo fuel &amp; iron co</t>
  </si>
  <si>
    <t>tai13280</t>
  </si>
  <si>
    <t>national transit co</t>
  </si>
  <si>
    <t>oil city pa</t>
  </si>
  <si>
    <t>tai13349</t>
  </si>
  <si>
    <t>biwabik minn.</t>
  </si>
  <si>
    <t>tai13442</t>
  </si>
  <si>
    <t>hunter w.va</t>
  </si>
  <si>
    <t>tai13506</t>
  </si>
  <si>
    <t>iron gate va</t>
  </si>
  <si>
    <t>tai13507</t>
  </si>
  <si>
    <t>taylor iron &amp; steel co</t>
  </si>
  <si>
    <t>high bridge nj</t>
  </si>
  <si>
    <t>tai13535</t>
  </si>
  <si>
    <t>tai13566</t>
  </si>
  <si>
    <t>camp bird mills</t>
  </si>
  <si>
    <t>ouray colorado</t>
  </si>
  <si>
    <t>tai13574</t>
  </si>
  <si>
    <t>wallace min. co</t>
  </si>
  <si>
    <t>pitkin colo</t>
  </si>
  <si>
    <t>tai13603</t>
  </si>
  <si>
    <t>sharpeville pa</t>
  </si>
  <si>
    <t>tai13613</t>
  </si>
  <si>
    <t>tai13631</t>
  </si>
  <si>
    <t>standard cons. mining co</t>
  </si>
  <si>
    <t>bodie cal</t>
  </si>
  <si>
    <t>tai13653</t>
  </si>
  <si>
    <t>vice president</t>
  </si>
  <si>
    <t>new york steam co</t>
  </si>
  <si>
    <t>tai13678</t>
  </si>
  <si>
    <t>gen. electric co</t>
  </si>
  <si>
    <t>tai13695</t>
  </si>
  <si>
    <t>stassfurt emrany</t>
  </si>
  <si>
    <t>tai13745</t>
  </si>
  <si>
    <t>clarks cons. Ltd</t>
  </si>
  <si>
    <t>ferguson b c</t>
  </si>
  <si>
    <t>tai13778</t>
  </si>
  <si>
    <t>allentown pa</t>
  </si>
  <si>
    <t>tai13862</t>
  </si>
  <si>
    <t>empire state idaho m. &amp; dev. co</t>
  </si>
  <si>
    <t>wardner idaho</t>
  </si>
  <si>
    <t>tai13880</t>
  </si>
  <si>
    <t>mecklenburg iron wks.</t>
  </si>
  <si>
    <t>charlotte n. c.</t>
  </si>
  <si>
    <t>tai13939</t>
  </si>
  <si>
    <t>denallan kirkintilloch</t>
  </si>
  <si>
    <t>tai13989</t>
  </si>
  <si>
    <t>taylor &amp; brunton sampling co</t>
  </si>
  <si>
    <t>victor colo</t>
  </si>
  <si>
    <t>tai14073</t>
  </si>
  <si>
    <t>cananea mexico</t>
  </si>
  <si>
    <t>tai14083</t>
  </si>
  <si>
    <t>rossland bc</t>
  </si>
  <si>
    <t>tai14107</t>
  </si>
  <si>
    <t>tai14251</t>
  </si>
  <si>
    <t>electrical enginer</t>
  </si>
  <si>
    <t>new york n y</t>
  </si>
  <si>
    <t>tai14269</t>
  </si>
  <si>
    <t>dott w va</t>
  </si>
  <si>
    <t>tai14279</t>
  </si>
  <si>
    <t>tai14365</t>
  </si>
  <si>
    <t>los angeles cal</t>
  </si>
  <si>
    <t>tai14381</t>
  </si>
  <si>
    <t>tai14386</t>
  </si>
  <si>
    <t>tai14397</t>
  </si>
  <si>
    <t>mount morgan australia</t>
  </si>
  <si>
    <t>tai14541</t>
  </si>
  <si>
    <t>vryheid so africa</t>
  </si>
  <si>
    <t>tai14550</t>
  </si>
  <si>
    <t>minas geraes brazil</t>
  </si>
  <si>
    <t>tai14605</t>
  </si>
  <si>
    <t>tai14611</t>
  </si>
  <si>
    <t>tai14627</t>
  </si>
  <si>
    <t>francistown matabeleland</t>
  </si>
  <si>
    <t>tai14873</t>
  </si>
  <si>
    <t>asientos aguascalientes</t>
  </si>
  <si>
    <t>tai15071</t>
  </si>
  <si>
    <t>bayonne n j</t>
  </si>
  <si>
    <t>tai15081</t>
  </si>
  <si>
    <t>mayer ariz</t>
  </si>
  <si>
    <t>tai15083</t>
  </si>
  <si>
    <t>tai15127</t>
  </si>
  <si>
    <t>germiston transvaal</t>
  </si>
  <si>
    <t>tai15142</t>
  </si>
  <si>
    <t>cobalt ont</t>
  </si>
  <si>
    <t>tai15167</t>
  </si>
  <si>
    <t>bisbee arizona</t>
  </si>
  <si>
    <t>tai15183</t>
  </si>
  <si>
    <t>guanajuato mexico</t>
  </si>
  <si>
    <t>tai15276</t>
  </si>
  <si>
    <t>searchlight nev</t>
  </si>
  <si>
    <t>tai15329</t>
  </si>
  <si>
    <t>prince w va</t>
  </si>
  <si>
    <t>tai15397</t>
  </si>
  <si>
    <t>iron mountain cal</t>
  </si>
  <si>
    <t>tai15412</t>
  </si>
  <si>
    <t>tai15475</t>
  </si>
  <si>
    <t>republic wash</t>
  </si>
  <si>
    <t>tai15502</t>
  </si>
  <si>
    <t>firmeza santiago</t>
  </si>
  <si>
    <t>tai15513</t>
  </si>
  <si>
    <t>hanoverlinden germany</t>
  </si>
  <si>
    <t>tai15543</t>
  </si>
  <si>
    <t>tai15622</t>
  </si>
  <si>
    <t>wallace idaho</t>
  </si>
  <si>
    <t>tai15637</t>
  </si>
  <si>
    <t>tai15749</t>
  </si>
  <si>
    <t>fairfax wash</t>
  </si>
  <si>
    <t>tai15827</t>
  </si>
  <si>
    <t>hibbing minn</t>
  </si>
  <si>
    <t>tai15872</t>
  </si>
  <si>
    <t>ithaca n y</t>
  </si>
  <si>
    <t>tai15916</t>
  </si>
  <si>
    <t>tai15962</t>
  </si>
  <si>
    <t>tai15979</t>
  </si>
  <si>
    <t>vancouver b c</t>
  </si>
  <si>
    <t>tai15997</t>
  </si>
  <si>
    <t>tai16083</t>
  </si>
  <si>
    <t>kelowna b c</t>
  </si>
  <si>
    <t>tai16121</t>
  </si>
  <si>
    <t>tai16125</t>
  </si>
  <si>
    <t>tai16135</t>
  </si>
  <si>
    <t>reading pa</t>
  </si>
  <si>
    <t>tai16152</t>
  </si>
  <si>
    <t>palo alto cal</t>
  </si>
  <si>
    <t>tai16200</t>
  </si>
  <si>
    <t>akita japan</t>
  </si>
  <si>
    <t>tai16235</t>
  </si>
  <si>
    <t>wickenburg ariz</t>
  </si>
  <si>
    <t>tai16297</t>
  </si>
  <si>
    <t>cumberland md</t>
  </si>
  <si>
    <t>tai16319</t>
  </si>
  <si>
    <t>dale cal</t>
  </si>
  <si>
    <t>tai16333</t>
  </si>
  <si>
    <t>tai16362</t>
  </si>
  <si>
    <t>Correct</t>
  </si>
  <si>
    <t>myb24</t>
  </si>
  <si>
    <t>For 1886-7, 10s. per share interim dividends have been paid.</t>
  </si>
  <si>
    <t>Adamant Diamond Mining Company Limited</t>
  </si>
  <si>
    <t>myb675</t>
  </si>
  <si>
    <t>the two boards which appear more advantageous to both companies than those</t>
  </si>
  <si>
    <t>Anglo African Diamond Mining Company</t>
  </si>
  <si>
    <t>myb1359</t>
  </si>
  <si>
    <t>mining, Ac. The company also possesses certain contracts and shares in the</t>
  </si>
  <si>
    <t>Aruba Island Gold Mining Company</t>
  </si>
  <si>
    <t>myb3650</t>
  </si>
  <si>
    <t>preference shares of the new company.</t>
  </si>
  <si>
    <t>Canadian Copper And Sulphur Company</t>
  </si>
  <si>
    <t>myb4534</t>
  </si>
  <si>
    <t>Less cost of mining and milling, at £2 3s. per ton... ... 10,750</t>
  </si>
  <si>
    <t>Charters Towers Queensland Gold Mining</t>
  </si>
  <si>
    <t>myb8055</t>
  </si>
  <si>
    <t>An important feature connected with the property is that sufficient work has been done to</t>
  </si>
  <si>
    <t>Essaman Gold Mining Company Limited</t>
  </si>
  <si>
    <t>myb8488</t>
  </si>
  <si>
    <t>Liquidator s Offices.</t>
  </si>
  <si>
    <t>Frederick Valley Gold Mining Limited</t>
  </si>
  <si>
    <t>myb10901</t>
  </si>
  <si>
    <t>expectations from the lowest to the furthest extended part of the mine.</t>
  </si>
  <si>
    <t>Indian Consolidated Gold Company Limited</t>
  </si>
  <si>
    <t>myb12462</t>
  </si>
  <si>
    <t>but half-yearly meetings are held in May to receive the agent s report. The</t>
  </si>
  <si>
    <t>Leadhills Silver Lead Mining And</t>
  </si>
  <si>
    <t>myb15562</t>
  </si>
  <si>
    <t>Secretary. Offices.</t>
  </si>
  <si>
    <t>New Emma Silver Mining Company</t>
  </si>
  <si>
    <t>myb22289</t>
  </si>
  <si>
    <t>tbe damage sustained at the mine.</t>
  </si>
  <si>
    <t>South Darren Mining Company Limited</t>
  </si>
  <si>
    <t>myb23311</t>
  </si>
  <si>
    <t>TASMANIAN TIN MINING COMPANY,</t>
  </si>
  <si>
    <t>Tasmanian Tin Mining Company Limited</t>
  </si>
  <si>
    <t>myb23614</t>
  </si>
  <si>
    <t>James 6. Green. John Morgan.</t>
  </si>
  <si>
    <t>Tolima Mining Company Limited</t>
  </si>
  <si>
    <t>myb24490</t>
  </si>
  <si>
    <t>Verdal Nickel Mining Company Limited</t>
  </si>
  <si>
    <t>myb25372</t>
  </si>
  <si>
    <t>the greatest facility ; it has assayed from 1 to 10 ounces of gold to the ton. The Anacaona</t>
  </si>
  <si>
    <t>West Indian Gold Mining Corporation</t>
  </si>
  <si>
    <t>myb26854</t>
  </si>
  <si>
    <t>annum, and further participation in profits after payment of 12 per cent, on the</t>
  </si>
  <si>
    <t>Anglo Sardinian Antimony Company</t>
  </si>
  <si>
    <t>myb32097</t>
  </si>
  <si>
    <t>filled up with debris ; and this takes extra time and trouble.</t>
  </si>
  <si>
    <t>Deresby And Gwydyr Mines Limited</t>
  </si>
  <si>
    <t>myb32197</t>
  </si>
  <si>
    <t>ot coffee is reported of late to be well maintained, and that of cinchona bark to have improved</t>
  </si>
  <si>
    <t>Devixa Moyak Gold</t>
  </si>
  <si>
    <t>myb34934</t>
  </si>
  <si>
    <t>In addition, there remains a large area owned by the company, on which nothing has so</t>
  </si>
  <si>
    <t>Gold Fields North Queensland Limited</t>
  </si>
  <si>
    <t>myb35109</t>
  </si>
  <si>
    <t>14th July, 1888.</t>
  </si>
  <si>
    <t>Golden Gate Alluvial Syndicate Limited</t>
  </si>
  <si>
    <t>myb38838</t>
  </si>
  <si>
    <t>Percy B. Schreiber. as trustee for tho company, of the second part. There are no other con</t>
  </si>
  <si>
    <t>Mansfield Mexican Silver Mine Limited</t>
  </si>
  <si>
    <t>myb38992</t>
  </si>
  <si>
    <t>23 5 THE MIXIXQ MAXl AL.</t>
  </si>
  <si>
    <t>Mexican Copper Syndicate Limited</t>
  </si>
  <si>
    <t>myb40695</t>
  </si>
  <si>
    <t>may think desirable, provided that all or any moneys realised by them in dealing with or</t>
  </si>
  <si>
    <t>Mysore Reefs Gold Mining Company</t>
  </si>
  <si>
    <t>myb41602</t>
  </si>
  <si>
    <t>the hands of the bankers. A call of 2s. per share was made.</t>
  </si>
  <si>
    <t>New Kitty Mine Company</t>
  </si>
  <si>
    <t>myb42408</t>
  </si>
  <si>
    <t>can eeasily adapted to treat any quantity of ore, small or great.</t>
  </si>
  <si>
    <t>New Zealand Gold Extraction Company</t>
  </si>
  <si>
    <t>myb42442</t>
  </si>
  <si>
    <t>C. P. Kemp, Ford, and Co. Wm. James Cousins, F.C.S. 138, Leadenhall Street, E.C.</t>
  </si>
  <si>
    <t>New Zealand Mines Trust Limited</t>
  </si>
  <si>
    <t>myb49935</t>
  </si>
  <si>
    <t>holder, whether registered or otherwise. Certificates to bearer may be issued in</t>
  </si>
  <si>
    <t>Tybdtomawe And North Wales Exploration</t>
  </si>
  <si>
    <t>myb54548</t>
  </si>
  <si>
    <t>Secretary. Office.</t>
  </si>
  <si>
    <t>Golden Quarry Deep Level Gold</t>
  </si>
  <si>
    <t>myb59649</t>
  </si>
  <si>
    <t>have been issued, and £83,56li 10s. paid up, the B and D shares being</t>
  </si>
  <si>
    <t>Astyra Mining Company Limited</t>
  </si>
  <si>
    <t>myb60530</t>
  </si>
  <si>
    <t>and this is the only agreement to which the company is n party. In relation to the preliminary</t>
  </si>
  <si>
    <t>Bolivian Silver Company Limited</t>
  </si>
  <si>
    <t>myb61698</t>
  </si>
  <si>
    <t>Even with Chili bare at £40 there would still be a return of 7 per cent, on the share capital.</t>
  </si>
  <si>
    <t>Camabones Copper Mining And Smelting</t>
  </si>
  <si>
    <t>myb63333</t>
  </si>
  <si>
    <t>season, with consequent insufficiency of water power at the mill, and scarcitj- of oxen, render</t>
  </si>
  <si>
    <t>Costa Rica Mining Company Limited</t>
  </si>
  <si>
    <t>myb70191</t>
  </si>
  <si>
    <t>Mexican Explorations Limited</t>
  </si>
  <si>
    <t>myb72947</t>
  </si>
  <si>
    <t>and practical miner, would tend to dissipate the uneasiness which exists in the minds of the</t>
  </si>
  <si>
    <t>North Australian Mining Company Limited</t>
  </si>
  <si>
    <t>myb84730</t>
  </si>
  <si>
    <t>C. V. Freeman, Managing Director.</t>
  </si>
  <si>
    <t>Great Britain Gold Mining And</t>
  </si>
  <si>
    <t>myb86231</t>
  </si>
  <si>
    <t>September, 1886, with a capital of £ 150,000, in 450,000 shares of £1 each, the whole of whi-t</t>
  </si>
  <si>
    <t>Lisbon Berlyn Gold Fields Limited</t>
  </si>
  <si>
    <t>myb87390</t>
  </si>
  <si>
    <t>and further develop the auriferous farm Montrose, in the Komatie district, abont</t>
  </si>
  <si>
    <t>Montrose Gold Mining And Exploration</t>
  </si>
  <si>
    <t>myb90663</t>
  </si>
  <si>
    <t>The corporation has power to acquire any existing mines, and to extend and develop the</t>
  </si>
  <si>
    <t xml:space="preserve">South African Mineral Association Limited </t>
  </si>
  <si>
    <t>myb93570</t>
  </si>
  <si>
    <t>Sinclair MacLeay, merchant, 167, Winchester</t>
  </si>
  <si>
    <t>Adventurers Ashanti And Wassau Limited</t>
  </si>
  <si>
    <t>myb94175</t>
  </si>
  <si>
    <t>Solicitors. Mining Manager. Auditor.</t>
  </si>
  <si>
    <t>Anglo Saxon Gold Mining Syndicate</t>
  </si>
  <si>
    <t>myb99090</t>
  </si>
  <si>
    <t>allotted is 16,000, on which £8,687 10s. has been paid, being 10s. 3d. per share</t>
  </si>
  <si>
    <t>Day Dawn And Norfolk Mines</t>
  </si>
  <si>
    <t>myb107745</t>
  </si>
  <si>
    <t>Auditor. Secretary. Offices.</t>
  </si>
  <si>
    <t>New Pittsburg Grass Valley Gold</t>
  </si>
  <si>
    <t>myb108524</t>
  </si>
  <si>
    <t>have been retained.</t>
  </si>
  <si>
    <t>myb110915</t>
  </si>
  <si>
    <t>ment, and the balance as required in sums of 2s., at intervals of not less than</t>
  </si>
  <si>
    <t>Quindio Quicksilver Mines Limited</t>
  </si>
  <si>
    <t>myb117300</t>
  </si>
  <si>
    <t>Howard Hodges. 17 and 18, Basinghall Street, E.C.</t>
  </si>
  <si>
    <t>Barrett Gold Mining Company Limited</t>
  </si>
  <si>
    <t>myb119625</t>
  </si>
  <si>
    <t>developing Matabeleland and territories in South ana Central Africa, and arrangements were</t>
  </si>
  <si>
    <t>Exploring Land Minerals Limited</t>
  </si>
  <si>
    <t>myb120632</t>
  </si>
  <si>
    <t>GRIQUALAND WEST DIAMOND MINING COMPANY,</t>
  </si>
  <si>
    <t>Griqualand West Diamond Mining Company</t>
  </si>
  <si>
    <t>myb120861</t>
  </si>
  <si>
    <t>tain if any of the reefs make below it, before going to the expense of sinking permanent shafts</t>
  </si>
  <si>
    <t>Henderson And Forbes Gold Mining</t>
  </si>
  <si>
    <t>myb127065</t>
  </si>
  <si>
    <t>the remaining 10,000 shares at present, they decided to shut down the mine temporarily.</t>
  </si>
  <si>
    <t>Weltevreden Estate And Gold Mining</t>
  </si>
  <si>
    <t>myb136127</t>
  </si>
  <si>
    <t>account of these preference Bhares the liabilities at the mine, which unfortunately accumulated</t>
  </si>
  <si>
    <t>Guadalupe Syndicate Limited</t>
  </si>
  <si>
    <t>myb142096</t>
  </si>
  <si>
    <t>carried to reserve, and £818 3a. 3d. carried forward. Tho transfer form used is</t>
  </si>
  <si>
    <t>Nundydroog Gold Mining Company</t>
  </si>
  <si>
    <t>myb143650</t>
  </si>
  <si>
    <t>I The authorised capital is £20,000. in 4,000 shares of £5 each, of which 1,001</t>
  </si>
  <si>
    <t>Prince Wales Slate Company</t>
  </si>
  <si>
    <t>myb144414</t>
  </si>
  <si>
    <t>This company was registered on the 26th February, 1890, and is a third recon</t>
  </si>
  <si>
    <t>Ruby Mining Company Limited</t>
  </si>
  <si>
    <t>myb145901</t>
  </si>
  <si>
    <t>SOUTH WALES GOLD MINES, LIMITED.</t>
  </si>
  <si>
    <t>South Wales Primrose Coal Company</t>
  </si>
  <si>
    <t>myb147331</t>
  </si>
  <si>
    <t>allotted the sum of 5s. was credited as paid. There are also debentures to</t>
  </si>
  <si>
    <t>Union Consolidated Copper Mines Limited</t>
  </si>
  <si>
    <t>myb150699</t>
  </si>
  <si>
    <t>The authorised capital is £150,400, divided into 150,000 ordinary and 4W</t>
  </si>
  <si>
    <t>Central African Company Limited</t>
  </si>
  <si>
    <t>myb153775</t>
  </si>
  <si>
    <t>The first accounts were made up to the 30th September, 1891, and showed</t>
  </si>
  <si>
    <t>Kanya Exploration Company Limited</t>
  </si>
  <si>
    <t>myb154091</t>
  </si>
  <si>
    <t>word Misgund was eliminated from the titlo. The company has since acquired</t>
  </si>
  <si>
    <t>Champ French Gold Mining Company</t>
  </si>
  <si>
    <t>myb155968</t>
  </si>
  <si>
    <t>W. St. John C arr. | J. Hamilton Leslie.</t>
  </si>
  <si>
    <t>New Spes Bona Gold Mining</t>
  </si>
  <si>
    <t>myb159960</t>
  </si>
  <si>
    <t>Liquidators. Offices.</t>
  </si>
  <si>
    <t>Vryburg Prospecting Syndicate Limited</t>
  </si>
  <si>
    <t>myb164437</t>
  </si>
  <si>
    <t>rants. No information obtainable from ihe company.</t>
  </si>
  <si>
    <t>Caroni Venezuela Gold Mining Company</t>
  </si>
  <si>
    <t>myb168607</t>
  </si>
  <si>
    <t>This company was registered on the 17th April, 1889, to acquire as a going</t>
  </si>
  <si>
    <t>International Exploration Company Limited</t>
  </si>
  <si>
    <t>myb176932</t>
  </si>
  <si>
    <t>C. G. Haswell. Thomas A Bcckctt. St. Werburgh s Chambers, Chest r.</t>
  </si>
  <si>
    <t>South Halkyn Company Limited</t>
  </si>
  <si>
    <t>myb185935</t>
  </si>
  <si>
    <t>i flrat-named property has been completed. As the works of the Silati Railway sre now</t>
  </si>
  <si>
    <t>Oceana Development Company Limited</t>
  </si>
  <si>
    <t>myb187157</t>
  </si>
  <si>
    <t>Liabilities: Capital, £600,000; debentures, £6,600; Bundryoreditors,£l,0245s.6d.</t>
  </si>
  <si>
    <t>Silati River Gold Mining And Prospecting</t>
  </si>
  <si>
    <t>myb194291</t>
  </si>
  <si>
    <t>only on tho understanding that the applicants waive the specification of tho datos of, and</t>
  </si>
  <si>
    <t>Cashhan Brilliant Bewabd</t>
  </si>
  <si>
    <t>myb195434</t>
  </si>
  <si>
    <t>The accounts are made np annually to the 30th September, and submitted</t>
  </si>
  <si>
    <t>Cortez Mines Limited</t>
  </si>
  <si>
    <t>myb205300</t>
  </si>
  <si>
    <t>eting held on the 3rd March, 1891 80,000 shares having then been issued , it</t>
  </si>
  <si>
    <t>North Navigation Collieries Limited</t>
  </si>
  <si>
    <t>myb211025</t>
  </si>
  <si>
    <t>Those submitted to the meeting held on the 31st October, 1891, showed aprofit for the</t>
  </si>
  <si>
    <t>Wheal Agar Mining Company</t>
  </si>
  <si>
    <t>myb212551</t>
  </si>
  <si>
    <t>Simon Marcus, Frank Roes, and J. H. Butt.</t>
  </si>
  <si>
    <t>Block Langlaagte Estate Gold Mining</t>
  </si>
  <si>
    <t>myb217770</t>
  </si>
  <si>
    <t>Fort Masai Kessi, in the Manioa district of the Mozambique Territory, and</t>
  </si>
  <si>
    <t>Massi Kessi Gold Mines Limited</t>
  </si>
  <si>
    <t>myb219453</t>
  </si>
  <si>
    <t>B. Oppenbeimer. | Siinon Schwabftcher. | Aclolphe Wagner. John William Philip.</t>
  </si>
  <si>
    <t>New Grahamstown Gold Mining Company</t>
  </si>
  <si>
    <t>myb220108</t>
  </si>
  <si>
    <t>The names of directors cannot be stated, owing to impending changes in the</t>
  </si>
  <si>
    <t>Newlands West Griqualand Diamond Mines</t>
  </si>
  <si>
    <t>myb220569</t>
  </si>
  <si>
    <t>shares at par be extended to the 13th December, 1894, and that a further option</t>
  </si>
  <si>
    <t>Paarl Central Gold Mining And Exploration Company</t>
  </si>
  <si>
    <t>myb220836</t>
  </si>
  <si>
    <t>which 2,500 have since been disposed of at 25s. each.</t>
  </si>
  <si>
    <t>Potchefstroom Exploration And Estate Company</t>
  </si>
  <si>
    <t>myb225569</t>
  </si>
  <si>
    <t>8 81 8 ii£8 M 8T bITh</t>
  </si>
  <si>
    <t>Zambesia Exploring Company Limited</t>
  </si>
  <si>
    <t>myb228794</t>
  </si>
  <si>
    <t>Victoria District Mashonaland Sold Mining Company, Limited.</t>
  </si>
  <si>
    <t>London Edition Sunday Morning</t>
  </si>
  <si>
    <t>myb230401</t>
  </si>
  <si>
    <t>Van Ryn Gold Mines fit tate. Limited.</t>
  </si>
  <si>
    <t>Union Consolidated</t>
  </si>
  <si>
    <t>myb231510</t>
  </si>
  <si>
    <t>moiety was subscribed by this company, mi</t>
  </si>
  <si>
    <t>Afrikander Gold Mining Company Limited</t>
  </si>
  <si>
    <t>myb234400</t>
  </si>
  <si>
    <t>expected to commence about July, 1895.</t>
  </si>
  <si>
    <t>Gelden Huis Deep Limited</t>
  </si>
  <si>
    <t>myb235698</t>
  </si>
  <si>
    <t>evelopment and Investment Company, Limited in liquidation £2,413 12s. 8d. ;</t>
  </si>
  <si>
    <t>Johannesburg Pioneer Gold Mining Company</t>
  </si>
  <si>
    <t>myb237312</t>
  </si>
  <si>
    <t>to wind up voluntarily and reconstruct, the secretary being appointed liquidator.</t>
  </si>
  <si>
    <t>Mashonaland And Zoutpansberg Exploration Syndicate</t>
  </si>
  <si>
    <t>myb238104</t>
  </si>
  <si>
    <t>the United Ivy Beef Company, and 1,500 in the United Ivy Extension Company.</t>
  </si>
  <si>
    <t>Moodie Gold Mining And Exploration</t>
  </si>
  <si>
    <t>myb238624</t>
  </si>
  <si>
    <t>shares was Is., payable on the 1st Ootober, 1893. 175,000 ordinary shares</t>
  </si>
  <si>
    <t>New Belgium Transvaal Land And</t>
  </si>
  <si>
    <t>myb240408</t>
  </si>
  <si>
    <t>all an extent of about 380 square miles 240,000 acres together with one town</t>
  </si>
  <si>
    <t>Premier Concessions Mozambique Limited</t>
  </si>
  <si>
    <t>myb241753</t>
  </si>
  <si>
    <t>leaving £69,127 2s. 8d. to be carried forward.</t>
  </si>
  <si>
    <t>Simmer And Jack Gold Mining</t>
  </si>
  <si>
    <t>myb245645</t>
  </si>
  <si>
    <t>Solicitor-E. R. Doniathorpe. l Bankers London City 8: Midland Bank,</t>
  </si>
  <si>
    <t>Anibiri Wassau Exploration Limited</t>
  </si>
  <si>
    <t>myb266210</t>
  </si>
  <si>
    <t>mium; increased in June, 1888, by the creation of 25,000 shares of £1 ouch,</t>
  </si>
  <si>
    <t>Mysore Gold Mining Company Limited</t>
  </si>
  <si>
    <t>myb269630</t>
  </si>
  <si>
    <t>Cumberland. The purchase consideration was £18,036, in 4,008 shares credited</t>
  </si>
  <si>
    <t>Pobtlethwaite Ebke Mining</t>
  </si>
  <si>
    <t>myb274733</t>
  </si>
  <si>
    <t>Province of Jaen, Spain, and Encarnacion, 112 hectares, situate at Puntal y</t>
  </si>
  <si>
    <t>Vilches Mines Limited</t>
  </si>
  <si>
    <t>myb278619</t>
  </si>
  <si>
    <t>New Einasleigh Copper Mines, Ltd.</t>
  </si>
  <si>
    <t>Einasleigh Freehold Copper Mines Limited</t>
  </si>
  <si>
    <t>myb278920</t>
  </si>
  <si>
    <t>Gympie Goldfields, Queensland, and has also a 15-stamp mill at work at Golden</t>
  </si>
  <si>
    <t>Golden Gate Gold Mining Company</t>
  </si>
  <si>
    <t>myb280418</t>
  </si>
  <si>
    <t>are issned. 1,500 credited as fully paid, and 1,000 shares having £10 called up.</t>
  </si>
  <si>
    <t>Leichhardt Cloncurry Development Limited</t>
  </si>
  <si>
    <t>myb284320</t>
  </si>
  <si>
    <t>This company was registered April 27th, 1906, to deal with mining properties in</t>
  </si>
  <si>
    <t>Victorian Options Limited</t>
  </si>
  <si>
    <t>myb287895</t>
  </si>
  <si>
    <t>Wankie district in whioh important coal deposits are being worked in</t>
  </si>
  <si>
    <t>Bbitish Gold Coast</t>
  </si>
  <si>
    <t>myb289402</t>
  </si>
  <si>
    <t>share subscribed. The preference shares carry the right of conversion at any</t>
  </si>
  <si>
    <t>Consolidated Dredging And Exploring Company</t>
  </si>
  <si>
    <t>myb290081</t>
  </si>
  <si>
    <t>right for two years to subscribe for 375,000 shares at prices ranging from £1 to</t>
  </si>
  <si>
    <t>Consolidated Southern Exploitation</t>
  </si>
  <si>
    <t>myb291407</t>
  </si>
  <si>
    <t>Central Collieries, Ltd., and its shareholders received share for share, absorbing</t>
  </si>
  <si>
    <t>Dubban Roodepoort Gold Mining</t>
  </si>
  <si>
    <t>myb291494</t>
  </si>
  <si>
    <t>lowest,</t>
  </si>
  <si>
    <t>East Rand Extension Gold Mining</t>
  </si>
  <si>
    <t>myb292403</t>
  </si>
  <si>
    <t>18th, 1907, showed cash loans and debtors £16,882, shares and interests held at</t>
  </si>
  <si>
    <t>Fanti Consolidated Mines Limited</t>
  </si>
  <si>
    <t>myb292575</t>
  </si>
  <si>
    <t>For 1907, 300 per cent, declared 160 per cent. June 18th, and 160 per cent. December 11th.</t>
  </si>
  <si>
    <t>Ferreira Gold Mining Company Limited</t>
  </si>
  <si>
    <t>myb293503</t>
  </si>
  <si>
    <t>shares are issued and fully paid. The capital was increased in December, 1889,</t>
  </si>
  <si>
    <t>Glencairn Main Reef Gold Mining</t>
  </si>
  <si>
    <t>myb295775</t>
  </si>
  <si>
    <t>licences and rents. See Appendix.</t>
  </si>
  <si>
    <t>Klipriversberg Estate And Gold Mining</t>
  </si>
  <si>
    <t>myb298520</t>
  </si>
  <si>
    <t>Dividend : 3s. per share declared in October, 1898.</t>
  </si>
  <si>
    <t>New Egyptian Company Limited</t>
  </si>
  <si>
    <t>myb302666</t>
  </si>
  <si>
    <t>forward ; Robinson Central shares hold 8,769.</t>
  </si>
  <si>
    <t>Robinson Diamond Mining Company Limited</t>
  </si>
  <si>
    <t>myb303140</t>
  </si>
  <si>
    <t>This company was registered in Natal in 1886, to work 6J claims on the Main Reef,</t>
  </si>
  <si>
    <t>States And Mining Company Limited</t>
  </si>
  <si>
    <t>myb306490</t>
  </si>
  <si>
    <t>MININQ .</t>
  </si>
  <si>
    <t>United Rhodesia Gold Fields Limited</t>
  </si>
  <si>
    <t>myb309207</t>
  </si>
  <si>
    <t>them. The properties were reported on by Thomas Richards. Development</t>
  </si>
  <si>
    <t>Anaconda Copper Mining Company</t>
  </si>
  <si>
    <t>myb310597</t>
  </si>
  <si>
    <t>Isaac Sumsion, Chairman. Robert E. Giles. | John T. F. Turner. | Reginald D. Thornton, J.P.</t>
  </si>
  <si>
    <t>Bath Stone Firms Limited</t>
  </si>
  <si>
    <t>myb312419</t>
  </si>
  <si>
    <t>ordinary shares are entitled to a fixed cumulative preferential dividend of 10</t>
  </si>
  <si>
    <t>Cabrera Mines Limited</t>
  </si>
  <si>
    <t>myb314232</t>
  </si>
  <si>
    <t>Telegrams: Spinifer, London. P.O.T., 272: Central. This company was registered on the 28th January, 1897, to acquire a property</t>
  </si>
  <si>
    <t>Conglomerate Australia Limited</t>
  </si>
  <si>
    <t>myb317826</t>
  </si>
  <si>
    <t>GREAT CENTraX OJ LIERY C0MPANY, LIMITED.</t>
  </si>
  <si>
    <t>Great Central Colliery Company Limited</t>
  </si>
  <si>
    <t>myb324750</t>
  </si>
  <si>
    <t>List. Prices, 1904: highest, 2TV; lowest, 1 ; 1905:. highest, 1 ; lowest, 1J;</t>
  </si>
  <si>
    <t>myb328650</t>
  </si>
  <si>
    <t>South Wheal Crofty, registered May 28th, 1906, as an unlimited company to</t>
  </si>
  <si>
    <t>South Crofty Limited</t>
  </si>
  <si>
    <t>myb331206</t>
  </si>
  <si>
    <t>lauds known as WestCottingwood, Morpeth. The consideration was £1,716 13s 4d.,</t>
  </si>
  <si>
    <t>West Cottingwood Coal Company Limited</t>
  </si>
  <si>
    <t>myb336558</t>
  </si>
  <si>
    <t>Directors Qualification, £200 Maurice Lyons, Chairman ; Maures Horner, J.P.</t>
  </si>
  <si>
    <t>Lyndhurst South Australia Copper Limited</t>
  </si>
  <si>
    <t>myb338170</t>
  </si>
  <si>
    <t>each year.</t>
  </si>
  <si>
    <t>myb340230</t>
  </si>
  <si>
    <t>increased to present amount by creation of 75,000 new £1 shares. There aro</t>
  </si>
  <si>
    <t>Tasmanian Mining Company Limited</t>
  </si>
  <si>
    <t>myb344716</t>
  </si>
  <si>
    <t>The accounts to September 30th, 1907, submitted in Johannesburg November</t>
  </si>
  <si>
    <t>Bulawayo Syndicate Limited Bulawayo Waterworks</t>
  </si>
  <si>
    <t>myb344911</t>
  </si>
  <si>
    <t>Offices 24, Coleman Street, K.C.</t>
  </si>
  <si>
    <t>Cape Lands And Minerals Syndicate</t>
  </si>
  <si>
    <t>myb345063</t>
  </si>
  <si>
    <t>are issued and 7s. 6d. called. In April, 1901, all the shares were offered for</t>
  </si>
  <si>
    <t>myb345144</t>
  </si>
  <si>
    <t>G F. Davenport. I H. C. Emery.</t>
  </si>
  <si>
    <t>Central Montrose Estate</t>
  </si>
  <si>
    <t>myb345744</t>
  </si>
  <si>
    <t>. 23. ,</t>
  </si>
  <si>
    <t>Compagnie Francaise Mines Dtor</t>
  </si>
  <si>
    <t>myb355750</t>
  </si>
  <si>
    <t>interest in the freehold farm Natalshoop, No. 1491, adjoining the town</t>
  </si>
  <si>
    <t>New Lydenburg Minerals Exploring Limited</t>
  </si>
  <si>
    <t>myb357637</t>
  </si>
  <si>
    <t>to £105,346 ; cash assets in excess of liabilities £21,747.</t>
  </si>
  <si>
    <t>myb357663</t>
  </si>
  <si>
    <t>cent. ; February, 1895, distribution of cash and shares as above ; August, 1895,</t>
  </si>
  <si>
    <t>Paarl Ophir Gold Mining And</t>
  </si>
  <si>
    <t>myb361819</t>
  </si>
  <si>
    <t>and fully paid. The ordinary take all profits until they have received 100 per</t>
  </si>
  <si>
    <t>Transvaal Coal Trust Company Limited</t>
  </si>
  <si>
    <t>myb365699</t>
  </si>
  <si>
    <t>mines. The company also owns a coal mine and foundry, a large timber estate</t>
  </si>
  <si>
    <t>myb369053</t>
  </si>
  <si>
    <t>Ouray County, and in the Upper San Miguel mining district. San Miguel County,</t>
  </si>
  <si>
    <t>Camp Bird Limited Bakqiimmp</t>
  </si>
  <si>
    <t>myb370153</t>
  </si>
  <si>
    <t>Co , Ltd., registered in Ontario, and owning a lease for 999 years from March,</t>
  </si>
  <si>
    <t>Cob Town Site Lver Mining</t>
  </si>
  <si>
    <t>myb381264</t>
  </si>
  <si>
    <t>NOVA SCOTIA MINERALS. LIMITED. Directors.</t>
  </si>
  <si>
    <t>Nova Scotia Gold Mines Limited</t>
  </si>
  <si>
    <t>myb384353</t>
  </si>
  <si>
    <t>arc issued credited as fully paid. The statutory report was submitted May 31st,1906.</t>
  </si>
  <si>
    <t>Stephen Syndicate Limited</t>
  </si>
  <si>
    <t>myb384367</t>
  </si>
  <si>
    <t>Koceiver and Manager P. J. Livesay, 63, Coleman Street, B.C. Seoretary and Offices E. Wilding, 278-9, Dashwood House, E.C.</t>
  </si>
  <si>
    <t>San Albino Gold Mines Limited</t>
  </si>
  <si>
    <t>myb385825</t>
  </si>
  <si>
    <t>cash, £300,000 in 30,000 fully-paid ordinary shares, and £100,000 in 10,000 fullypaid</t>
  </si>
  <si>
    <t>Sum Eltleetrotr Omp Limited</t>
  </si>
  <si>
    <t>myb386030</t>
  </si>
  <si>
    <t>TEMISKAMING AND HUDSON BAY MINING CO.. LTD. President George Taylor. | Vice-President A. A. McKeWie.</t>
  </si>
  <si>
    <t>Temiskaming Ontario Syndicate Limited</t>
  </si>
  <si>
    <t>myb386041</t>
  </si>
  <si>
    <t>receipts $335,204 and $36.636 carried forward after paving $201.396 dividends.</t>
  </si>
  <si>
    <t>Temi Scamin Hudson Bay Mining</t>
  </si>
  <si>
    <t>myb386633</t>
  </si>
  <si>
    <t>fully paid. There are £1,200 five per oent. debentures. On July 24th, 1908, the</t>
  </si>
  <si>
    <t>Treveddoe Tin Mining Company Limited</t>
  </si>
  <si>
    <t>myb392337</t>
  </si>
  <si>
    <t>Secretary and Offices Philip F. Dietz, 7, Crosljv Square, E.C.</t>
  </si>
  <si>
    <t>Kalgurli Gold Mines Limited</t>
  </si>
  <si>
    <t>myb392890</t>
  </si>
  <si>
    <t>the Daly Copper Mine, 120 acres, at Umberatana, about 75 miles from Lyndhnrst</t>
  </si>
  <si>
    <t>myb396146</t>
  </si>
  <si>
    <t>stamps were added in 1900. making 50.</t>
  </si>
  <si>
    <t>Wcrorian Cornis Gold Mines Limited</t>
  </si>
  <si>
    <t>myb397787</t>
  </si>
  <si>
    <t>common ; fee, 2s. 6d.</t>
  </si>
  <si>
    <t>Angola Oil Limited</t>
  </si>
  <si>
    <t>myb398425</t>
  </si>
  <si>
    <t>reported as follows : Results by dish assays from samples taken in the old native shafts were</t>
  </si>
  <si>
    <t>Atjboba West United</t>
  </si>
  <si>
    <t>myb401195</t>
  </si>
  <si>
    <t>claims in Matabeleland, Rhodesia, also the pioneer rights to locate a further 415</t>
  </si>
  <si>
    <t>Crescens Matabele Mines Land Limited</t>
  </si>
  <si>
    <t>myb403672</t>
  </si>
  <si>
    <t>showed a profit of £17,581 ; £9,125 debit balance brought forward was</t>
  </si>
  <si>
    <t>Gaika Gold Mining Company Limited</t>
  </si>
  <si>
    <t>myb410443</t>
  </si>
  <si>
    <t>31st, 1907. submitted December 24th, 1907, showed cash and investment £2,094.</t>
  </si>
  <si>
    <t>New Randfontein Reefs Limited</t>
  </si>
  <si>
    <t>myb411487</t>
  </si>
  <si>
    <t>of the Taku Nasu property immediately adjoining, and to the south-west of the Kotra Verchey</t>
  </si>
  <si>
    <t>North Tarkwa Synpicate Limited</t>
  </si>
  <si>
    <t>myb412967</t>
  </si>
  <si>
    <t>The accounts to December 31st, 1908, submitted in Johannesburg March 12th,</t>
  </si>
  <si>
    <t>Rand Collieries Limited</t>
  </si>
  <si>
    <t>myb413620</t>
  </si>
  <si>
    <t>capital of £300,000, of which £10,000 cash and £40,000 shares are to be paid for</t>
  </si>
  <si>
    <t>Regina Diamond Syndicate Limited</t>
  </si>
  <si>
    <t>myb419663</t>
  </si>
  <si>
    <t>L. Sutro.</t>
  </si>
  <si>
    <t>Diamond Mining Investment Company Limited</t>
  </si>
  <si>
    <t>myb420558</t>
  </si>
  <si>
    <t>Solicitors Ashurst, MorriB, Crisp &amp; Co. A. uditors Fuller, Wise, Kirby &amp; Fisher. Secretary and Offices George R. Saunders, 5, London Wall Buildings, E.C.</t>
  </si>
  <si>
    <t>Wtlloug Stcottsoll Dated Ltlt</t>
  </si>
  <si>
    <t>myb421715</t>
  </si>
  <si>
    <t>dividend conpons are attached to the certificates. Prices, 1906 : highest, 7i ;</t>
  </si>
  <si>
    <t>Alaska Treadwell Gold Mining Company</t>
  </si>
  <si>
    <t>myb424012</t>
  </si>
  <si>
    <t>Solicitors Cooper 4 Oo. Secretary and Offices George E. Elgee, Leadonhall Buildings, B.C.</t>
  </si>
  <si>
    <t>Bentilee Colliery Company Limited</t>
  </si>
  <si>
    <t>myb427735</t>
  </si>
  <si>
    <t>issued and fully paid including vendors . In February, 1907, 8,500 shares were</t>
  </si>
  <si>
    <t>Cobalt Silver Queen Limited</t>
  </si>
  <si>
    <t>myb430202</t>
  </si>
  <si>
    <t>A. J. Bowberry. | W. Willis. | In India Charles Murray ; Edward E. Long.</t>
  </si>
  <si>
    <t>East Indian Coal Company Limited</t>
  </si>
  <si>
    <t>myb430362</t>
  </si>
  <si>
    <t>deferred being credited as fully paid, 7 ordinary being fully paid and 2,193 17b. Gd.</t>
  </si>
  <si>
    <t>Eastern Exploration Syndicate Limited</t>
  </si>
  <si>
    <t>myb432420</t>
  </si>
  <si>
    <t>Toe authorised capital is £10, in 200 shares of Is. each ; all the sharos are issued</t>
  </si>
  <si>
    <t>Golden Eagle Syndicate Limited</t>
  </si>
  <si>
    <t>myb434314</t>
  </si>
  <si>
    <t>The preference dividend is paid half-yearly. Dividends paid on ordinary</t>
  </si>
  <si>
    <t>Regular Time Blue Ovbktimb Red</t>
  </si>
  <si>
    <t>myb436475</t>
  </si>
  <si>
    <t>MANVERS MAIN COLLIERIESTUMlTEbT Directors Qualification, £6,000 .</t>
  </si>
  <si>
    <t>Manvebs Main Collieries</t>
  </si>
  <si>
    <t>myb437045</t>
  </si>
  <si>
    <t>For 1901-2 a dividend of 5 per cent, was paid.</t>
  </si>
  <si>
    <t>Mines Development Corporation Limited</t>
  </si>
  <si>
    <t>myb437289</t>
  </si>
  <si>
    <t>oapital is £16,000, in 10,000 shares of £1 each; 4,157 shares are issued and</t>
  </si>
  <si>
    <t>Morales Exploration Companydmttedt</t>
  </si>
  <si>
    <t>myb440443</t>
  </si>
  <si>
    <t>and 1 to 60 000; and May 13th, 1903, in Nos. 417,051 to 445,000 Prices,</t>
  </si>
  <si>
    <t>Palmarejo And Mexican Gold Fields</t>
  </si>
  <si>
    <t>myb441607</t>
  </si>
  <si>
    <t>since been acquired, making a total area of 156 acres now held. Output of tin</t>
  </si>
  <si>
    <t>Pus Lama Ttn Vnnes Limited</t>
  </si>
  <si>
    <t>myb441717</t>
  </si>
  <si>
    <t>Evenwood, Durham, by Herbert W. Summerson and others. The consideration</t>
  </si>
  <si>
    <t>Qui Barton And Burns Helen</t>
  </si>
  <si>
    <t>myb442897</t>
  </si>
  <si>
    <t>the Venture Corporation, Ltd., to acquire and deal with mines and concessions</t>
  </si>
  <si>
    <t>Russ Mntng Rpor Ati Limited</t>
  </si>
  <si>
    <t>myb447451</t>
  </si>
  <si>
    <t>pany of similar name, comprising slate quarries, Ac., at Walna Soar, Dunnerdale</t>
  </si>
  <si>
    <t>Walnat Scar Green Slate Limited</t>
  </si>
  <si>
    <t>myb449528</t>
  </si>
  <si>
    <t>K. Hooper.</t>
  </si>
  <si>
    <t>Associated Northern Blocks Limited</t>
  </si>
  <si>
    <t>myb459223</t>
  </si>
  <si>
    <t>over 100 square miles in the districts of Bekwai and Adansi, Ashanti, Gold Coast</t>
  </si>
  <si>
    <t>Ashanti Goldfields Corporation Limited</t>
  </si>
  <si>
    <t>myb470968</t>
  </si>
  <si>
    <t>dated Exploration and Development Khodesia Co., Ltd., and the British South</t>
  </si>
  <si>
    <t>Morocco Anglo French American Corporation</t>
  </si>
  <si>
    <t>myb473750</t>
  </si>
  <si>
    <t>The Lord Gifford, V.C., Chairman.</t>
  </si>
  <si>
    <t>Northern Copper Company Limited</t>
  </si>
  <si>
    <t>myb476600</t>
  </si>
  <si>
    <t>balancH forward a sum of £115,994; dividend absoibed £37,500, to sundry</t>
  </si>
  <si>
    <t>Roberts Victor Diamonds Limited</t>
  </si>
  <si>
    <t>myb480428</t>
  </si>
  <si>
    <t>and Trust Co., Ltd., Trust Building , Box 156.</t>
  </si>
  <si>
    <t>Transvaal Lands Company Limited</t>
  </si>
  <si>
    <t>myb490655</t>
  </si>
  <si>
    <t>William Rhodes, J. P.</t>
  </si>
  <si>
    <t>Derutw Ore Company Com</t>
  </si>
  <si>
    <t>myb495793</t>
  </si>
  <si>
    <t>as Scrace s Farm, East Forleigb, near Maidstone, area 22 acres, containing Kent</t>
  </si>
  <si>
    <t>Kent Stone Kepplehill Coal Company</t>
  </si>
  <si>
    <t>myb502301</t>
  </si>
  <si>
    <t>Auditors C. G. Haswell &amp; Son.</t>
  </si>
  <si>
    <t>Pantymwyn Mining Company Limited</t>
  </si>
  <si>
    <t>myb507293</t>
  </si>
  <si>
    <t>£23,028; dividends absorbed £10,500, leaving £12,528 carried forward; cash</t>
  </si>
  <si>
    <t>Teign Valley Granite Company Limited</t>
  </si>
  <si>
    <t>myb508445</t>
  </si>
  <si>
    <t>10,000 fully-paid shares in Uruguay Goldfields, Ltd ; liquidator, St. John Winne,</t>
  </si>
  <si>
    <t>Uruguay Mining Syndicate Limited</t>
  </si>
  <si>
    <t>myb511124</t>
  </si>
  <si>
    <t>Solicitors Greenip, Snell A Co. | Auditors Whinney, Smith 4 Whinney.</t>
  </si>
  <si>
    <t>Blues Ipur Abri Iel Lly</t>
  </si>
  <si>
    <t>myb512653</t>
  </si>
  <si>
    <t>St. Dora Mining Co. of S. Australia .</t>
  </si>
  <si>
    <t>English And Foreign Syndicate Limited</t>
  </si>
  <si>
    <t>myb534438</t>
  </si>
  <si>
    <t>NIGERIAN TIN TRUST AND EXPLORATION, LTD.</t>
  </si>
  <si>
    <t>Nigerian Tin Trust Exploration Limited</t>
  </si>
  <si>
    <t>myb537786</t>
  </si>
  <si>
    <t>to be placed to a reserve go d account for dig purpose of amortisation of the</t>
  </si>
  <si>
    <t>myb537788</t>
  </si>
  <si>
    <t>under the present title on July 15th, 1899. The company now owns 210 claims,</t>
  </si>
  <si>
    <t>myb540747</t>
  </si>
  <si>
    <t>the Congo Free State has been acquired from the Katanga Belgian Special Com</t>
  </si>
  <si>
    <t>Tanganyika Concessions Limited</t>
  </si>
  <si>
    <t>myb542287</t>
  </si>
  <si>
    <t>on the Wassail Banket formation. The consideration was £30,000 in fully-paid</t>
  </si>
  <si>
    <t>United Gold Coast Mining Properties</t>
  </si>
  <si>
    <t>myb546945</t>
  </si>
  <si>
    <t>preference, highost, 7s. 6d. ; lowest, 2s. 3d.; ordinary, highest, 4s. 3d.; lowest, lc 9d. LatoBt prioe : preference, J, i ; ordinary, 2s. 6d., 3s. 6d.</t>
  </si>
  <si>
    <t>Balaohat Gold Mining</t>
  </si>
  <si>
    <t>myb547959</t>
  </si>
  <si>
    <t>Dividends on deferred shares paid November and February : For 1907-10 per cent. ; 1908-9, 11J per oent. j 1909-10, 12J per cent. ; 1910-11, 5 psr cent,</t>
  </si>
  <si>
    <t>Borax Company Limited</t>
  </si>
  <si>
    <t>myb548075</t>
  </si>
  <si>
    <t>BRAZILIAN DEVELOPMENT SYNDICATETXIMTTED . This company was registered in Edinburgh May 5th, 1909 see vol. for 1911 .</t>
  </si>
  <si>
    <t>Brazilian Diamond And Exploration Limited</t>
  </si>
  <si>
    <t>myb550107</t>
  </si>
  <si>
    <t>Directors Qualification, £1,000 .</t>
  </si>
  <si>
    <t>Chas Butters And Limited</t>
  </si>
  <si>
    <t>myb553319</t>
  </si>
  <si>
    <t>Robert Armitage and Ewing MatheBon, Managing. Solicitors Nelson, Eddisons &amp; Lupton, Leeds. | Bankers Bank of England, Leeds.</t>
  </si>
  <si>
    <t>Falm Otjth Cotlsqlidate Nes</t>
  </si>
  <si>
    <t>myb563399</t>
  </si>
  <si>
    <t>the Nnndydroog Gold Mining Co., Ltd., registered November 6th, 1880 see</t>
  </si>
  <si>
    <t>myb566205</t>
  </si>
  <si>
    <t>also a railway and pier, and the steamer Don Hugo, 1,249 tonB register. The</t>
  </si>
  <si>
    <t>Rio Tinto Company Limited</t>
  </si>
  <si>
    <t>myb570082</t>
  </si>
  <si>
    <t>accordance with the reports of Dr. R. T. Moore and Capt. J. Paull, made</t>
  </si>
  <si>
    <t>Tresavean Mines Limited</t>
  </si>
  <si>
    <t>myb577838</t>
  </si>
  <si>
    <t>Cam, 10; Isis Blocks, 18; Petrol, 10; Jan Bidd, 10; and Lorna Boone, 10. The</t>
  </si>
  <si>
    <t>Bwana Kubwa Gopper Mining Limited</t>
  </si>
  <si>
    <t>myb591766</t>
  </si>
  <si>
    <t>£27,032, leaving £14,753 carried forward. Share premium account,</t>
  </si>
  <si>
    <t>New Kleinfontein Company</t>
  </si>
  <si>
    <t>myb592769</t>
  </si>
  <si>
    <t>was resolved to issue £60,000 bearer debentures and</t>
  </si>
  <si>
    <t>Nigel Gold Mining Company Limited</t>
  </si>
  <si>
    <t>myb594466</t>
  </si>
  <si>
    <t>Transfer form, common; fee, 25. 6d. The 7th March, 1907, was appointed</t>
  </si>
  <si>
    <t>Otav Mines And Railway Company</t>
  </si>
  <si>
    <t>myb595958</t>
  </si>
  <si>
    <t>Tom Mr. J. M. Iles, the general manager, reported in November last that II the result of</t>
  </si>
  <si>
    <t>Rayfield Nigeria Tin Fields Limited</t>
  </si>
  <si>
    <t>myb598063</t>
  </si>
  <si>
    <t>The accounts to March 31st, 1912, submitted August 21st, 1912, showed a loss</t>
  </si>
  <si>
    <t>Selukwe Gold Mining Company Limited</t>
  </si>
  <si>
    <t>myb606938</t>
  </si>
  <si>
    <t>27th, 1910, in Nos. 550,001 to 600,000; and February 21sl, 1912, in Nos.</t>
  </si>
  <si>
    <t>Aramayo Francke Mines Limited</t>
  </si>
  <si>
    <t>myb608708</t>
  </si>
  <si>
    <t>BELL MINES, LIMITED.</t>
  </si>
  <si>
    <t>Bell Mines Limited</t>
  </si>
  <si>
    <t>myb611122</t>
  </si>
  <si>
    <t>In addition to its Westraliau interests the company has acquired an intorest in</t>
  </si>
  <si>
    <t>Brown Hill Extended Company</t>
  </si>
  <si>
    <t>myb611607</t>
  </si>
  <si>
    <t>reserve making £45,000 £30,000, to reserve for new plant £8,000, leaving</t>
  </si>
  <si>
    <t>Burnyeati Brown And Company Limited</t>
  </si>
  <si>
    <t>myb618522</t>
  </si>
  <si>
    <t>00., Ltd. Other properties are being investigated.</t>
  </si>
  <si>
    <t>Exploration Companyldf England Mexic</t>
  </si>
  <si>
    <t>myb626562</t>
  </si>
  <si>
    <t>December 81st, 1892, but over a smaller area, at a considerably reduced royalty.</t>
  </si>
  <si>
    <t>Lathom Gold Mining Company Limited</t>
  </si>
  <si>
    <t>myb627065</t>
  </si>
  <si>
    <t>C. R. Edwards. Secretary and Omens C. E. Edwards, Llwynhelig Colliery, Aberdare, Glamorgan.</t>
  </si>
  <si>
    <t>Llwyn Helig Colliery Company Limited</t>
  </si>
  <si>
    <t>myb628724</t>
  </si>
  <si>
    <t>Behm, Worcesler House, Wallirook, EC.</t>
  </si>
  <si>
    <t>Mexican Oaxaca Syndicate Limited</t>
  </si>
  <si>
    <t>myb631139</t>
  </si>
  <si>
    <t>.north of the City of Sacramento, the Capital of California. The plan of the</t>
  </si>
  <si>
    <t>Natomas Consolidated California</t>
  </si>
  <si>
    <t>myb632401</t>
  </si>
  <si>
    <t>H. St. .1. mm, 0.1.. .LP. 1 J.W.Be on. Balkan-London &amp; Provincial milk, Lemma. | An tore how 0 Co. Secretary end OfloOl A. R. Mollelt, King Chomhere, High Street, hovrport, Inn.</t>
  </si>
  <si>
    <t>Newport Abercarn Black Vein Steam</t>
  </si>
  <si>
    <t>myb632992</t>
  </si>
  <si>
    <t>Transfer form, common</t>
  </si>
  <si>
    <t>North Brancepeth Coal Company Limited</t>
  </si>
  <si>
    <t>myb634924</t>
  </si>
  <si>
    <t>400,000 shares was guaranteed by the Share Guarantee Trust, Ltd. In October,</t>
  </si>
  <si>
    <t>Paringa Mining And Exploration Limited</t>
  </si>
  <si>
    <t>myb647368</t>
  </si>
  <si>
    <t>25. October 10th, 1906; 2s. January 17th, 1907 ; 2s. May, 1907; 2s.October, 1907;</t>
  </si>
  <si>
    <t>Zeehan Montana Mine Limited</t>
  </si>
  <si>
    <t>myb649161</t>
  </si>
  <si>
    <t>Ltd., but in Jan., 1910, this was re-ncquircd for 21,500 fully-paid shares; the</t>
  </si>
  <si>
    <t>Ashanti Gold Coast Acquisitions Limited</t>
  </si>
  <si>
    <t>myb650459</t>
  </si>
  <si>
    <t>settling day in shares Nos. 1 to 11,007.</t>
  </si>
  <si>
    <t>Bogosu Gold Mines Limited</t>
  </si>
  <si>
    <t>myb652527</t>
  </si>
  <si>
    <t>in November 1694, it was divided into 625,000 preference shares and 625,011 ordinary shares,</t>
  </si>
  <si>
    <t>Consolidatid Gold Fields</t>
  </si>
  <si>
    <t>myb653424</t>
  </si>
  <si>
    <t>Diamond Mining Co. ; the Spes Bona Bultfontein Diamond Minin Co. for 60,000 fully-paid £1</t>
  </si>
  <si>
    <t>Darymusu West Coast Development Company Limited</t>
  </si>
  <si>
    <t>myb653955</t>
  </si>
  <si>
    <t>deducting cash and cash assets £4,407.</t>
  </si>
  <si>
    <t>Durban Roodepoort Gold Mining Company</t>
  </si>
  <si>
    <t>myb654283</t>
  </si>
  <si>
    <t>owing to the inactive state of the market, none were received.</t>
  </si>
  <si>
    <t>East Band Central Mines</t>
  </si>
  <si>
    <t>myb656736</t>
  </si>
  <si>
    <t>held in the</t>
  </si>
  <si>
    <t>Gold Coast Explorers Limited</t>
  </si>
  <si>
    <t>myb660250</t>
  </si>
  <si>
    <t>M. F. RHODE IA EBQPRIETARY. LTD.</t>
  </si>
  <si>
    <t>Lydenburg Transvaal Gold Exploration Company</t>
  </si>
  <si>
    <t>myb660566</t>
  </si>
  <si>
    <t>Rhodesia, also mining rights over 50,000 acres. known as Moore s Concession, in</t>
  </si>
  <si>
    <t>Mashonaland Consolidated Limited</t>
  </si>
  <si>
    <t>myb662226</t>
  </si>
  <si>
    <t>owned at December 31st, 1912 : Mynpacht No. 462, on Klippoortje No. 2 equal</t>
  </si>
  <si>
    <t>New Eek Consolidated</t>
  </si>
  <si>
    <t>myb663701</t>
  </si>
  <si>
    <t>NlGERlA BITU ME Nv CORPORATION, LIMITED.</t>
  </si>
  <si>
    <t>Nigerla Bitu Corporation Limited</t>
  </si>
  <si>
    <t>myb666497</t>
  </si>
  <si>
    <t>H orav President His Honour The Administrator, sir w. H. Milton, K.0M.G.,K.C.V.0.</t>
  </si>
  <si>
    <t>Rhodesia Chamber Of Mines</t>
  </si>
  <si>
    <t>myb667866</t>
  </si>
  <si>
    <t>Bankers Ban of British West Africa, Ltd.</t>
  </si>
  <si>
    <t>Scottish Mashonaland Gold Mining Limited</t>
  </si>
  <si>
    <t>myb668559</t>
  </si>
  <si>
    <t>acres and freehold 718 acres. Output for 1908, 128,135 tons; for 1909, 144,952</t>
  </si>
  <si>
    <t>South African Collieries Limited</t>
  </si>
  <si>
    <t>myb674080</t>
  </si>
  <si>
    <t>The accounts are made up annually to December 31st, and submitted in Lisbon</t>
  </si>
  <si>
    <t>Zambesia Copper Company Limited</t>
  </si>
  <si>
    <t>myb677021</t>
  </si>
  <si>
    <t>T. H. Waldie. Secretary and Oflces J. L. Zillmen, 100, Pitt Street, Sydney, New South Wales. London Agents Atlas Corporation, Limited.</t>
  </si>
  <si>
    <t>Associated Queensland Mines Limited</t>
  </si>
  <si>
    <t>myb677556</t>
  </si>
  <si>
    <t>£450 in fully-paid B shares. The authorised capital is £6,000, in 20 seven</t>
  </si>
  <si>
    <t>Barhaugh Anthracite Llmestone Limited</t>
  </si>
  <si>
    <t>myb677781</t>
  </si>
  <si>
    <t>11. Sansom. l I. Sumsion. General Manager 1 . S. Cotterell, J.P., Abbey Yard. Bath.</t>
  </si>
  <si>
    <t>Bath And Portland Stone Firms</t>
  </si>
  <si>
    <t>myb682660</t>
  </si>
  <si>
    <t>C HTNKH CLAY</t>
  </si>
  <si>
    <t>China Clay Corporation Limited</t>
  </si>
  <si>
    <t>myb689500</t>
  </si>
  <si>
    <t>GWALIA CENTRAL GOLD MINES, LIMITED. Directors Capt. W. F. Annesle</t>
  </si>
  <si>
    <t>Gwalia Central Gold Mines Limited</t>
  </si>
  <si>
    <t>myb692140</t>
  </si>
  <si>
    <t>being carried on. Output for 191142,</t>
  </si>
  <si>
    <t>Kamunlng Peak Rubber And Tin</t>
  </si>
  <si>
    <t>myb694306</t>
  </si>
  <si>
    <t>Transfer form, common; fee, 2s. 6d. Latest price, first preference, 8 , 8 ;</t>
  </si>
  <si>
    <t>Locket Merthykr Collieries Limited</t>
  </si>
  <si>
    <t>myb697008</t>
  </si>
  <si>
    <t>liabilities £486,489.</t>
  </si>
  <si>
    <t>Mount Lyell Consols Wallaroo Copper</t>
  </si>
  <si>
    <t>myb697690</t>
  </si>
  <si>
    <t>on Novembcr 12th, 1913, it was resolved to wind up voluntarily and reconstruct</t>
  </si>
  <si>
    <t>Myalls And Peak Hillwgold Mines</t>
  </si>
  <si>
    <t>myb699100</t>
  </si>
  <si>
    <t>Solicitors Phillips Jr Cummings. l Bankers Nation Bank of New Zealand.</t>
  </si>
  <si>
    <t>New Zealand Crown Mines Company</t>
  </si>
  <si>
    <t>myb700888</t>
  </si>
  <si>
    <t>THIS company was registered October 12th, 1912, to carry on business as</t>
  </si>
  <si>
    <t>Ore Trading Company Limited</t>
  </si>
  <si>
    <t>myb701451</t>
  </si>
  <si>
    <t>Telegrams: Knit-tan, London. Phcne: 5283 Central.</t>
  </si>
  <si>
    <t>Pahang Consolidated Limited</t>
  </si>
  <si>
    <t>myb704335</t>
  </si>
  <si>
    <t>Co. Secretary and Oflices J. E. Bennett, 20, Cuptlmll Avenue, E20.</t>
  </si>
  <si>
    <t>Roper River Land Minerals Limited</t>
  </si>
  <si>
    <t>myb711804</t>
  </si>
  <si>
    <t>9d. May and 9d. with 6d. bonus November. The accounts to September 30th,</t>
  </si>
  <si>
    <t>Westport Coal Company Limited</t>
  </si>
  <si>
    <t>myb716504</t>
  </si>
  <si>
    <t>revolutionary disturbances all work ceased April, 1913, and will be resumed as soon</t>
  </si>
  <si>
    <t>Bacis Gold And Silver Mines</t>
  </si>
  <si>
    <t>myb716637</t>
  </si>
  <si>
    <t>paid ordinary shares. In 1906 an interest in the Port Talbot Steel Co., Ltd., was</t>
  </si>
  <si>
    <t>Balaghat Gold Mines Limited</t>
  </si>
  <si>
    <t>myb717684</t>
  </si>
  <si>
    <t>1903-4, 4 per cent.; 1904-5, 21- per cent.; 1905-6, nil; 1906-7, 3 per cent.; 1907-8,</t>
  </si>
  <si>
    <t>Bengal Iron And Steel Company</t>
  </si>
  <si>
    <t>myb723299</t>
  </si>
  <si>
    <t>Agents in aria Credit Mobilier Francaise, 30-82, Rue Taitbout.</t>
  </si>
  <si>
    <t>City Deep Limited</t>
  </si>
  <si>
    <t>myb723597</t>
  </si>
  <si>
    <t>carried forward; cash 82.330; creditors $710.</t>
  </si>
  <si>
    <t>myb725440</t>
  </si>
  <si>
    <t>was written off shareholdings.</t>
  </si>
  <si>
    <t>Cue Consolidated Finance Limited</t>
  </si>
  <si>
    <t>myb729583</t>
  </si>
  <si>
    <t>known as Silencio and Donagans, but others have been let on tribute. Milling</t>
  </si>
  <si>
    <t>Fronting And Bolivia Gold</t>
  </si>
  <si>
    <t>myb732927</t>
  </si>
  <si>
    <t>the entire plant having a capacity of 3,000 tons per month. Crushing commenced</t>
  </si>
  <si>
    <t>Hay Gold Mining Limited</t>
  </si>
  <si>
    <t>myb736244</t>
  </si>
  <si>
    <t>Consulting nzineer-H. H. Webb, Box 1167, Johannesburg.</t>
  </si>
  <si>
    <t>Knights Deep Limited</t>
  </si>
  <si>
    <t>myb736298</t>
  </si>
  <si>
    <t>31, 1913, showed a net profit of £142,770, making with balance forward a sum of</t>
  </si>
  <si>
    <t>myb741130</t>
  </si>
  <si>
    <t>Wllflfi f,</t>
  </si>
  <si>
    <t>Mounttyell Mining And Railway Limited</t>
  </si>
  <si>
    <t>myb743966</t>
  </si>
  <si>
    <t>113,701 shares, Messrs. Barnato Bros. received 7,106 shares credited as fully paid.</t>
  </si>
  <si>
    <t>myb744111</t>
  </si>
  <si>
    <t>cent. was paid. Dividends paid on the ordinary shares: 1902-3, 15 per cent.;</t>
  </si>
  <si>
    <t>New Transvaal Chemical Company Limited</t>
  </si>
  <si>
    <t>myb745438</t>
  </si>
  <si>
    <t>S. C. Boyle. I J. Marshall. I J. Benton. I M. L. Ware. W. Wilson.</t>
  </si>
  <si>
    <t>North Kimberley Diamond Mines Limited</t>
  </si>
  <si>
    <t>myb745762</t>
  </si>
  <si>
    <t>In November, 1911, shareholders in the Tredegar Iron and Coal Co., Ltd.,</t>
  </si>
  <si>
    <t>Oak Dale Navigation Colliery Limited</t>
  </si>
  <si>
    <t>myb747431</t>
  </si>
  <si>
    <t>Capital £80,000, in shares of £1 each; 76,047 shares are issued and fully paid.</t>
  </si>
  <si>
    <t>Peruvian Consolidated Gold Trust Limited</t>
  </si>
  <si>
    <t>myb749672</t>
  </si>
  <si>
    <t>Settling days have been appointed in shares No. 1 to 1,172,511. Prices, 1911 :</t>
  </si>
  <si>
    <t>Rhodesia Consolidated Limited</t>
  </si>
  <si>
    <t>myb750185</t>
  </si>
  <si>
    <t>each warrant; fee for reconversion into registered shares, 5s. per 100, and ls.</t>
  </si>
  <si>
    <t>myb751577</t>
  </si>
  <si>
    <t>Capital £100,000, in 500,000 shares of 4s. each; 251,554 shares are issued and</t>
  </si>
  <si>
    <t>Sekond And Tarkwa Company Limited</t>
  </si>
  <si>
    <t>myb752611</t>
  </si>
  <si>
    <t>company, SociÃƒÆ Ã Â tÃƒÆ Ã Â Franqaise du Radium, has been registered in France with a capital</t>
  </si>
  <si>
    <t>Societe Industrielle Radium Limited</t>
  </si>
  <si>
    <t>myb755871</t>
  </si>
  <si>
    <t>shares Nos. 1 to 2,910,537. Prices, 1912: highest, 3s. 9d.; lowest, 1s. 7d.; 1913 :</t>
  </si>
  <si>
    <t>Transvaal And Rhodesian Estates Limited</t>
  </si>
  <si>
    <t>myb757041</t>
  </si>
  <si>
    <t>UNITED AFRICAN L ANDS, LIMITED.</t>
  </si>
  <si>
    <t>United African Explorations Limited</t>
  </si>
  <si>
    <t>myb758356</t>
  </si>
  <si>
    <t>VOGELSTRUIS CONSOLIDATED DEEP</t>
  </si>
  <si>
    <t>Vogelstruis Consolidated Deep Limited</t>
  </si>
  <si>
    <t>myb759068</t>
  </si>
  <si>
    <t>reef claims, about 1,600 reef claims on the Huni River Extension and Cinnamon</t>
  </si>
  <si>
    <t>Wasbau Gold Coast Mining</t>
  </si>
  <si>
    <t>myb759864</t>
  </si>
  <si>
    <t>and mineral rights, 1,480 acres; mineral rights only, 660 acres; surface rights only,</t>
  </si>
  <si>
    <t>Western Dominion Collieries Limited</t>
  </si>
  <si>
    <t>myb760269</t>
  </si>
  <si>
    <t>Auditors Kidson, God. a Findlay. Secretary and. Ofiloes P. M. Ritchie, 1, Dixon Street, Glasgow.</t>
  </si>
  <si>
    <t>William Dixon Limited</t>
  </si>
  <si>
    <t>myb765602</t>
  </si>
  <si>
    <t>decided to re-acquire the assets of the Territories Co. for 31,591 fully-paid shares.</t>
  </si>
  <si>
    <t>Aseianti Golde Ields Corporation</t>
  </si>
  <si>
    <t>myb767567</t>
  </si>
  <si>
    <t>Illogan, Cornwall,</t>
  </si>
  <si>
    <t>Basset Mines Limited</t>
  </si>
  <si>
    <t>myb772332</t>
  </si>
  <si>
    <t>Accounts Made up annually to December 31, and submitted the second</t>
  </si>
  <si>
    <t>Calumet And Hecla Mining Company</t>
  </si>
  <si>
    <t>myb774310</t>
  </si>
  <si>
    <t>25s. not exercised .</t>
  </si>
  <si>
    <t>Central Chili Copper Company Limited</t>
  </si>
  <si>
    <t>myb786424</t>
  </si>
  <si>
    <t>$17,500 Middle West Utilities Co. Common 110,014 Effuenta Wassaw Mines, Ltd.,</t>
  </si>
  <si>
    <t>Gold Coast Development Syndicate Limited</t>
  </si>
  <si>
    <t>myb789097</t>
  </si>
  <si>
    <t>the said tunnel. -</t>
  </si>
  <si>
    <t>Halkyn District Mines Drainage Company</t>
  </si>
  <si>
    <t>myb791861</t>
  </si>
  <si>
    <t>acquire</t>
  </si>
  <si>
    <t>Island Coal Company Limited</t>
  </si>
  <si>
    <t>myb794379</t>
  </si>
  <si>
    <t>receives claim licenses from the Koffyfontein Mines, Ltd., and others. The name</t>
  </si>
  <si>
    <t>Koffyfontein Estates Limited</t>
  </si>
  <si>
    <t>myb795940</t>
  </si>
  <si>
    <t>Accounts For year ended December 31, 1914, submitted March 12, 1915,</t>
  </si>
  <si>
    <t>Limmer Asphalte Company Limited</t>
  </si>
  <si>
    <t>myb803077</t>
  </si>
  <si>
    <t>July, 1891, the company</t>
  </si>
  <si>
    <t>New Jagersfontein Mining And Exploration Company</t>
  </si>
  <si>
    <t>myb804340</t>
  </si>
  <si>
    <t>was £5,904, making with balance forward</t>
  </si>
  <si>
    <t>New Sharlston Collieries Limited</t>
  </si>
  <si>
    <t>myb804885</t>
  </si>
  <si>
    <t>creditors £15,555.</t>
  </si>
  <si>
    <t>Newdigate Colliery Limited</t>
  </si>
  <si>
    <t>myb808035</t>
  </si>
  <si>
    <t>£37,573; cash £1,333, loans £12,028,</t>
  </si>
  <si>
    <t>Ore Concentration Syndicate Limited</t>
  </si>
  <si>
    <t>myb815477</t>
  </si>
  <si>
    <t>mines, area about 194 acres, situate</t>
  </si>
  <si>
    <t>San Francisco Mines Mexico Limited</t>
  </si>
  <si>
    <t>myb819824</t>
  </si>
  <si>
    <t>registered December 24, 1877 see vol. for 1900 , and owns the Dale Abbey and</t>
  </si>
  <si>
    <t>Stanton Iron Works Company Limited</t>
  </si>
  <si>
    <t>myb824346</t>
  </si>
  <si>
    <t>Accounts For year ended December 31, 1913, submitted</t>
  </si>
  <si>
    <t>Union Miniere Du Haut Katanga Limited</t>
  </si>
  <si>
    <t>myb826218</t>
  </si>
  <si>
    <t>bane Colliery and adjoining coalfield, comprising 41,000 acres and, 3 options</t>
  </si>
  <si>
    <t>Vry Heid Natal Railway Coal</t>
  </si>
  <si>
    <t>myb835405</t>
  </si>
  <si>
    <t>£33,000.</t>
  </si>
  <si>
    <t>myb841789</t>
  </si>
  <si>
    <t>myb842127</t>
  </si>
  <si>
    <t>to which they were entitled on redemption. The object</t>
  </si>
  <si>
    <t>myb842218</t>
  </si>
  <si>
    <t>yOUI instal</t>
  </si>
  <si>
    <t>Canadian Collieries Dunsmuir Limited</t>
  </si>
  <si>
    <t>myb842391</t>
  </si>
  <si>
    <t>received on shares held in the Mining Corpn. of Canada, Ltd., amounted to</t>
  </si>
  <si>
    <t>Canadian Mining Corporation Limited</t>
  </si>
  <si>
    <t>myb842705</t>
  </si>
  <si>
    <t>mini was dissolved.</t>
  </si>
  <si>
    <t>Carabaya Mining Syndicate Limited</t>
  </si>
  <si>
    <t>myb846603</t>
  </si>
  <si>
    <t>September 30, 1912, when the new plant, which consists</t>
  </si>
  <si>
    <t>Consolidated Langlaagte Mines Limited</t>
  </si>
  <si>
    <t>myb861246</t>
  </si>
  <si>
    <t>shares Nos.</t>
  </si>
  <si>
    <t>Johannesburg Forest And Land Limited</t>
  </si>
  <si>
    <t>myb861308</t>
  </si>
  <si>
    <t>the Atlas Works</t>
  </si>
  <si>
    <t>John Brown And Company Limited</t>
  </si>
  <si>
    <t>myb862015</t>
  </si>
  <si>
    <t>loads; washing was suspended July, 1907, but during 1910 the blue ground on</t>
  </si>
  <si>
    <t>Kamfersdam Toinrs Limited</t>
  </si>
  <si>
    <t>myb862469</t>
  </si>
  <si>
    <t>An ammonia leaching plant</t>
  </si>
  <si>
    <t>Kennecott Copper Corporation</t>
  </si>
  <si>
    <t>myb873298</t>
  </si>
  <si>
    <t>NEw HERIoT GoLD MINING comPANY, LIMITED,</t>
  </si>
  <si>
    <t>New Heriwt Gold Mining Oopany</t>
  </si>
  <si>
    <t>myb874013</t>
  </si>
  <si>
    <t>Havercroft and South Hiendley, four miles from</t>
  </si>
  <si>
    <t>New Monckton Collieries Limited</t>
  </si>
  <si>
    <t>myb874330</t>
  </si>
  <si>
    <t>the Witwatersrand.</t>
  </si>
  <si>
    <t>New Radnwr Limited</t>
  </si>
  <si>
    <t>myb879643</t>
  </si>
  <si>
    <t>Registered March, 1906, in New Zealand, to develop and work a coal lease of</t>
  </si>
  <si>
    <t>Paparoa Coal Mining Coopany Limited</t>
  </si>
  <si>
    <t>myb883896</t>
  </si>
  <si>
    <t>Rezende Mines Limited</t>
  </si>
  <si>
    <t>myb884761</t>
  </si>
  <si>
    <t>London Secretaries and Offices Downes, Munns &amp; Co., 286, Salisbury House, E.C.</t>
  </si>
  <si>
    <t>Rietkuil Gold Mines Limited</t>
  </si>
  <si>
    <t>myb884898</t>
  </si>
  <si>
    <t>For per Sh. For per sh.</t>
  </si>
  <si>
    <t>Ores Mines Produced</t>
  </si>
  <si>
    <t>myb888500</t>
  </si>
  <si>
    <t>D. Roberts.</t>
  </si>
  <si>
    <t>Silver Tip Mining And Power</t>
  </si>
  <si>
    <t>myb891847</t>
  </si>
  <si>
    <t>STAVELEY COAL AND IRON COMPANY, LIMITED, Directors Qualification, £1,000 .</t>
  </si>
  <si>
    <t>Staveley Coal And Iron Company</t>
  </si>
  <si>
    <t>myb892876</t>
  </si>
  <si>
    <t>the old company for principal and interest; the stock</t>
  </si>
  <si>
    <t>Sydney Harbour Colliery Limited</t>
  </si>
  <si>
    <t>myb900044</t>
  </si>
  <si>
    <t>Surface</t>
  </si>
  <si>
    <t>myb901112</t>
  </si>
  <si>
    <t>£213,840, making with balance forward and</t>
  </si>
  <si>
    <t>Mining Mantat Mimia Bar Witwatersrand</t>
  </si>
  <si>
    <t>myb908388</t>
  </si>
  <si>
    <t>1917, there was a profit of £510,185, making with balance forward a. sum of</t>
  </si>
  <si>
    <t>Bolckow Vaughan And Company Umiteit</t>
  </si>
  <si>
    <t>myb911709</t>
  </si>
  <si>
    <t>Registered November 29, 1872, as the Yorkshire and Derbyshire Coal and</t>
  </si>
  <si>
    <t>Carlton Main Colliery Company Limited</t>
  </si>
  <si>
    <t>myb911765</t>
  </si>
  <si>
    <t>Accounts Issued to shareholders only.</t>
  </si>
  <si>
    <t>Carrock Syndicate Limited</t>
  </si>
  <si>
    <t>myb913509</t>
  </si>
  <si>
    <t>CONDITIONS imposed by present-day loads,</t>
  </si>
  <si>
    <t>Clydesdale Transvaal Collieries Limited</t>
  </si>
  <si>
    <t>myb914428</t>
  </si>
  <si>
    <t>liabilities, uncalled on investments £698,677. Property and assets : Investments</t>
  </si>
  <si>
    <t>myb915562</t>
  </si>
  <si>
    <t>Transfer form, common; fee, 23. 6d. January 23, 1901, was appointed settling</t>
  </si>
  <si>
    <t>myb919480</t>
  </si>
  <si>
    <t>Correspondence, &amp;c.</t>
  </si>
  <si>
    <t>Finanoial Times Index</t>
  </si>
  <si>
    <t>myb925260</t>
  </si>
  <si>
    <t>part thereof is also payable on the value of the shares when transferred. Share</t>
  </si>
  <si>
    <t>Johannesburg Consolidated Investment Company</t>
  </si>
  <si>
    <t>myb928761</t>
  </si>
  <si>
    <t>1901-2, 10 per cent. ; 1902-3, 10 per cent.; 1903-4, 7 per cent.; 1904-5, 5 perv</t>
  </si>
  <si>
    <t>Llyny Pandy Mining Company Limited</t>
  </si>
  <si>
    <t>myb928985</t>
  </si>
  <si>
    <t>in a. working option for one year over the Cam and Motor claims situate in Gatooma,</t>
  </si>
  <si>
    <t>London And Silverton Mining Company</t>
  </si>
  <si>
    <t>myb930010</t>
  </si>
  <si>
    <t>366 J lIINING 6: , 1918.</t>
  </si>
  <si>
    <t>Manitoba And Saskatchewan Coal Limited</t>
  </si>
  <si>
    <t>myb930843</t>
  </si>
  <si>
    <t>operations were greatly interfered with owing to the revolutionary state of -tho</t>
  </si>
  <si>
    <t>Mexico Mines Oro Limited</t>
  </si>
  <si>
    <t>myb937341</t>
  </si>
  <si>
    <t>14, 1917, showed £129,126 to debit of profit and loss account, an increase of £30,582;</t>
  </si>
  <si>
    <t>Nyassa Company</t>
  </si>
  <si>
    <t>myb941388</t>
  </si>
  <si>
    <t>Transfer form common; fee, 25. 6d. September 7, 1910, was appointed</t>
  </si>
  <si>
    <t>Rhodesia And Ashanti Limited</t>
  </si>
  <si>
    <t>myb945120</t>
  </si>
  <si>
    <t>British Burmah Pet. 00., Ltd.,</t>
  </si>
  <si>
    <t>South African Land Exploration Limited</t>
  </si>
  <si>
    <t>myb946045</t>
  </si>
  <si>
    <t>mnlMn rvlumuq uzw</t>
  </si>
  <si>
    <t>Southern Van Ryn Gold Mining</t>
  </si>
  <si>
    <t>myb949913</t>
  </si>
  <si>
    <t>operation. A concentration mill commenced work August, 1909. Ore shipments</t>
  </si>
  <si>
    <t>Utah Apex Mining Company</t>
  </si>
  <si>
    <t>myb950424</t>
  </si>
  <si>
    <t>highest, 11s. 6d.; lowest, 55.; 1915: highest, 7s. 6d.; lowest, 35. 9d.; 1916:</t>
  </si>
  <si>
    <t>Vergelegen Gold Estates Limited</t>
  </si>
  <si>
    <t>myb953860</t>
  </si>
  <si>
    <t>Registered July</t>
  </si>
  <si>
    <t>Zinc Corporation Limited</t>
  </si>
  <si>
    <t>myb962020</t>
  </si>
  <si>
    <t>company s property, the Government to receive an annuity of £6,560 for 20 years,</t>
  </si>
  <si>
    <t>myb965276</t>
  </si>
  <si>
    <t>five per cent. in fully-paid shares at £5 5s. per share. Debenture holders had the</t>
  </si>
  <si>
    <t>East Rand Rletary Mines Limited</t>
  </si>
  <si>
    <t>myb968445</t>
  </si>
  <si>
    <t>266,000 fully-paid Anfargah shares of 10s. each were held; also £50,000 debentures</t>
  </si>
  <si>
    <t>Himdairn Qnirc Limited</t>
  </si>
  <si>
    <t>myb970793</t>
  </si>
  <si>
    <t>l00 shares or part. Voting power, one vote per share. A South African</t>
  </si>
  <si>
    <t>Kleinfontein Estates And Township Limited</t>
  </si>
  <si>
    <t>myb971522</t>
  </si>
  <si>
    <t>15 per cent. ; nil since.</t>
  </si>
  <si>
    <t>Lake View And Star Limited</t>
  </si>
  <si>
    <t>myb972144</t>
  </si>
  <si>
    <t>Local Secretary and Ofl1ces B. G. Derry, Salisbury, Rhodesia. Actmg Secretary and Ofices F. E. Norris, 87, Bishopsgate, E.C. 2.</t>
  </si>
  <si>
    <t>Lomah Rhodesia Exploration</t>
  </si>
  <si>
    <t>myb975051</t>
  </si>
  <si>
    <t>pref., highest, 15s.; lowest, 12s. 6d.; ord., highest 2s. 6 d.; lowest, In. 3d.</t>
  </si>
  <si>
    <t>Mount Yagahong Exploration And Finance</t>
  </si>
  <si>
    <t>myb975167</t>
  </si>
  <si>
    <t>railway from Port Beira. on Pungwe Bay, through the company s territories of Manica and</t>
  </si>
  <si>
    <t>Mount Zeehan Tasmania Silver Lead</t>
  </si>
  <si>
    <t>myb982739</t>
  </si>
  <si>
    <t>. Head Ofl1ces Montrea1, Canada. London Oflices- Basildon House, Moorgate Street, E0. 2.</t>
  </si>
  <si>
    <t>Russo Canadian Development Corporation Limited</t>
  </si>
  <si>
    <t>myb986289</t>
  </si>
  <si>
    <t>yielded 462 tons tin ore; profit per ton £78 5s. 8d. For year ended October 31,</t>
  </si>
  <si>
    <t>Tekka Taiping Limited</t>
  </si>
  <si>
    <t>myb1003924</t>
  </si>
  <si>
    <t>&amp; , 1920. 191</t>
  </si>
  <si>
    <t>Eldorado Banket Gold Mining Company</t>
  </si>
  <si>
    <t>myb1008876</t>
  </si>
  <si>
    <t>Incorporated September 5, 1912, under the laws of New Jersey, U.S.A., and is</t>
  </si>
  <si>
    <t>International Copper Company Limited</t>
  </si>
  <si>
    <t>myb1009313</t>
  </si>
  <si>
    <t>Cables: Chromate. London ; Console, Johannesburg. Phone: 2226 Wall.</t>
  </si>
  <si>
    <t>myb1009447</t>
  </si>
  <si>
    <t>Debentures £152,050.</t>
  </si>
  <si>
    <t>Joh Bowesand Partners Ltd</t>
  </si>
  <si>
    <t>myb1011903</t>
  </si>
  <si>
    <t>Ltd., Radnor Mine, Ltd , Linchwe Concessions, Ltd., Oran Synd., Ltd., Trinidad</t>
  </si>
  <si>
    <t>myb1020359</t>
  </si>
  <si>
    <t>paid including vendors . In September, 1912, 100,000 shares were oflered for</t>
  </si>
  <si>
    <t>Porco Tin Mines</t>
  </si>
  <si>
    <t>myb1022026</t>
  </si>
  <si>
    <t>1918-19, 10 per cent. paid August</t>
  </si>
  <si>
    <t>myb1040105</t>
  </si>
  <si>
    <t>in fully paid £1 shares and the balance in cash. An excavating and washing</t>
  </si>
  <si>
    <t>Cascalho Syndicate Limited Dcir Ecir</t>
  </si>
  <si>
    <t>myb1040197</t>
  </si>
  <si>
    <t>exchange for each old share; the reconstruetors subscribed for 50,000 shares at</t>
  </si>
  <si>
    <t>Cassel Coal Limited</t>
  </si>
  <si>
    <t>myb1045026</t>
  </si>
  <si>
    <t>192 4: , 1921.</t>
  </si>
  <si>
    <t>Easr Rand Mining Estates Gold</t>
  </si>
  <si>
    <t>myb1045237</t>
  </si>
  <si>
    <t>£290,000, which, at the company s option, may be satisfied in fully-paid shares at</t>
  </si>
  <si>
    <t>Eastern Moneer Limited</t>
  </si>
  <si>
    <t>myb1053599</t>
  </si>
  <si>
    <t>par for one share in Winnebah Tinfields, Ltd., for every three London Dublin</t>
  </si>
  <si>
    <t>London Dublin Gold Coast Syndicate</t>
  </si>
  <si>
    <t>myb1054002</t>
  </si>
  <si>
    <t>originally £1,312,500, in 1,250,000 ordinary shares of £1 each and 1,250,000 de</t>
  </si>
  <si>
    <t>Mokinley Dabbagh Savage Mines</t>
  </si>
  <si>
    <t>myb1056000</t>
  </si>
  <si>
    <t>1920: highest, 29s. 9d.; lowest, lls. 3 l. Latest price, 13s. 101d.</t>
  </si>
  <si>
    <t>Mongu Nigeria Tin Mines Limited</t>
  </si>
  <si>
    <t>myb1064128</t>
  </si>
  <si>
    <t>Phones: 1573 Central, Swansea, 19574958, City, London.</t>
  </si>
  <si>
    <t>Richard Thomas And Limited</t>
  </si>
  <si>
    <t>myb1069358</t>
  </si>
  <si>
    <t>Dividends Including bonuses : 1899-1900, 25.; 1900-1, 2s.; 1901-2, 3a.;</t>
  </si>
  <si>
    <t>Tomboy Gold Mines Company Limited</t>
  </si>
  <si>
    <t>myb1072850</t>
  </si>
  <si>
    <t>Capital £500,000, in shares of £1 each, 450,000 issued and fully paid. The shares,</t>
  </si>
  <si>
    <t>myb1075664</t>
  </si>
  <si>
    <t>each with £24 paid. In February, 1913, the shares were divided into 750,000 £1</t>
  </si>
  <si>
    <t>Andrew Knowles And Sons Limited</t>
  </si>
  <si>
    <t>myb1075961</t>
  </si>
  <si>
    <t>London Committee.</t>
  </si>
  <si>
    <t>Anglo French Ural Syndicate Limited</t>
  </si>
  <si>
    <t>myb1076580</t>
  </si>
  <si>
    <t>situate about nine miles south-east of Edinburgh. The property is 2,400 acres</t>
  </si>
  <si>
    <t>Arniston Coal Company Limited</t>
  </si>
  <si>
    <t>myb1077875</t>
  </si>
  <si>
    <t>Prices, 1919 : highest, 2s. 1d.; lowest, 3d.; 1920 : highest, 81L; lowest, 3d.</t>
  </si>
  <si>
    <t>myb1078312</t>
  </si>
  <si>
    <t>and 1,311,750 ordinary credited as fullv paid. In December, 1919, 500,000</t>
  </si>
  <si>
    <t>Bei Gal Iron Limited</t>
  </si>
  <si>
    <t>myb1084848</t>
  </si>
  <si>
    <t>Accounts For year ended June 30, 1921, submitted in Glasgow Sep</t>
  </si>
  <si>
    <t>Dalmellington Iron Company Limited</t>
  </si>
  <si>
    <t>myb1085977</t>
  </si>
  <si>
    <t>nected by</t>
  </si>
  <si>
    <t>Durban Navigation Collier Iesi Limited</t>
  </si>
  <si>
    <t>myb1088842</t>
  </si>
  <si>
    <t>kept in London. Transfer form, common; fee, 2s. 6d.</t>
  </si>
  <si>
    <t>Ger River Tin Mines Limited</t>
  </si>
  <si>
    <t>myb1088875</t>
  </si>
  <si>
    <t>description of Railway Material</t>
  </si>
  <si>
    <t>Glamorgan Ematite Iron Ore Limited</t>
  </si>
  <si>
    <t>myb1089046</t>
  </si>
  <si>
    <t>fully paid. The shares, originally of £1 each, were divided into 53. shares in April,</t>
  </si>
  <si>
    <t>Globe And Phoenix Gold Mining</t>
  </si>
  <si>
    <t>myb1092775</t>
  </si>
  <si>
    <t>169 vtons value 7255 per cent.; 1920-21. 170 tons.</t>
  </si>
  <si>
    <t>Kaduna Syndicate Limited</t>
  </si>
  <si>
    <t>myb1097934</t>
  </si>
  <si>
    <t>Capital £25,000. in 24,750 ordinary shares of £1 each and 5,000 management</t>
  </si>
  <si>
    <t>Mount Ayliff Syndicate Limited</t>
  </si>
  <si>
    <t>myb1099527</t>
  </si>
  <si>
    <t>sunk from the 19th level to exploit the claim area leased from the City Deep, Ltd.</t>
  </si>
  <si>
    <t>New Goch Gold Mines Limited</t>
  </si>
  <si>
    <t>myb1099824</t>
  </si>
  <si>
    <t>repayment of capitalloan £15,000.</t>
  </si>
  <si>
    <t>myb1100644</t>
  </si>
  <si>
    <t>ence, 75,000 seven per cent. cumulative preference, and 75,000 ordinary shares</t>
  </si>
  <si>
    <t>myb1101026</t>
  </si>
  <si>
    <t>£1,100; creditors and loans £6,159.</t>
  </si>
  <si>
    <t>Nigerian Mining Synqjqate Limited</t>
  </si>
  <si>
    <t>myb1104502</t>
  </si>
  <si>
    <t>pended , 8,102 tons yielded gold value £12,620; loss £2,890. The property is to</t>
  </si>
  <si>
    <t>Progress Mines New Zealand Limited</t>
  </si>
  <si>
    <t>myb1108184</t>
  </si>
  <si>
    <t>Capital £600,000, in shares of v fit each; 115,665 preference and 200,000</t>
  </si>
  <si>
    <t>Shotts Iron Company Limited</t>
  </si>
  <si>
    <t>myb1108663</t>
  </si>
  <si>
    <t>per cent. ; 1904-5, 5 per cent.; 1905-6, 4 per cent.; 1906-7, 6 per cent.;</t>
  </si>
  <si>
    <t>Sneyd Collieries Limited</t>
  </si>
  <si>
    <t>myb1112705</t>
  </si>
  <si>
    <t>UNITED EXCELSlOR MINES. LTD. Directors Qualification, 500 shares £l25 . Major 0. T. Holland, Chairman. I H. P. Clemes. I J. Lion. I A. R. Wirgman. Manazer in Rhodesia B. G. Derry. Secretarial Agents and Ofllces Bromhead Bros.</t>
  </si>
  <si>
    <t>United Excelsior Mines Limited</t>
  </si>
  <si>
    <t>myb1113867</t>
  </si>
  <si>
    <t>The company owns 2,220 acres timber area. A complete SO-stamp mill and</t>
  </si>
  <si>
    <t>Waihi Gold Mining Company Limited</t>
  </si>
  <si>
    <t>myb1122706</t>
  </si>
  <si>
    <t>Secretaries and Oflices London and Rhodesian Mining and Land 00., Ltd.,</t>
  </si>
  <si>
    <t>Calumet And Arizona Mining Company</t>
  </si>
  <si>
    <t>myb1125226</t>
  </si>
  <si>
    <t>Bultfont-ein Diamond Mine, Kimberley, Cape Colony. As from July 1, 1889, the</t>
  </si>
  <si>
    <t>Consolidated Bultfontein Mine Limited</t>
  </si>
  <si>
    <t>myb1125335</t>
  </si>
  <si>
    <t>Telegrams: Anglemeter, London; Alta, Reet ton, N.Z. Phone: Wall 230.</t>
  </si>
  <si>
    <t>Consolidated Gold Limited New Zealand</t>
  </si>
  <si>
    <t>myb1129406</t>
  </si>
  <si>
    <t>Pedro Creeks, Alaska.</t>
  </si>
  <si>
    <t>Fairbanks Gold Mining Company Limited</t>
  </si>
  <si>
    <t>myb1131680</t>
  </si>
  <si>
    <t>Magnet Works, 50, Lombard St Birmingham. T h pShToRnINeG:: BOIIINGS BIRMINGHAM. 0N WAR OFFICE LISTS. MIDLANID 837. CONTRACTORS T0 rm: ADMIRALTY.</t>
  </si>
  <si>
    <t>Guest Keen And Nettlefolds Limited</t>
  </si>
  <si>
    <t>myb1134242</t>
  </si>
  <si>
    <t>Registered August, 1912, in Victoria, and is a third reconstruction of the</t>
  </si>
  <si>
    <t>Jumbo Gold Mining Company Limited</t>
  </si>
  <si>
    <t>myb1138070</t>
  </si>
  <si>
    <t>divided 40 per cent. to the Mexican Corpn., S.A., and 60 per cent. to the</t>
  </si>
  <si>
    <t>Mexican Corporation Limited</t>
  </si>
  <si>
    <t>myb1138951</t>
  </si>
  <si>
    <t>form, common; fee, 2s. 6d. per transfer of 100 shares or part. A South African</t>
  </si>
  <si>
    <t>Modderfontein Gold Mining Company Limited</t>
  </si>
  <si>
    <t>myb1139506</t>
  </si>
  <si>
    <t>consider ation was £395,000, in 395 00 fully-paid £1 shaves. The rail way was constructed. and</t>
  </si>
  <si>
    <t>Mount Lyell Mining Railway Limited</t>
  </si>
  <si>
    <t>myb1143436</t>
  </si>
  <si>
    <t>Recent Dividends on ordinary shares For 1912, 14 per cent.; for 1913, 16 per</t>
  </si>
  <si>
    <t>Ocean Coal And Wilsons Limited</t>
  </si>
  <si>
    <t>myb1144421</t>
  </si>
  <si>
    <t>accrued debenture interest, £47,138.</t>
  </si>
  <si>
    <t>myb1144925</t>
  </si>
  <si>
    <t>Registered August 22, 1907, to acquire from W. R. H. Chappel a tin mining</t>
  </si>
  <si>
    <t>Pengam Colliery Limited</t>
  </si>
  <si>
    <t>myb1145358</t>
  </si>
  <si>
    <t>Co., Ltd., the Plymouth Consolidated group of mines, together with adjoining</t>
  </si>
  <si>
    <t>Plymouth Consolidated Gold Mines Limited</t>
  </si>
  <si>
    <t>United Collieries Limited</t>
  </si>
  <si>
    <t>holders at par.</t>
  </si>
  <si>
    <t>Transvaal Coal Corporation Limited</t>
  </si>
  <si>
    <t>Box 2269, The Corner House, Johannesburg.</t>
  </si>
  <si>
    <t>Dunderland Iron Ore Company Limited</t>
  </si>
  <si>
    <t>net profits from the working of the mines is to be applied in paying off the prior</t>
  </si>
  <si>
    <t>African Mining Agency Limited</t>
  </si>
  <si>
    <t>District, Transvaal. In conjunction with the Southern Oregon Goldfields, Ltd.,</t>
  </si>
  <si>
    <t>African Land And Investment Limited</t>
  </si>
  <si>
    <t>Africa, Ltd., 1,000 North Oogies Witbank Collieries, Ltd., 1,006 Tait and 00.,</t>
  </si>
  <si>
    <t>Sungel Best Mines Limited</t>
  </si>
  <si>
    <t>creditors £246; share premium account £4,708.</t>
  </si>
  <si>
    <t>1900 £4 58. 011. 1906 £5 1118. id. 11112 .131108. 0d. 1918 .. £2 10 . 0d.</t>
  </si>
  <si>
    <t>Melbur China Clay Limited</t>
  </si>
  <si>
    <t>was dissolved. VV nMifE LYN V COLLIEFRIESI LTD.</t>
  </si>
  <si>
    <t>Imperial Navigation Coal Limited</t>
  </si>
  <si>
    <t>together with interest has been postponed until six months after the termination</t>
  </si>
  <si>
    <t>of coal bearing lands in the province of Behar and Urissa, India, comprising the</t>
  </si>
  <si>
    <t>1905-6, 15 per cent.</t>
  </si>
  <si>
    <t>Whitehaven Hematite Iron And Steel Company</t>
  </si>
  <si>
    <t>of 40,000 preference shares of £1 each. The capital was reduced to present amount</t>
  </si>
  <si>
    <t>Tarkwa Banket West Limited</t>
  </si>
  <si>
    <t>cost £200; creditors £2,168. Share premium account £7,481. No later accounts</t>
  </si>
  <si>
    <t>Mount Boppy Gold Mining Company</t>
  </si>
  <si>
    <t>P. l lgott, Chairman. I F . E. Power. | l . P. Power. | J. G. Robertson. J. Forsyth, M.L.A. Brisbane . I Hon. 511 R. Philp, M.L.A. Brisbane . Consulting Engineer W. H. Corbould. General Manager R. W. Powell. 1 Mine Manager S. Harris, Cloncurry, N. Queensland. Brisbane Secretary M. A. Corrie, Pa -bury House. Eagle Street, Brisbane. Secretary and. Head Omens W. H. Arnold. 39, Queen Street, Melbourne. London Agent and Offices E. Habben, Palmerston House. EA . 2.</t>
  </si>
  <si>
    <t>Enterprise Gold Mining Estates Limited</t>
  </si>
  <si>
    <t>AND FILTER CLOTHS FOR GOLD MINING</t>
  </si>
  <si>
    <t>ber, 1908, 4,000 shares were offered to shareholdersat £15 each at the rate of one</t>
  </si>
  <si>
    <t>DALMELLI NGTON IRON CO., LTD.</t>
  </si>
  <si>
    <t>British Aluminium Limited</t>
  </si>
  <si>
    <t>Transfer form, common; fee, 2s. 6d.; the debenture stock is transferable in</t>
  </si>
  <si>
    <t>Zaaiplaats Tin Mining Limited</t>
  </si>
  <si>
    <t>stones or when working any deposit of gold other than reef or vein gold, e.g., alluvial</t>
  </si>
  <si>
    <t>Tredegar Iron And Coal Company</t>
  </si>
  <si>
    <t>dividends and bonus absorbed £123,650, written off depreciation £10,000, trans</t>
  </si>
  <si>
    <t>ordinary shares. The capital was increased from £250,000 in May, 1910, by</t>
  </si>
  <si>
    <t>lbs. The tin mining properties are practically exhausted.</t>
  </si>
  <si>
    <t>African And European Investment Limited</t>
  </si>
  <si>
    <t>Bechuanaland Farms, Ltd. represented a total of 1,396,198 acres with mineral</t>
  </si>
  <si>
    <t>Tongkah Hareour Tin Dredging Company</t>
  </si>
  <si>
    <t>yard; profit, 4 8d. per cubic yard; 1915-16, 1,076 tons tin oxide, value £114,993;</t>
  </si>
  <si>
    <t>Tin Areas Nigeria Limited</t>
  </si>
  <si>
    <t>shares of that company. The property now held by the company consists of mining</t>
  </si>
  <si>
    <t>Libiola Copper Mining Company Limited</t>
  </si>
  <si>
    <t>Capital £252,000, in 50,400 shares of £5 each; all the shares are issued and</t>
  </si>
  <si>
    <t>East Kent Colliery Company Limited</t>
  </si>
  <si>
    <t>funds being required the £77,700 debentures issued as security for loans and bank</t>
  </si>
  <si>
    <t>Bennett Heyde Nhey New Oannon</t>
  </si>
  <si>
    <t>SEND us particulars of your</t>
  </si>
  <si>
    <t>Normandy Tron Works Company Limited</t>
  </si>
  <si>
    <t>multiples</t>
  </si>
  <si>
    <t>Nipissinq Mines Company</t>
  </si>
  <si>
    <t>per oz. During 1915, the figures were 4,097,392 ozs.; costs</t>
  </si>
  <si>
    <t>Merton Metallurgical Company Limited</t>
  </si>
  <si>
    <t>Transfer form, common; fee, 2s. 6d.</t>
  </si>
  <si>
    <t>and minimum upkeep are</t>
  </si>
  <si>
    <t>Zaruma Gold Mining Company Limited</t>
  </si>
  <si>
    <t>Accounts The first ordinary general meeting was held December 18, 1915;</t>
  </si>
  <si>
    <t>was payable March 17, 1911. Debenture-holders £78,890 issued agreed</t>
  </si>
  <si>
    <t>Porcupine Davidson Gold Mines Limited</t>
  </si>
  <si>
    <t>take over from the Crown</t>
  </si>
  <si>
    <t>Luipaard Vlei Gold Mining Company</t>
  </si>
  <si>
    <t>the South reef, and</t>
  </si>
  <si>
    <t>Cleeves Western Collieriesanthracite</t>
  </si>
  <si>
    <t>Becretary and Offices D. J. Williams, York Chambers, Swansea. elegrams: Nndicaul, Swansea. Phone</t>
  </si>
  <si>
    <t>Burma Reiby Mines Limited</t>
  </si>
  <si>
    <t>losses were written off by reducing paid-up capital to the extent of 8s. per share.</t>
  </si>
  <si>
    <t>Anglos Spanish Lead And Zinc</t>
  </si>
  <si>
    <t>Capital £1,200, in shares of £1 each; 1,193 shares are issued credited except</t>
  </si>
  <si>
    <t>20,000 was guaranteed, the guarantors receiving the is. premium and an option</t>
  </si>
  <si>
    <t>Carn Brea And Tincroft Min</t>
  </si>
  <si>
    <t>portion oi this £1 per share remaining unpaid at time of winding up the company</t>
  </si>
  <si>
    <t>NORTH BRANCEPETH CQAL COMPANY, LlMlTED. Directors Qualitlcntion, £2,500 .</t>
  </si>
  <si>
    <t>Burma Development Syndicate Limited</t>
  </si>
  <si>
    <t>station, on the Lashio Branch of the Burma railways. The property is held</t>
  </si>
  <si>
    <t>Askern Coal And Iron Company</t>
  </si>
  <si>
    <t>capital, but in the event of any part of the said sum being in urrear for more</t>
  </si>
  <si>
    <t>Alliance Exploitations Limited</t>
  </si>
  <si>
    <t>W. Rose. J. W. H. Dew, Mann, ing.</t>
  </si>
  <si>
    <t>Alaska United Gold Mining Company</t>
  </si>
  <si>
    <t>86 per cent. absorbed $321,360, written 0E property and plant $222,522, leaving</t>
  </si>
  <si>
    <t>14s.; lowest, 2s. 6d. ; 1912: highest, 9s. 415d; louvesr, 2s.; 1913: highest, -15. 6d.;</t>
  </si>
  <si>
    <t>Standard Consolidated Tin Mines Limited</t>
  </si>
  <si>
    <t>Smith s Bank. Ltd. Melbourne Secretary and Offices G. Gilliman, we, Little Collins Street.</t>
  </si>
  <si>
    <t>25th, 1911; 1911-12, ML</t>
  </si>
  <si>
    <t>Hodroyd Coal Company Limited</t>
  </si>
  <si>
    <t>published.</t>
  </si>
  <si>
    <t>Blue Sptjb And Gabriel Gully</t>
  </si>
  <si>
    <t>The company</t>
  </si>
  <si>
    <t>May Consolidated Gold Mining Company</t>
  </si>
  <si>
    <t>Consulting Engineer-W. McC. Cameron, Box 1125, Johannesburg.</t>
  </si>
  <si>
    <t>Strat Hearn Mining Jcompany Limited</t>
  </si>
  <si>
    <t>as Is. Od. paid for every old fully-paid £1 share held.</t>
  </si>
  <si>
    <t>Rose Deep Limited</t>
  </si>
  <si>
    <t>sum of £397,141; dividends absorbed £230,000, taxes £20,424, amalgamation</t>
  </si>
  <si>
    <t>every three held, subscribers having an option until March 31st, 1912, over one</t>
  </si>
  <si>
    <t>Lomah Stoesse Extension Rhodesia Limited</t>
  </si>
  <si>
    <t>February Otb, 191 1, in Nos. 36,765 to 40,924 and May 1 1th. 1911, in Nos. 45,001</t>
  </si>
  <si>
    <t>Directors 8. W. Teasdale; W. G. Carpenter.</t>
  </si>
  <si>
    <t>Apex Mines Limited</t>
  </si>
  <si>
    <t>at 40s. each. The capital was increased to £150,000 in April, 1899, the</t>
  </si>
  <si>
    <t>Mining EJn. gSitniidehenrhne. | Dr. C. P. Knight. I W.Watson. and Manager John Hayes, Roa, Greymoutb, N.Z.</t>
  </si>
  <si>
    <t>Mount Cuthbert Liability</t>
  </si>
  <si>
    <t>£240,000, in 240,000 shares of £1 each; 159,330</t>
  </si>
  <si>
    <t>Ewesley Quarry Company Limited</t>
  </si>
  <si>
    <t>H. B. Omsby. I J. Morison, M.I.C.E. | J. McKelvie.</t>
  </si>
  <si>
    <t>Bestwood Coal And Jron Limited</t>
  </si>
  <si>
    <t>BESTWOOD COAL AND IRON CO., LTD.</t>
  </si>
  <si>
    <t>Obbuassi Mines Limited</t>
  </si>
  <si>
    <t>This oompany was registered May 12th, 1896, to acquire from the West African</t>
  </si>
  <si>
    <t>London Zambes Syndicate Limited</t>
  </si>
  <si>
    <t>C. P. Rowfell. | Isaic Lewis. | Goo. Pauling. I W. F. Andrews . | H. D. Lewis.</t>
  </si>
  <si>
    <t>Ashanti Properties Limited</t>
  </si>
  <si>
    <t>20,000 shares held by the Ashanti Rivers Co. not participating , and also had</t>
  </si>
  <si>
    <t>Alluvi Syndicate Lnlgeri Limited</t>
  </si>
  <si>
    <t>general miners in Nigeria. The authorised capital is £6,000 in 6,000 shares of £1</t>
  </si>
  <si>
    <t>Lymni Copper Mining Syndicate Limited</t>
  </si>
  <si>
    <t>properties and rights at Lymni, Cyprus. The consideration was £4,000 in</t>
  </si>
  <si>
    <t>Gold Coast Investment Company</t>
  </si>
  <si>
    <t>17,000 fully-paid shares and £3,670 debentures in the Bartie Corporation, Ltd.</t>
  </si>
  <si>
    <t>share for every two shares held :</t>
  </si>
  <si>
    <t>Wemyss Collieries Trust Limited</t>
  </si>
  <si>
    <t>an accumulating sinking fund of £2,000 per annum, but after November 11th,</t>
  </si>
  <si>
    <t>Vaal River Diamond Company Limited</t>
  </si>
  <si>
    <t>call on 3,427 shares was 6s., payable Juno Oth, 1907.</t>
  </si>
  <si>
    <t>City And Suburban Gold Mining</t>
  </si>
  <si>
    <t>vendors received £30,000 in fully-paid shares. In 1891 the company purchased</t>
  </si>
  <si>
    <t>Ashan And Concessio Ite</t>
  </si>
  <si>
    <t>into 143,066 ordinary and 176,250 deferred shares of 103. each, the deferred</t>
  </si>
  <si>
    <t>Tasmanian Gold Company Limited</t>
  </si>
  <si>
    <t>underwriting 210,000 shares, also to the former owners of the property a sum of</t>
  </si>
  <si>
    <t>Day Dawn Gold Mines Limited</t>
  </si>
  <si>
    <t>3s. 6d. ; 1907 : highest, 4s. 6d. ; lowest, 3d. ; 1908 : highest, 2s. 9d. ; lowest, nil.</t>
  </si>
  <si>
    <t>Servian Syndicate Limited</t>
  </si>
  <si>
    <t>Thomas Honey, Chairman I Fredk. C. Marten. | H. Ghidsal. I C. C. Banc, i T. E. Honey,</t>
  </si>
  <si>
    <t>Anglo Continentall Gold Syndicate</t>
  </si>
  <si>
    <t>British Borneo Exploration, South West Africa Co., 4c, also debentures in the</t>
  </si>
  <si>
    <t>Rand Mines Limited</t>
  </si>
  <si>
    <t>Nourse Mines</t>
  </si>
  <si>
    <t>Scottish Australian Mining Company</t>
  </si>
  <si>
    <t>1002 ... 3</t>
  </si>
  <si>
    <t>Akim Goldfields Limited</t>
  </si>
  <si>
    <t>Local Manager N. A. D. Armstrong , Dawson City, Yukon Territory. Cunltdl.</t>
  </si>
  <si>
    <t>Atacama Mineral Company, Limited. Armitage, James Auriot, M.D., is a director of the Farnley Iron Company, Limited. Armitage, John Ramsden, Thornfield, Bradford, is a director of the</t>
  </si>
  <si>
    <t>British South Africa Company</t>
  </si>
  <si>
    <t>BRITISH SOUTH AFRICA COMPANY.</t>
  </si>
  <si>
    <t>Horo Concession Exploration Company Swazieland</t>
  </si>
  <si>
    <t>Elizabeth on the 24th February, 1893. On the 7th July, 1893, a reconstrnction</t>
  </si>
  <si>
    <t>New Douro Gold Mines Limited</t>
  </si>
  <si>
    <t>NEW DOURO GOLD MINES, LIMITED.</t>
  </si>
  <si>
    <t>Mosman Gold Mining Company Limited</t>
  </si>
  <si>
    <t>MOSMAN GOLD</t>
  </si>
  <si>
    <t>East Pool Mining Company</t>
  </si>
  <si>
    <t>EAST POOL MINING COMPANY.</t>
  </si>
  <si>
    <t>East Grassington Mines Limited</t>
  </si>
  <si>
    <t>The authorised capital is £30,000, in 30,000 shares of £1 each, of which 20,995</t>
  </si>
  <si>
    <t>Spanish Prospecting Syndicate Limited</t>
  </si>
  <si>
    <t>The authorised capital is £12,000, in 12,000 shares of £1 each, of which 7,663</t>
  </si>
  <si>
    <t>Mobuta Gold And Silveb</t>
  </si>
  <si>
    <t>The director have to report that the development of tho company s property has l cen</t>
  </si>
  <si>
    <t>Wassau Gold Coast Mining Company</t>
  </si>
  <si>
    <t>ANNUM, REPOKT.</t>
  </si>
  <si>
    <t>Norway Mining Corporation Limited</t>
  </si>
  <si>
    <t>apatite, copper, gold, silver, lead, and other mines in Norway and Sweden.</t>
  </si>
  <si>
    <t>Bishop Creek Gold Mining Company</t>
  </si>
  <si>
    <t>The company is now being wound up by the Court of Chancery, an order for</t>
  </si>
  <si>
    <t>Salisbury Extension Gold Mining Company</t>
  </si>
  <si>
    <t>the amount placed to reserve fund and working expenses, £U,4&amp;8 19s. 5d. ; leaving m &amp;ea</t>
  </si>
  <si>
    <t>1882, 9,740</t>
  </si>
  <si>
    <t>Douro Gold Mines Limited</t>
  </si>
  <si>
    <t>DOURO GOLD MINES, LIMITED.</t>
  </si>
  <si>
    <t>Copiapo Mining Company Limited</t>
  </si>
  <si>
    <t>has left a net profit of £1,526 5s. lod.</t>
  </si>
  <si>
    <t>Viola Company Limited</t>
  </si>
  <si>
    <t>quarters ending November 1, 1886, February 1 and May 2, 1887, and at the rate</t>
  </si>
  <si>
    <t>correct</t>
  </si>
  <si>
    <t>myb</t>
  </si>
  <si>
    <t>role</t>
  </si>
  <si>
    <t>year regist</t>
  </si>
  <si>
    <t>amm</t>
  </si>
  <si>
    <t>mmm</t>
  </si>
  <si>
    <t>alumni</t>
  </si>
  <si>
    <t>company/organization</t>
  </si>
  <si>
    <t>AIME</t>
  </si>
  <si>
    <t>education</t>
  </si>
  <si>
    <t>location</t>
  </si>
  <si>
    <t>Overall</t>
  </si>
  <si>
    <t>Last name</t>
  </si>
  <si>
    <t>First name</t>
  </si>
  <si>
    <t>Middle name</t>
  </si>
  <si>
    <t>Education</t>
  </si>
  <si>
    <t>Company/organization</t>
  </si>
  <si>
    <t>Position</t>
  </si>
  <si>
    <t>Location</t>
  </si>
  <si>
    <t>Item</t>
  </si>
  <si>
    <t>Accuracy</t>
  </si>
  <si>
    <t>cer</t>
  </si>
  <si>
    <t>cerco</t>
  </si>
  <si>
    <t>totco</t>
  </si>
  <si>
    <t>tot</t>
  </si>
  <si>
    <t>faber, d</t>
  </si>
  <si>
    <t>firmstone, w</t>
  </si>
  <si>
    <t>humphreys, a</t>
  </si>
  <si>
    <t>k, n</t>
  </si>
  <si>
    <t>pearse, j</t>
  </si>
  <si>
    <t>symincton, w</t>
  </si>
  <si>
    <t>allen, o</t>
  </si>
  <si>
    <t>beardslek, c</t>
  </si>
  <si>
    <t>bennett, d</t>
  </si>
  <si>
    <t>bowir, a</t>
  </si>
  <si>
    <t>burden, i</t>
  </si>
  <si>
    <t>burtue, p</t>
  </si>
  <si>
    <t>croxton, s</t>
  </si>
  <si>
    <t>duval, c</t>
  </si>
  <si>
    <t>ellsworta, a</t>
  </si>
  <si>
    <t>harden, o</t>
  </si>
  <si>
    <t>macfarlane, t</t>
  </si>
  <si>
    <t>mickley, e</t>
  </si>
  <si>
    <t>ropinson, l</t>
  </si>
  <si>
    <t>wood, h</t>
  </si>
  <si>
    <t>agasiz, a</t>
  </si>
  <si>
    <t>bonnell, s</t>
  </si>
  <si>
    <t>champin, h</t>
  </si>
  <si>
    <t>garlick, e</t>
  </si>
  <si>
    <t>haut, r</t>
  </si>
  <si>
    <t>himrop, c</t>
  </si>
  <si>
    <t>kelly, r</t>
  </si>
  <si>
    <t>lauder, w</t>
  </si>
  <si>
    <t>olcott, e</t>
  </si>
  <si>
    <t>pickanps, h</t>
  </si>
  <si>
    <t>raper, c</t>
  </si>
  <si>
    <t>ross, w</t>
  </si>
  <si>
    <t>sanders, r</t>
  </si>
  <si>
    <t>scott, n</t>
  </si>
  <si>
    <t>smeaton, w</t>
  </si>
  <si>
    <t>warren, h</t>
  </si>
  <si>
    <t>wickrs, g</t>
  </si>
  <si>
    <t>brown, a</t>
  </si>
  <si>
    <t>brown, f</t>
  </si>
  <si>
    <t>case, w</t>
  </si>
  <si>
    <t>colrtron, c</t>
  </si>
  <si>
    <t>crossley, w</t>
  </si>
  <si>
    <t>davenport, r</t>
  </si>
  <si>
    <t>de, c</t>
  </si>
  <si>
    <t>freeman, h</t>
  </si>
  <si>
    <t>gardner, g</t>
  </si>
  <si>
    <t>gibson, v</t>
  </si>
  <si>
    <t>graham, t</t>
  </si>
  <si>
    <t>henry, e</t>
  </si>
  <si>
    <t>janin, h</t>
  </si>
  <si>
    <t>jossa, n</t>
  </si>
  <si>
    <t>land, w</t>
  </si>
  <si>
    <t>mccultlou, e</t>
  </si>
  <si>
    <t>noble, c</t>
  </si>
  <si>
    <t>preklor, h</t>
  </si>
  <si>
    <t>sherrerd, j</t>
  </si>
  <si>
    <t>strieby, w</t>
  </si>
  <si>
    <t>thompson, h</t>
  </si>
  <si>
    <t>thonarp, l</t>
  </si>
  <si>
    <t>townsend, d</t>
  </si>
  <si>
    <t>van vornuts, w</t>
  </si>
  <si>
    <t>van, b</t>
  </si>
  <si>
    <t>williams, w</t>
  </si>
  <si>
    <t>allen, j</t>
  </si>
  <si>
    <t>bertolet, a</t>
  </si>
  <si>
    <t>borpa, e</t>
  </si>
  <si>
    <t>brakm, h</t>
  </si>
  <si>
    <t>brinley, c</t>
  </si>
  <si>
    <t>brown, h</t>
  </si>
  <si>
    <t>coxe, a</t>
  </si>
  <si>
    <t>cramer, e</t>
  </si>
  <si>
    <t>cranz, w</t>
  </si>
  <si>
    <t>curren, j</t>
  </si>
  <si>
    <t>franklin, w</t>
  </si>
  <si>
    <t>goodale, c</t>
  </si>
  <si>
    <t>griffin, j</t>
  </si>
  <si>
    <t>hann, i</t>
  </si>
  <si>
    <t>harris, w</t>
  </si>
  <si>
    <t>hausbina, f</t>
  </si>
  <si>
    <t>hctron, f</t>
  </si>
  <si>
    <t>hurrox, w</t>
  </si>
  <si>
    <t>lowe, f</t>
  </si>
  <si>
    <t>mckenziz, j</t>
  </si>
  <si>
    <t>parsons, c</t>
  </si>
  <si>
    <t>pecuin, e</t>
  </si>
  <si>
    <t>rick, a</t>
  </si>
  <si>
    <t>serz, g</t>
  </si>
  <si>
    <t>storper, e</t>
  </si>
  <si>
    <t>terrt, w</t>
  </si>
  <si>
    <t>thomas, j</t>
  </si>
  <si>
    <t>thomson, j</t>
  </si>
  <si>
    <t>trompson, h</t>
  </si>
  <si>
    <t>van, l</t>
  </si>
  <si>
    <t>witlarp, h</t>
  </si>
  <si>
    <t>wittmack, c</t>
  </si>
  <si>
    <t>bachman, f</t>
  </si>
  <si>
    <t>balley, g</t>
  </si>
  <si>
    <t>brainerd, a</t>
  </si>
  <si>
    <t>brown, i</t>
  </si>
  <si>
    <t>burnham, w</t>
  </si>
  <si>
    <t>charleton, a</t>
  </si>
  <si>
    <t>clemes, j</t>
  </si>
  <si>
    <t>cummmer, f</t>
  </si>
  <si>
    <t>emuery, a</t>
  </si>
  <si>
    <t>fry, j</t>
  </si>
  <si>
    <t>furman, h</t>
  </si>
  <si>
    <t>gridley, e</t>
  </si>
  <si>
    <t>heckscher, a</t>
  </si>
  <si>
    <t>heemenway, e</t>
  </si>
  <si>
    <t>hildreth, w</t>
  </si>
  <si>
    <t>hoatson, t</t>
  </si>
  <si>
    <t>holsprook, f</t>
  </si>
  <si>
    <t>horcukiss, j</t>
  </si>
  <si>
    <t>jones, t</t>
  </si>
  <si>
    <t>manrci, w</t>
  </si>
  <si>
    <t>masters, w</t>
  </si>
  <si>
    <t>matthiessen, f</t>
  </si>
  <si>
    <t>mce, m</t>
  </si>
  <si>
    <t>mcginness, m</t>
  </si>
  <si>
    <t>mcnatr, t</t>
  </si>
  <si>
    <t>moen, p</t>
  </si>
  <si>
    <t>moss, m</t>
  </si>
  <si>
    <t>mupp, s</t>
  </si>
  <si>
    <t>o, p</t>
  </si>
  <si>
    <t>patterson, j</t>
  </si>
  <si>
    <t>peele, r</t>
  </si>
  <si>
    <t>pollard, j</t>
  </si>
  <si>
    <t>presbrey, o</t>
  </si>
  <si>
    <t>priatr, j</t>
  </si>
  <si>
    <t>randolph, g</t>
  </si>
  <si>
    <t>richards, w</t>
  </si>
  <si>
    <t>saunders, w</t>
  </si>
  <si>
    <t>schwarz, t</t>
  </si>
  <si>
    <t>werr, c</t>
  </si>
  <si>
    <t>wilson, j</t>
  </si>
  <si>
    <t>alexander, c</t>
  </si>
  <si>
    <t>armstrong, h</t>
  </si>
  <si>
    <t>beebe, a</t>
  </si>
  <si>
    <t>bowron, w</t>
  </si>
  <si>
    <t>churchill, a</t>
  </si>
  <si>
    <t>clapp, g</t>
  </si>
  <si>
    <t>clemens, g</t>
  </si>
  <si>
    <t>comstock, t</t>
  </si>
  <si>
    <t>cooper, w</t>
  </si>
  <si>
    <t>cucrch, w</t>
  </si>
  <si>
    <t>fords, a</t>
  </si>
  <si>
    <t>hurron, f</t>
  </si>
  <si>
    <t>itarris, j</t>
  </si>
  <si>
    <t>munroe, h</t>
  </si>
  <si>
    <t>robertson, k</t>
  </si>
  <si>
    <t>sheafer, w</t>
  </si>
  <si>
    <t>slack, c</t>
  </si>
  <si>
    <t>snyder, j</t>
  </si>
  <si>
    <t>sst, a</t>
  </si>
  <si>
    <t>stillman, t</t>
  </si>
  <si>
    <t>tarlor, s</t>
  </si>
  <si>
    <t>tors, a</t>
  </si>
  <si>
    <t>turopp, j</t>
  </si>
  <si>
    <t>wartenweiler, a</t>
  </si>
  <si>
    <t>weaver, v</t>
  </si>
  <si>
    <t>weeks, j</t>
  </si>
  <si>
    <t>wheelock, j</t>
  </si>
  <si>
    <t>williams, j</t>
  </si>
  <si>
    <t>wotcott, h</t>
  </si>
  <si>
    <t>catlin, w</t>
  </si>
  <si>
    <t>scott, j</t>
  </si>
  <si>
    <t>bawden, f</t>
  </si>
  <si>
    <t>bellinger, h</t>
  </si>
  <si>
    <t>best, g</t>
  </si>
  <si>
    <t>bulkley, f</t>
  </si>
  <si>
    <t>burden, j</t>
  </si>
  <si>
    <t>burns, p</t>
  </si>
  <si>
    <t>clark, c</t>
  </si>
  <si>
    <t>cunningham, j</t>
  </si>
  <si>
    <t>devereux, w</t>
  </si>
  <si>
    <t>dunshee, b</t>
  </si>
  <si>
    <t>finch, i</t>
  </si>
  <si>
    <t>fraser, c</t>
  </si>
  <si>
    <t>hegeler, j</t>
  </si>
  <si>
    <t>henderson, j</t>
  </si>
  <si>
    <t>hutchinson, r</t>
  </si>
  <si>
    <t>jamme, g</t>
  </si>
  <si>
    <t>kemp, w</t>
  </si>
  <si>
    <t>kingsbury, j</t>
  </si>
  <si>
    <t>lessig, g</t>
  </si>
  <si>
    <t>longnecker, g</t>
  </si>
  <si>
    <t>meyer, a</t>
  </si>
  <si>
    <t>middleton, w</t>
  </si>
  <si>
    <t>moorg, p</t>
  </si>
  <si>
    <t>morrison, w</t>
  </si>
  <si>
    <t>morse, p</t>
  </si>
  <si>
    <t>nason, p</t>
  </si>
  <si>
    <t>noyes, w</t>
  </si>
  <si>
    <t>odlin, f</t>
  </si>
  <si>
    <t>potter, e</t>
  </si>
  <si>
    <t>rose, w</t>
  </si>
  <si>
    <t>sayre, h</t>
  </si>
  <si>
    <t>shennan, j</t>
  </si>
  <si>
    <t>smith, f</t>
  </si>
  <si>
    <t>smith, h</t>
  </si>
  <si>
    <t>trewenack, w</t>
  </si>
  <si>
    <t>uehling, e</t>
  </si>
  <si>
    <t>van, w</t>
  </si>
  <si>
    <t>western, c</t>
  </si>
  <si>
    <t>wilkens, h</t>
  </si>
  <si>
    <t>wishon, w</t>
  </si>
  <si>
    <t>stubbs, f</t>
  </si>
  <si>
    <t>newson, j</t>
  </si>
  <si>
    <t>tillman, j</t>
  </si>
  <si>
    <t>pridham, h</t>
  </si>
  <si>
    <t>wetherill, j</t>
  </si>
  <si>
    <t>sweet, t</t>
  </si>
  <si>
    <t>wendel, c</t>
  </si>
  <si>
    <t>ackerman, w</t>
  </si>
  <si>
    <t>arnberg, c</t>
  </si>
  <si>
    <t>bache, f</t>
  </si>
  <si>
    <t>bailey, c</t>
  </si>
  <si>
    <t>bain, h</t>
  </si>
  <si>
    <t>barbour, t</t>
  </si>
  <si>
    <t>barley, e</t>
  </si>
  <si>
    <t>barnard, g</t>
  </si>
  <si>
    <t>beaumont, m</t>
  </si>
  <si>
    <t>bermingham, j</t>
  </si>
  <si>
    <t>berry, j</t>
  </si>
  <si>
    <t>bradford, s</t>
  </si>
  <si>
    <t>bretherton, g</t>
  </si>
  <si>
    <t>burritt, w</t>
  </si>
  <si>
    <t>byrnes, o</t>
  </si>
  <si>
    <t>cadle, c</t>
  </si>
  <si>
    <t>chalmers, w</t>
  </si>
  <si>
    <t>chamberlain, h</t>
  </si>
  <si>
    <t>chippendale, a</t>
  </si>
  <si>
    <t>christianson, p</t>
  </si>
  <si>
    <t>connell, w</t>
  </si>
  <si>
    <t>conner, j</t>
  </si>
  <si>
    <t>cooper, a</t>
  </si>
  <si>
    <t>curry, h</t>
  </si>
  <si>
    <t>davies, e</t>
  </si>
  <si>
    <t>davison, g</t>
  </si>
  <si>
    <t>dodge, c</t>
  </si>
  <si>
    <t>downs, c</t>
  </si>
  <si>
    <t>dumont, j</t>
  </si>
  <si>
    <t>escobar, m</t>
  </si>
  <si>
    <t>fackenthal, m</t>
  </si>
  <si>
    <t>foster, p</t>
  </si>
  <si>
    <t>fowle, j</t>
  </si>
  <si>
    <t>gayley, j</t>
  </si>
  <si>
    <t>gilpin, f</t>
  </si>
  <si>
    <t>goodloe, m</t>
  </si>
  <si>
    <t>goop, g</t>
  </si>
  <si>
    <t>gorham, a</t>
  </si>
  <si>
    <t>greeng, f</t>
  </si>
  <si>
    <t>hall, h</t>
  </si>
  <si>
    <t>hill, h</t>
  </si>
  <si>
    <t>hinchman, c</t>
  </si>
  <si>
    <t>howe, c</t>
  </si>
  <si>
    <t>jenkins, g</t>
  </si>
  <si>
    <t>jenks, t</t>
  </si>
  <si>
    <t>kasahara, w</t>
  </si>
  <si>
    <t>kayser, h</t>
  </si>
  <si>
    <t>knight, e</t>
  </si>
  <si>
    <t>kurtz, h</t>
  </si>
  <si>
    <t>ludlow, e</t>
  </si>
  <si>
    <t>macfarlane, r</t>
  </si>
  <si>
    <t>masters, h</t>
  </si>
  <si>
    <t>mathewson, e</t>
  </si>
  <si>
    <t>maxson, c</t>
  </si>
  <si>
    <t>mckay, j</t>
  </si>
  <si>
    <t>mckenna, c</t>
  </si>
  <si>
    <t>meister, h</t>
  </si>
  <si>
    <t>merricks, f</t>
  </si>
  <si>
    <t>messiter, e</t>
  </si>
  <si>
    <t>miller, a</t>
  </si>
  <si>
    <t>miller, h</t>
  </si>
  <si>
    <t>moopy, b</t>
  </si>
  <si>
    <t>moore, c</t>
  </si>
  <si>
    <t>morley, h</t>
  </si>
  <si>
    <t>morris, g</t>
  </si>
  <si>
    <t>morrison, e</t>
  </si>
  <si>
    <t>munroe, c</t>
  </si>
  <si>
    <t>neill, w</t>
  </si>
  <si>
    <t>olcott, w</t>
  </si>
  <si>
    <t>olhausen, j</t>
  </si>
  <si>
    <t>oliver, h</t>
  </si>
  <si>
    <t>patterson, r</t>
  </si>
  <si>
    <t>plummer, j</t>
  </si>
  <si>
    <t>poage, j</t>
  </si>
  <si>
    <t>rand, j</t>
  </si>
  <si>
    <t>remsen, i</t>
  </si>
  <si>
    <t>rickard, h</t>
  </si>
  <si>
    <t>rogers, e</t>
  </si>
  <si>
    <t>ruttmann, f</t>
  </si>
  <si>
    <t>schmidt, d</t>
  </si>
  <si>
    <t>seddon, t</t>
  </si>
  <si>
    <t>shaboft, e</t>
  </si>
  <si>
    <t>singer, w</t>
  </si>
  <si>
    <t>sinn, a</t>
  </si>
  <si>
    <t>slater, a</t>
  </si>
  <si>
    <t>smedley, a</t>
  </si>
  <si>
    <t>sperry, e</t>
  </si>
  <si>
    <t>stow, a</t>
  </si>
  <si>
    <t>taylor, w</t>
  </si>
  <si>
    <t>thomas, t</t>
  </si>
  <si>
    <t>titcomsb, h</t>
  </si>
  <si>
    <t>toll, a</t>
  </si>
  <si>
    <t>trautvctter, c</t>
  </si>
  <si>
    <t>treweek, j</t>
  </si>
  <si>
    <t>turner, r</t>
  </si>
  <si>
    <t>upham, c</t>
  </si>
  <si>
    <t>van, s</t>
  </si>
  <si>
    <t>vogelsang, k</t>
  </si>
  <si>
    <t>warden, b</t>
  </si>
  <si>
    <t>weaver, h</t>
  </si>
  <si>
    <t>wiard, e</t>
  </si>
  <si>
    <t>wilkes, j</t>
  </si>
  <si>
    <t>wilson, g</t>
  </si>
  <si>
    <t>woodbridge, t</t>
  </si>
  <si>
    <t>schoonmaker, h</t>
  </si>
  <si>
    <t>thomas, d</t>
  </si>
  <si>
    <t>beeler, h</t>
  </si>
  <si>
    <t>meikleham, r</t>
  </si>
  <si>
    <t>rawn, a</t>
  </si>
  <si>
    <t>roesler, a</t>
  </si>
  <si>
    <t>boyle, j</t>
  </si>
  <si>
    <t>carpenter, a</t>
  </si>
  <si>
    <t>collins, j</t>
  </si>
  <si>
    <t>du, f</t>
  </si>
  <si>
    <t>netter, a</t>
  </si>
  <si>
    <t>olyntho, a</t>
  </si>
  <si>
    <t>smith, r</t>
  </si>
  <si>
    <t>starr, c</t>
  </si>
  <si>
    <t>temby, e</t>
  </si>
  <si>
    <t>newman, b</t>
  </si>
  <si>
    <t>fudge, t</t>
  </si>
  <si>
    <t>giroux, f</t>
  </si>
  <si>
    <t>gordon, l</t>
  </si>
  <si>
    <t>kapelowitz, b</t>
  </si>
  <si>
    <t>leckie, r</t>
  </si>
  <si>
    <t>mosier, m</t>
  </si>
  <si>
    <t>ough, s</t>
  </si>
  <si>
    <t>conner, h</t>
  </si>
  <si>
    <t>hunt, t</t>
  </si>
  <si>
    <t>kuryla, m</t>
  </si>
  <si>
    <t>richardson, s</t>
  </si>
  <si>
    <t>turner, n</t>
  </si>
  <si>
    <t>weiskopf, a</t>
  </si>
  <si>
    <t>brown, d</t>
  </si>
  <si>
    <t>lancaster, h</t>
  </si>
  <si>
    <t>mcaulifte, e</t>
  </si>
  <si>
    <t>butler, m</t>
  </si>
  <si>
    <t>merrill, p</t>
  </si>
  <si>
    <t>stewart, c</t>
  </si>
  <si>
    <t>borie, a</t>
  </si>
  <si>
    <t>engel, g</t>
  </si>
  <si>
    <t>goldswortliy, j</t>
  </si>
  <si>
    <t>howell, f</t>
  </si>
  <si>
    <t>spicer, p</t>
  </si>
  <si>
    <t>barnard, e</t>
  </si>
  <si>
    <t>beck, e</t>
  </si>
  <si>
    <t>broden, a</t>
  </si>
  <si>
    <t>crandall, r</t>
  </si>
  <si>
    <t>hioki, m</t>
  </si>
  <si>
    <t>libby, f</t>
  </si>
  <si>
    <t>perry, w</t>
  </si>
  <si>
    <t>schiffner, o</t>
  </si>
  <si>
    <t>slosson, h</t>
  </si>
  <si>
    <t>tpearce, s</t>
  </si>
  <si>
    <t>CER</t>
  </si>
  <si>
    <t/>
  </si>
  <si>
    <t>MYB</t>
  </si>
  <si>
    <t>AMM</t>
  </si>
  <si>
    <t>MMM</t>
  </si>
  <si>
    <t>ALUMNI</t>
  </si>
  <si>
    <t>Company/Organization</t>
  </si>
  <si>
    <t>Capital</t>
  </si>
  <si>
    <t>Year Regist</t>
  </si>
  <si>
    <t>Lastname</t>
  </si>
  <si>
    <t>Firstname</t>
  </si>
  <si>
    <t>Middlename</t>
  </si>
  <si>
    <t>Role</t>
  </si>
  <si>
    <t>Nationality</t>
  </si>
  <si>
    <t>WACC</t>
  </si>
  <si>
    <t>N</t>
  </si>
  <si>
    <t>san francisco usa</t>
  </si>
  <si>
    <t>freiberg sachsen</t>
  </si>
  <si>
    <t>washington usa</t>
  </si>
  <si>
    <t>titel ungarn</t>
  </si>
  <si>
    <t>new york usa</t>
  </si>
  <si>
    <t>dierdorf rheinpreuben</t>
  </si>
  <si>
    <t>chemnitz sachsen</t>
  </si>
  <si>
    <t>marienberg</t>
  </si>
  <si>
    <t>altenburg</t>
  </si>
  <si>
    <t>colditz sachsen</t>
  </si>
  <si>
    <t>erivan rubland</t>
  </si>
  <si>
    <t>aimaberg rubland</t>
  </si>
  <si>
    <t>weida b</t>
  </si>
  <si>
    <t>pleiske b</t>
  </si>
  <si>
    <t>munchen</t>
  </si>
  <si>
    <t>neuruppin</t>
  </si>
  <si>
    <t>city wisconsin usa</t>
  </si>
  <si>
    <t>aachen preuben</t>
  </si>
  <si>
    <t>elberfeld</t>
  </si>
  <si>
    <t>baron hintzenberg rubland</t>
  </si>
  <si>
    <t>witten preuben</t>
  </si>
  <si>
    <t>yercand indien</t>
  </si>
  <si>
    <t>schlobchemnitz bei chemnitz</t>
  </si>
  <si>
    <t>goldingen rubl</t>
  </si>
  <si>
    <t>ananiew rubland</t>
  </si>
  <si>
    <t>dresden</t>
  </si>
  <si>
    <t>cordareni rumii</t>
  </si>
  <si>
    <t>cassel preuben</t>
  </si>
  <si>
    <t>tabbifer rubland</t>
  </si>
  <si>
    <t>moskau</t>
  </si>
  <si>
    <t>warschau</t>
  </si>
  <si>
    <t>kharkov ukraine</t>
  </si>
  <si>
    <t>goslar preu en</t>
  </si>
  <si>
    <t>jassy rum</t>
  </si>
  <si>
    <t>plowdir bulgarien</t>
  </si>
  <si>
    <t>irkutsk rubland</t>
  </si>
  <si>
    <t>odessa rubland</t>
  </si>
  <si>
    <t>vaslui rum</t>
  </si>
  <si>
    <t>kiew rubland</t>
  </si>
  <si>
    <t>kapstadt stidafrika</t>
  </si>
  <si>
    <t>hornhausen preuben</t>
  </si>
  <si>
    <t>wasserau rubi</t>
  </si>
  <si>
    <t>belopolie rubland</t>
  </si>
  <si>
    <t>herbert dresden</t>
  </si>
  <si>
    <t>sayda</t>
  </si>
  <si>
    <t>zwickau sachsen</t>
  </si>
  <si>
    <t>johannes dresden</t>
  </si>
  <si>
    <t>nowapraga b</t>
  </si>
  <si>
    <t>kotelniki russia</t>
  </si>
  <si>
    <t>sachsen</t>
  </si>
  <si>
    <t>oberschlema sachsen</t>
  </si>
  <si>
    <t>holzminden braunschweig</t>
  </si>
  <si>
    <t>grillenburg sachsen</t>
  </si>
  <si>
    <t>li ibau sachsen</t>
  </si>
  <si>
    <t>leipzig</t>
  </si>
  <si>
    <t>zitzau</t>
  </si>
  <si>
    <t>schleiz germany</t>
  </si>
  <si>
    <t>freiberg sa</t>
  </si>
  <si>
    <t>kau frnann</t>
  </si>
  <si>
    <t>schwyz switzerland</t>
  </si>
  <si>
    <t>weibwasser kr</t>
  </si>
  <si>
    <t>dortmund</t>
  </si>
  <si>
    <t>riga lettland</t>
  </si>
  <si>
    <t>goppingen</t>
  </si>
  <si>
    <t>dill lngen</t>
  </si>
  <si>
    <t>grobauheim b</t>
  </si>
  <si>
    <t>annaberg erzgeb</t>
  </si>
  <si>
    <t>biebrioh ruhr</t>
  </si>
  <si>
    <t>falticeni rur</t>
  </si>
  <si>
    <t>oslo</t>
  </si>
  <si>
    <t>zeitz</t>
  </si>
  <si>
    <t>houghton mich</t>
  </si>
  <si>
    <t>hilo hawaii</t>
  </si>
  <si>
    <t>new york city new york</t>
  </si>
  <si>
    <t>oskaloosa iowa</t>
  </si>
  <si>
    <t>chicago illinois</t>
  </si>
  <si>
    <t>brown station new york</t>
  </si>
  <si>
    <t>amalfi colombia</t>
  </si>
  <si>
    <t>new haven connecticut</t>
  </si>
  <si>
    <t>mexico city mexico</t>
  </si>
  <si>
    <t>cudahy wisconsin</t>
  </si>
  <si>
    <t>salem massachusetts</t>
  </si>
  <si>
    <t>quinebaug connecticut</t>
  </si>
  <si>
    <t>northampton pennsylvania</t>
  </si>
  <si>
    <t>johannesburg africa south</t>
  </si>
  <si>
    <t>lynn massachusetts</t>
  </si>
  <si>
    <t>spencer massachusetts</t>
  </si>
  <si>
    <t>pasadena california</t>
  </si>
  <si>
    <t>newburyport massachusetts</t>
  </si>
  <si>
    <t>butte, mont.</t>
  </si>
  <si>
    <t>butte</t>
  </si>
  <si>
    <t>state college penn</t>
  </si>
  <si>
    <t>naval architecture</t>
  </si>
  <si>
    <t>co tavoy burma</t>
  </si>
  <si>
    <t>venezuela</t>
  </si>
  <si>
    <t>otago</t>
  </si>
  <si>
    <t>waiiii ivio grange dunback otago new zealand</t>
  </si>
  <si>
    <t>cedars road clapham common london sw</t>
  </si>
  <si>
    <t>engaged in gold mining died in british guiana on february th</t>
  </si>
  <si>
    <t>the gold quartz deposits of pahang</t>
  </si>
  <si>
    <t>belgium</t>
  </si>
  <si>
    <t>links end ashford middlesex</t>
  </si>
  <si>
    <t>organ</t>
  </si>
  <si>
    <t>mining co fms</t>
  </si>
  <si>
    <t>surveying at rsm</t>
  </si>
  <si>
    <t>italy</t>
  </si>
  <si>
    <t>cal.</t>
  </si>
  <si>
    <t>san francisco cal.</t>
  </si>
  <si>
    <t>chapila st.. santa barbara cal.</t>
  </si>
  <si>
    <t>indianapolis ind.</t>
  </si>
  <si>
    <t>stockton cal.</t>
  </si>
  <si>
    <t>hollands cal.</t>
  </si>
  <si>
    <t>soji jose cal.</t>
  </si>
  <si>
    <t>campbell cal.</t>
  </si>
  <si>
    <t>santa rosa cal.</t>
  </si>
  <si>
    <t>san jose cal</t>
  </si>
  <si>
    <t>boston, mass</t>
  </si>
  <si>
    <t>new york.</t>
  </si>
  <si>
    <t>e. pittsburgh.</t>
  </si>
  <si>
    <t>shanghai.</t>
  </si>
  <si>
    <t>orange.</t>
  </si>
  <si>
    <t>newtonville.</t>
  </si>
  <si>
    <t>atlanta.</t>
  </si>
  <si>
    <t>worcester.</t>
  </si>
  <si>
    <t>hannover</t>
  </si>
  <si>
    <t>leominster.</t>
  </si>
  <si>
    <t>wilkinsburg.</t>
  </si>
  <si>
    <t>morgantown w virginia</t>
  </si>
  <si>
    <t>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</si>
</sst>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 x14ac:knownFonts="1">
    <font>
      <sz val="11"/>
      <color theme="1"/>
      <name val="Calibri"/>
      <family val="2"/>
      <scheme val="minor"/>
    </font>
    <font>
      <sz val="8"/>
      <name val="Calibri"/>
      <family val="2"/>
      <scheme val="minor"/>
    </font>
    <font>
      <sz val="11"/>
      <color theme="1"/>
      <name val="Calibri"/>
      <family val="2"/>
      <scheme val="minor"/>
    </font>
  </fonts>
  <fills count="9">
    <fill>
      <patternFill patternType="none"/>
    </fill>
    <fill>
      <patternFill patternType="gray125"/>
    </fill>
    <fill>
      <patternFill patternType="solid">
        <fgColor rgb="FFA9D08E"/>
        <bgColor indexed="64"/>
      </patternFill>
    </fill>
    <fill>
      <patternFill patternType="solid">
        <fgColor rgb="FFC6E0B4"/>
        <bgColor indexed="64"/>
      </patternFill>
    </fill>
    <fill>
      <patternFill patternType="solid">
        <fgColor rgb="FFFFFF00"/>
        <bgColor indexed="64"/>
      </patternFill>
    </fill>
    <fill>
      <patternFill patternType="solid">
        <fgColor rgb="FFF8CBAD"/>
        <bgColor indexed="64"/>
      </patternFill>
    </fill>
    <fill>
      <patternFill patternType="solid">
        <fgColor rgb="FFFFF2CC"/>
        <bgColor indexed="64"/>
      </patternFill>
    </fill>
    <fill>
      <patternFill patternType="solid">
        <fgColor rgb="FFFCE4D6"/>
        <bgColor indexed="64"/>
      </patternFill>
    </fill>
    <fill>
      <patternFill patternType="solid">
        <fgColor rgb="FFE2EFDA"/>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11" fontId="0" fillId="0" borderId="0" xfId="0" applyNumberFormat="1"/>
    <xf numFmtId="3"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1" xfId="0" applyBorder="1"/>
    <xf numFmtId="10" fontId="0" fillId="0" borderId="1" xfId="1" applyNumberFormat="1" applyFont="1" applyBorder="1"/>
    <xf numFmtId="164" fontId="0" fillId="0" borderId="0" xfId="0" applyNumberFormat="1"/>
    <xf numFmtId="0" fontId="0" fillId="0" borderId="1" xfId="0" applyBorder="1" applyAlignment="1">
      <alignment horizontal="center"/>
    </xf>
    <xf numFmtId="10" fontId="0" fillId="0" borderId="1" xfId="1" applyNumberFormat="1" applyFont="1" applyBorder="1" applyAlignment="1">
      <alignment horizontal="center"/>
    </xf>
    <xf numFmtId="10" fontId="0" fillId="0" borderId="0" xfId="1" applyNumberFormat="1" applyFont="1"/>
    <xf numFmtId="0" fontId="0" fillId="0" borderId="4" xfId="0" applyBorder="1"/>
    <xf numFmtId="165" fontId="0" fillId="0" borderId="1" xfId="1" applyNumberFormat="1" applyFont="1" applyBorder="1"/>
    <xf numFmtId="165" fontId="0" fillId="4" borderId="1" xfId="1" applyNumberFormat="1" applyFont="1" applyFill="1" applyBorder="1"/>
    <xf numFmtId="0" fontId="0" fillId="2" borderId="0" xfId="0" applyFill="1" applyAlignment="1">
      <alignment horizontal="center"/>
    </xf>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13"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0" fontId="0" fillId="0" borderId="7" xfId="1" applyNumberFormat="1" applyFont="1" applyBorder="1" applyAlignment="1">
      <alignment horizontal="center"/>
    </xf>
    <xf numFmtId="10" fontId="0" fillId="0" borderId="11" xfId="1" applyNumberFormat="1" applyFont="1" applyBorder="1" applyAlignment="1">
      <alignment horizontal="center"/>
    </xf>
    <xf numFmtId="10" fontId="0" fillId="0" borderId="8" xfId="1" applyNumberFormat="1" applyFont="1" applyBorder="1" applyAlignment="1">
      <alignment horizontal="center"/>
    </xf>
    <xf numFmtId="10" fontId="0" fillId="0" borderId="9" xfId="1" applyNumberFormat="1" applyFont="1" applyBorder="1" applyAlignment="1">
      <alignment horizontal="center"/>
    </xf>
    <xf numFmtId="10" fontId="0" fillId="0" borderId="12" xfId="1" applyNumberFormat="1" applyFont="1" applyBorder="1" applyAlignment="1">
      <alignment horizontal="center"/>
    </xf>
    <xf numFmtId="10" fontId="0" fillId="0" borderId="10" xfId="1" applyNumberFormat="1" applyFont="1" applyBorder="1" applyAlignment="1">
      <alignment horizontal="center"/>
    </xf>
    <xf numFmtId="10" fontId="0" fillId="0" borderId="2" xfId="1" applyNumberFormat="1" applyFont="1" applyBorder="1" applyAlignment="1">
      <alignment horizontal="center"/>
    </xf>
    <xf numFmtId="10" fontId="0" fillId="0" borderId="3" xfId="1" applyNumberFormat="1" applyFont="1" applyBorder="1" applyAlignment="1">
      <alignment horizontal="center"/>
    </xf>
    <xf numFmtId="165" fontId="0" fillId="0" borderId="1" xfId="1" applyNumberFormat="1" applyFont="1" applyBorder="1" applyAlignment="1"/>
    <xf numFmtId="165" fontId="0" fillId="0" borderId="1" xfId="1" applyNumberFormat="1" applyFont="1" applyBorder="1" applyAlignment="1">
      <alignment horizontal="center"/>
    </xf>
    <xf numFmtId="0" fontId="0" fillId="0" borderId="3" xfId="0"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Nathaniel James Burke" id="{A9DD1EB0-F074-4EC3-B3C7-3BA1F15AD097}" userId="" providerId=""/>
  <person displayName="Israel Garcìa Solares" id="{A177F909-4FC4-44CE-8EE9-AB6BFEA98C7D}" userId="8983eb0721f26e7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8" dT="2020-11-03T23:06:56.02" personId="{A177F909-4FC4-44CE-8EE9-AB6BFEA98C7D}" id="{8C50064A-90C3-47C0-AB65-2EC1622A1828}" done="1">
    <text>this is a tricky one, but it is actually correct. The firm had offices in london, and their main operation was in Colombia, but it also owned properties in Bolivia.</text>
  </threadedComment>
  <threadedComment ref="J19" dT="2020-11-03T03:46:23.02" personId="{A9DD1EB0-F074-4EC3-B3C7-3BA1F15AD097}" id="{862E0815-37D2-4CAA-87B0-D76CBCAF5F18}">
    <text>This text, company, and location lead me to a number of possible instances in the manual. How should I classify this line?</text>
  </threadedComment>
  <threadedComment ref="J31" dT="2020-11-03T04:12:07.52" personId="{A9DD1EB0-F074-4EC3-B3C7-3BA1F15AD097}" id="{06DF9050-C0AD-4E7C-AA08-90580002F655}">
    <text>Similar problem here as with myb47091</text>
  </threadedComment>
  <threadedComment ref="O33" dT="2020-11-03T04:31:40.36" personId="{A9DD1EB0-F074-4EC3-B3C7-3BA1F15AD097}" id="{EBC219D4-7AAF-4CF9-B3C9-98446C0FCF4A}">
    <text>This is just off by a few characters</text>
  </threadedComment>
  <threadedComment ref="O33" dT="2020-11-18T20:17:10.94" personId="{A9DD1EB0-F074-4EC3-B3C7-3BA1F15AD097}" id="{7D633673-198C-4756-8C40-CAD1D6919985}" parentId="{EBC219D4-7AAF-4CF9-B3C9-98446C0FCF4A}">
    <text>a mistake</text>
  </threadedComment>
  <threadedComment ref="O38" dT="2020-11-18T20:28:15.01" personId="{A9DD1EB0-F074-4EC3-B3C7-3BA1F15AD097}" id="{0710E73E-783A-469B-B312-E19705CEC59D}">
    <text>this is an "a"</text>
  </threadedComment>
  <threadedComment ref="J39" dT="2020-11-03T04:43:33.63" personId="{A9DD1EB0-F074-4EC3-B3C7-3BA1F15AD097}" id="{29D80408-5BA0-4F37-BA50-798FA0CFC081}">
    <text>Similar problem as with myb47091</text>
  </threadedComment>
  <threadedComment ref="J41" dT="2020-11-03T04:47:53.82" personId="{A9DD1EB0-F074-4EC3-B3C7-3BA1F15AD097}" id="{FEFB8407-4C47-4E5F-8333-E5E21EABBC23}">
    <text>I found this company but the text wasn't associated with it</text>
  </threadedComment>
  <threadedComment ref="W49" dT="2020-11-23T18:26:42.67" personId="{A9DD1EB0-F074-4EC3-B3C7-3BA1F15AD097}" id="{B2743D19-E3CF-43BB-ADC5-94F8E0E0D45C}">
    <text>F. became frederick and M. became morton. Mistake?</text>
  </threadedComment>
  <threadedComment ref="R51" dT="2020-11-18T20:18:06.65" personId="{A9DD1EB0-F074-4EC3-B3C7-3BA1F15AD097}" id="{2138A98B-837A-4BE6-913C-2166F7AB2CCA}">
    <text>b</text>
  </threadedComment>
  <threadedComment ref="U54" dT="2020-11-18T20:18:16.19" personId="{A9DD1EB0-F074-4EC3-B3C7-3BA1F15AD097}" id="{E23A351E-58F8-463B-8D62-D0EEA8082C7A}">
    <text>b</text>
  </threadedComment>
  <threadedComment ref="J64" dT="2020-11-03T05:21:33.46" personId="{A9DD1EB0-F074-4EC3-B3C7-3BA1F15AD097}" id="{C421963B-3A32-4FE8-858C-73F7C947FFED}">
    <text>Can't find this one</text>
  </threadedComment>
  <threadedComment ref="O66" dT="2020-11-18T20:29:12.20" personId="{A9DD1EB0-F074-4EC3-B3C7-3BA1F15AD097}" id="{5D37BDB0-AF82-4BFC-B684-5A873B43DA44}">
    <text>this is an "a"</text>
  </threadedComment>
  <threadedComment ref="O72" dT="2020-11-18T02:56:36.15" personId="{A9DD1EB0-F074-4EC3-B3C7-3BA1F15AD097}" id="{2BA80700-A149-4A07-95CA-4BBE4C5F0971}">
    <text>How to classify when something is extracted but nothing should be?</text>
  </threadedComment>
  <threadedComment ref="O72" dT="2020-11-18T20:19:04.94" personId="{A9DD1EB0-F074-4EC3-B3C7-3BA1F15AD097}" id="{0196CC0E-9810-4069-9979-CC813D4204F8}" parentId="{2BA80700-A149-4A07-95CA-4BBE4C5F0971}">
    <text>b</text>
  </threadedComment>
  <threadedComment ref="O73" dT="2020-11-18T02:57:23.43" personId="{A9DD1EB0-F074-4EC3-B3C7-3BA1F15AD097}" id="{4975EA02-95C4-427E-BB95-99CE6326239A}">
    <text>same</text>
  </threadedComment>
  <threadedComment ref="J75" dT="2020-11-03T05:34:10.32" personId="{A9DD1EB0-F074-4EC3-B3C7-3BA1F15AD097}" id="{D51FB62E-873E-4DD5-848E-33971DD65791}">
    <text>This line is a copy of myb215149</text>
  </threadedComment>
  <threadedComment ref="C93" dT="2020-11-04T04:05:23.87" personId="{A9DD1EB0-F074-4EC3-B3C7-3BA1F15AD097}" id="{A57D19F3-B141-4F50-BE52-AED48600C691}">
    <text>This is the right company but it is copied wrong. t or f?</text>
  </threadedComment>
  <threadedComment ref="C93" dT="2020-11-18T20:31:01.29" personId="{A9DD1EB0-F074-4EC3-B3C7-3BA1F15AD097}" id="{F8A0A778-0219-43C5-B11B-139721409024}" parentId="{A57D19F3-B141-4F50-BE52-AED48600C691}">
    <text>a</text>
  </threadedComment>
  <threadedComment ref="C94" dT="2020-11-04T04:05:45.58" personId="{A9DD1EB0-F074-4EC3-B3C7-3BA1F15AD097}" id="{0881623A-4201-460F-B274-4D70D706A6CE}">
    <text>Same as above</text>
  </threadedComment>
  <threadedComment ref="C113" dT="2020-11-04T04:44:51.67" personId="{A9DD1EB0-F074-4EC3-B3C7-3BA1F15AD097}" id="{271582B2-70F6-4577-8B46-94B968F1CE26}">
    <text>text error</text>
  </threadedComment>
  <threadedComment ref="U114" dT="2020-11-04T04:50:56.84" personId="{A9DD1EB0-F074-4EC3-B3C7-3BA1F15AD097}" id="{5BAA384F-7E3F-4335-80C1-0CCA514746DF}">
    <text>Transvaal?</text>
  </threadedComment>
  <threadedComment ref="O126" dT="2020-11-18T03:48:54.82" personId="{A9DD1EB0-F074-4EC3-B3C7-3BA1F15AD097}" id="{79EA80F5-2B14-4553-8AC9-CF2F1324D7E5}">
    <text>couldnt find the text, but the company and loc are good</text>
  </threadedComment>
  <threadedComment ref="U131" dT="2020-11-18T20:26:12.63" personId="{A9DD1EB0-F074-4EC3-B3C7-3BA1F15AD097}" id="{DABC9A9E-1C07-4A89-A34F-CECB04067376}">
    <text>b</text>
  </threadedComment>
  <threadedComment ref="W133" dT="2020-11-23T19:00:17.98" personId="{A9DD1EB0-F074-4EC3-B3C7-3BA1F15AD097}" id="{19EFC38B-50D4-4E97-932B-FE336D32ECDD}">
    <text>is this a mistake?</text>
  </threadedComment>
  <threadedComment ref="O147" dT="2020-11-18T04:27:44.89" personId="{A9DD1EB0-F074-4EC3-B3C7-3BA1F15AD097}" id="{C4F80DEF-5842-41DF-BF3C-DDC6D18641ED}">
    <text>B should be an R?</text>
  </threadedComment>
  <threadedComment ref="J174" dT="2020-11-18T05:06:14.58" personId="{A9DD1EB0-F074-4EC3-B3C7-3BA1F15AD097}" id="{CF9B8AC8-DE82-4245-B1D8-7540A839358E}">
    <text>How do I go about solving this one?</text>
  </threadedComment>
  <threadedComment ref="U177" dT="2020-11-18T05:09:06.58" personId="{A9DD1EB0-F074-4EC3-B3C7-3BA1F15AD097}" id="{4F6D7C59-4414-4094-8ACB-A603C884690B}">
    <text>"nine miles east of" is in the manual, but is not quite the location</text>
  </threadedComment>
  <threadedComment ref="U177" dT="2020-11-18T20:25:48.32" personId="{A9DD1EB0-F074-4EC3-B3C7-3BA1F15AD097}" id="{231DB257-DF37-4566-A7C6-C4B7853EBBFB}" parentId="{4F6D7C59-4414-4094-8ACB-A603C884690B}">
    <text>b</text>
  </threadedComment>
  <threadedComment ref="J188" dT="2020-11-18T05:20:51.25" personId="{A9DD1EB0-F074-4EC3-B3C7-3BA1F15AD097}" id="{D233CD48-4331-46D5-B7C6-EC5F3190378A}">
    <text>cant find this one</text>
  </threadedComment>
  <threadedComment ref="I191" dT="2020-11-18T05:24:30.46" personId="{A9DD1EB0-F074-4EC3-B3C7-3BA1F15AD097}" id="{A823474A-934F-416D-A6A2-23BA3200168F}">
    <text>broken hill?</text>
  </threadedComment>
  <threadedComment ref="J206" dT="2020-11-18T05:47:05.25" personId="{A9DD1EB0-F074-4EC3-B3C7-3BA1F15AD097}" id="{6FE52310-FD24-4B5B-8194-8EA58FB213DC}">
    <text>can't find it</text>
  </threadedComment>
  <threadedComment ref="J206" dT="2020-11-18T20:25:04.68" personId="{A9DD1EB0-F074-4EC3-B3C7-3BA1F15AD097}" id="{0B85F8FD-D5A4-4BBB-909D-4D9DED4C7E4F}" parentId="{6FE52310-FD24-4B5B-8194-8EA58FB213DC}">
    <text>highlight yellow</text>
  </threadedComment>
  <threadedComment ref="J211" dT="2020-11-18T05:52:25.14" personId="{A9DD1EB0-F074-4EC3-B3C7-3BA1F15AD097}" id="{33619EB0-6A29-4163-A4CA-0AFA76247C71}">
    <text>cant find it</text>
  </threadedComment>
  <threadedComment ref="J213" dT="2020-11-18T05:56:21.04" personId="{A9DD1EB0-F074-4EC3-B3C7-3BA1F15AD097}" id="{3F989162-1E12-4BB9-8E36-995E2F6F717E}">
    <text>cant find it</text>
  </threadedComment>
  <threadedComment ref="U217" dT="2020-11-18T20:20:57.69" personId="{A9DD1EB0-F074-4EC3-B3C7-3BA1F15AD097}" id="{A621A1B5-E786-41BE-BA97-64753E6B9F46}">
    <text>b</text>
  </threadedComment>
  <threadedComment ref="J219" dT="2020-11-18T06:04:12.45" personId="{A9DD1EB0-F074-4EC3-B3C7-3BA1F15AD097}" id="{D58D44E1-E207-45A8-B3D7-780884C9E2A9}">
    <text>cant find it</text>
  </threadedComment>
  <threadedComment ref="J226" dT="2020-11-23T19:55:40.58" personId="{A9DD1EB0-F074-4EC3-B3C7-3BA1F15AD097}" id="{747393B4-075A-43D2-882E-08F660B2BEDF}">
    <text>Something is wrong with this text</text>
  </threadedComment>
  <threadedComment ref="J238" dT="2020-11-23T20:10:47.72" personId="{A9DD1EB0-F074-4EC3-B3C7-3BA1F15AD097}" id="{B13CAEDD-88AF-4142-B08D-11918CC199E9}">
    <text>This text is off, can't find it anywhere</text>
  </threadedComment>
  <threadedComment ref="U240" dT="2020-11-23T20:15:02.74" personId="{A9DD1EB0-F074-4EC3-B3C7-3BA1F15AD097}" id="{58493878-6A19-4AEA-84FD-0DECD59590F6}">
    <text>Rosario is included in the name of a company in the text, but not a location</text>
  </threadedComment>
  <threadedComment ref="O260" dT="2020-11-23T21:54:24.76" personId="{A9DD1EB0-F074-4EC3-B3C7-3BA1F15AD097}" id="{63B992ED-DFCB-4B49-B61E-F29302FD9E56}">
    <text>A large fraction of the errors in this column are because it lists the previous mining comany's name rather than the correct one.</text>
  </threadedComment>
  <threadedComment ref="W270" dT="2020-11-23T22:10:36.96" personId="{A9DD1EB0-F074-4EC3-B3C7-3BA1F15AD097}" id="{0A4680F5-5201-4B9C-BFC9-464E6358269C}">
    <text>H. to Howard</text>
  </threadedComment>
  <threadedComment ref="J274" dT="2020-11-23T22:26:25.91" personId="{A9DD1EB0-F074-4EC3-B3C7-3BA1F15AD097}" id="{0797736C-C7C7-489E-96ED-0A2C68A93AF2}">
    <text>Don't know which instance of this text to refer to to check the location</text>
  </threadedComment>
  <threadedComment ref="U364" dT="2020-11-24T21:25:42.39" personId="{A9DD1EB0-F074-4EC3-B3C7-3BA1F15AD097}" id="{66C842C1-1717-4D26-9CBD-445A5075A037}">
    <text>Portland is part of the office address, but it is not in portland?</text>
  </threadedComment>
  <threadedComment ref="U377" dT="2020-11-24T21:40:08.33" personId="{A9DD1EB0-F074-4EC3-B3C7-3BA1F15AD097}" id="{DE5981E0-2F05-4DED-B63E-250E38B752C2}">
    <text>Portland House, London</text>
  </threadedComment>
  <threadedComment ref="U377" dT="2020-11-24T21:40:13.17" personId="{A9DD1EB0-F074-4EC3-B3C7-3BA1F15AD097}" id="{4A24543B-87F8-4AE5-97AA-8D340E63A601}" parentId="{DE5981E0-2F05-4DED-B63E-250E38B752C2}">
    <text>?</text>
  </threadedComment>
  <threadedComment ref="U393" dT="2020-11-24T22:05:33.76" personId="{A9DD1EB0-F074-4EC3-B3C7-3BA1F15AD097}" id="{5FE3E16F-2D94-43A4-8874-76733EC8D0B6}">
    <text>Salisbury House?</text>
  </threadedComment>
</ThreadedComments>
</file>

<file path=xl/threadedComments/threadedComment2.xml><?xml version="1.0" encoding="utf-8"?>
<ThreadedComments xmlns="http://schemas.microsoft.com/office/spreadsheetml/2018/threadedcomments" xmlns:x="http://schemas.openxmlformats.org/spreadsheetml/2006/main">
  <threadedComment ref="X138" dT="2020-11-25T17:10:03.62" personId="{A9DD1EB0-F074-4EC3-B3C7-3BA1F15AD097}" id="{4697069B-40DC-48A5-ADD8-B8D698084F69}">
    <text>Says Chief instead of Chief Engineer</text>
  </threadedComment>
  <threadedComment ref="S142" dT="2020-11-25T17:12:26.52" personId="{A9DD1EB0-F074-4EC3-B3C7-3BA1F15AD097}" id="{0FF9116C-57BD-41DF-8066-AD2F1B407119}">
    <text>Here, is duluth an acceptable loc?</text>
  </threadedComment>
  <threadedComment ref="S170" dT="2020-11-25T17:33:24.33" personId="{A9DD1EB0-F074-4EC3-B3C7-3BA1F15AD097}" id="{A2675595-7E4D-4314-BD64-A7C2B5C175ED}">
    <text>check loc</text>
  </threadedComment>
  <threadedComment ref="U176" dT="2020-11-25T17:44:02.82" personId="{A9DD1EB0-F074-4EC3-B3C7-3BA1F15AD097}" id="{68B3B45D-E3D4-4A6B-873B-1E9790AFFB67}">
    <text>Not sure which is first name or last name here</text>
  </threadedComment>
  <threadedComment ref="X180" dT="2020-11-25T18:01:02.53" personId="{A9DD1EB0-F074-4EC3-B3C7-3BA1F15AD097}" id="{65232CF9-A6A1-4B8E-8FEA-B518F495C63A}">
    <text>"Chief" Engineer?</text>
  </threadedComment>
  <threadedComment ref="G195" dT="2020-11-25T18:10:06.82" personId="{A9DD1EB0-F074-4EC3-B3C7-3BA1F15AD097}" id="{79C7F518-EB70-45E2-B6EF-B4C7F7D68FD3}">
    <text>What is this column? is this an acceptable entry?</text>
  </threadedComment>
  <threadedComment ref="S208" dT="2020-11-25T18:16:13.51" personId="{A9DD1EB0-F074-4EC3-B3C7-3BA1F15AD097}" id="{C2F57468-CA16-427A-A83D-B96DAC2DFB2F}">
    <text>Check loc</text>
  </threadedComment>
  <threadedComment ref="S216" dT="2020-11-25T18:23:15.29" personId="{A9DD1EB0-F074-4EC3-B3C7-3BA1F15AD097}" id="{519800C2-7F9F-42DE-8CE5-1545EC66743D}">
    <text>check loc</text>
  </threadedComment>
  <threadedComment ref="G220" dT="2020-11-25T18:25:47.91" personId="{A9DD1EB0-F074-4EC3-B3C7-3BA1F15AD097}" id="{825F1673-DDE1-41DC-B792-C84F92D81A70}">
    <text>Arizona?</text>
  </threadedComment>
  <threadedComment ref="N230" dT="2020-11-25T18:32:41.72" personId="{A9DD1EB0-F074-4EC3-B3C7-3BA1F15AD097}" id="{448907D0-D80D-4D67-9782-F5955A90A3A9}">
    <text>&amp;?</text>
  </threadedComment>
  <threadedComment ref="N236" dT="2020-11-25T18:32:50.47" personId="{A9DD1EB0-F074-4EC3-B3C7-3BA1F15AD097}" id="{9B157C46-BF1A-461F-AD48-AB119673D907}">
    <text>&amp;?</text>
  </threadedComment>
  <threadedComment ref="N239" dT="2020-11-25T18:33:42.11" personId="{A9DD1EB0-F074-4EC3-B3C7-3BA1F15AD097}" id="{1C7D5343-75C8-4541-B471-483B6406E0CB}">
    <text>&amp;?</text>
  </threadedComment>
  <threadedComment ref="G246" dT="2020-11-25T18:38:04.21" personId="{A9DD1EB0-F074-4EC3-B3C7-3BA1F15AD097}" id="{59657766-7695-4C09-84F1-59D5A6D7EC28}">
    <text>Delaware?</text>
  </threadedComment>
  <threadedComment ref="S250" dT="2020-11-25T18:39:50.06" personId="{A9DD1EB0-F074-4EC3-B3C7-3BA1F15AD097}" id="{D07118CC-BD4F-4A2C-B034-7539171EB2B4}">
    <text>check loc</text>
  </threadedComment>
  <threadedComment ref="N251" dT="2020-11-25T18:41:23.22" personId="{A9DD1EB0-F074-4EC3-B3C7-3BA1F15AD097}" id="{EDCF1A2C-3AD6-4B53-9D2C-281344103747}">
    <text>check</text>
  </threadedComment>
  <threadedComment ref="N254" dT="2020-11-25T18:44:32.30" personId="{A9DD1EB0-F074-4EC3-B3C7-3BA1F15AD097}" id="{2FCF9476-3137-4213-A399-96FA0D04F8BF}">
    <text>check this line</text>
  </threadedComment>
  <threadedComment ref="N262" dT="2020-11-25T18:48:00.26" personId="{A9DD1EB0-F074-4EC3-B3C7-3BA1F15AD097}" id="{E18E103E-9D50-4C39-8768-1FF68ABB3B20}">
    <text>check this line</text>
  </threadedComment>
  <threadedComment ref="N264" dT="2020-11-25T18:48:43.65" personId="{A9DD1EB0-F074-4EC3-B3C7-3BA1F15AD097}" id="{9DC36BD2-67D5-4009-8F81-EB6ABC731327}">
    <text>&amp;</text>
  </threadedComment>
  <threadedComment ref="N292" dT="2020-11-25T19:04:44.79" personId="{A9DD1EB0-F074-4EC3-B3C7-3BA1F15AD097}" id="{33DB9444-E2F3-4B6A-B0D9-2BC313525F82}">
    <text>&amp;</text>
  </threadedComment>
  <threadedComment ref="N298" dT="2020-11-25T19:07:08.17" personId="{A9DD1EB0-F074-4EC3-B3C7-3BA1F15AD097}" id="{8C7A8060-7518-4DCB-984E-F5C27EFC9026}">
    <text>&amp;</text>
  </threadedComment>
  <threadedComment ref="N310" dT="2020-11-25T19:10:54.00" personId="{A9DD1EB0-F074-4EC3-B3C7-3BA1F15AD097}" id="{85BE8CF1-C62F-4C97-9667-E12BA433D568}">
    <text>&amp;</text>
  </threadedComment>
  <threadedComment ref="N312" dT="2020-11-25T19:11:28.94" personId="{A9DD1EB0-F074-4EC3-B3C7-3BA1F15AD097}" id="{0FC0380B-F6C2-4A97-8E08-E7EE6B263527}">
    <text>&amp;</text>
  </threadedComment>
  <threadedComment ref="S330" dT="2020-11-25T19:17:31.64" personId="{A9DD1EB0-F074-4EC3-B3C7-3BA1F15AD097}" id="{5F9C78A4-377F-4641-86A3-705C7F14921D}">
    <text>Check loc</text>
  </threadedComment>
  <threadedComment ref="N334" dT="2020-11-29T19:05:29.87" personId="{A9DD1EB0-F074-4EC3-B3C7-3BA1F15AD097}" id="{82374F43-8CC2-4287-A93D-4FCEDF121974}">
    <text>&amp;</text>
  </threadedComment>
  <threadedComment ref="O343" dT="2020-11-29T19:13:42.19" personId="{A9DD1EB0-F074-4EC3-B3C7-3BA1F15AD097}" id="{4002BAF6-0593-4143-B702-4B64A533D4AE}">
    <text>bonds = stock?</text>
  </threadedComment>
  <threadedComment ref="N344" dT="2020-11-29T19:14:47.70" personId="{A9DD1EB0-F074-4EC3-B3C7-3BA1F15AD097}" id="{99C20DF5-99DF-4727-B660-A9EC6B946007}">
    <text>&amp;</text>
  </threadedComment>
  <threadedComment ref="N345" dT="2020-11-29T19:15:38.66" personId="{A9DD1EB0-F074-4EC3-B3C7-3BA1F15AD097}" id="{319F41DC-10E9-405C-B85E-26B11DBCDCE9}">
    <text>Check name</text>
  </threadedComment>
  <threadedComment ref="N349" dT="2020-11-29T19:23:44.54" personId="{A9DD1EB0-F074-4EC3-B3C7-3BA1F15AD097}" id="{D98151ED-CC9F-4990-9832-F29A0A4BFB3D}">
    <text>&amp;</text>
  </threadedComment>
  <threadedComment ref="N350" dT="2020-11-29T19:24:23.12" personId="{A9DD1EB0-F074-4EC3-B3C7-3BA1F15AD097}" id="{AFA33CD4-1B0F-49E0-9442-2341F24915F9}">
    <text>&amp;</text>
  </threadedComment>
  <threadedComment ref="N355" dT="2020-11-29T19:28:23.18" personId="{A9DD1EB0-F074-4EC3-B3C7-3BA1F15AD097}" id="{08A3A584-32CA-45E2-AEAA-7D289993300B}">
    <text>&amp;</text>
  </threadedComment>
  <threadedComment ref="N361" dT="2020-11-29T19:31:26.60" personId="{A9DD1EB0-F074-4EC3-B3C7-3BA1F15AD097}" id="{CADC9EAC-F981-4613-9062-684600998FD2}">
    <text>&amp;</text>
  </threadedComment>
  <threadedComment ref="N364" dT="2020-11-29T19:32:21.70" personId="{A9DD1EB0-F074-4EC3-B3C7-3BA1F15AD097}" id="{1DFE5BA7-61A8-414A-BDC5-36827EADEE45}">
    <text>&amp;</text>
  </threadedComment>
  <threadedComment ref="N373" dT="2020-11-29T19:37:38.73" personId="{A9DD1EB0-F074-4EC3-B3C7-3BA1F15AD097}" id="{76F24FD8-B221-4271-86F6-370450155349}">
    <text>Too much info</text>
  </threadedComment>
  <threadedComment ref="N373" dT="2020-11-29T19:37:58.43" personId="{A9DD1EB0-F074-4EC3-B3C7-3BA1F15AD097}" id="{3F7B8C1C-DC68-4CD2-BA39-73B23F522FB1}" parentId="{76F24FD8-B221-4271-86F6-370450155349}">
    <text>a?</text>
  </threadedComment>
  <threadedComment ref="N376" dT="2020-11-29T19:39:04.22" personId="{A9DD1EB0-F074-4EC3-B3C7-3BA1F15AD097}" id="{DF3CAAF8-2D74-4019-9449-E24B69698520}">
    <text>&amp;</text>
  </threadedComment>
  <threadedComment ref="N380" dT="2020-11-29T19:41:06.11" personId="{A9DD1EB0-F074-4EC3-B3C7-3BA1F15AD097}" id="{F1175231-6A32-47B2-9343-968F55AA8BD9}">
    <text>Check name</text>
  </threadedComment>
  <threadedComment ref="N384" dT="2020-11-29T19:42:46.75" personId="{A9DD1EB0-F074-4EC3-B3C7-3BA1F15AD097}" id="{899FF884-9A6C-491C-9ED9-F01AB45F7861}">
    <text>&amp;</text>
  </threadedComment>
</ThreadedComments>
</file>

<file path=xl/threadedComments/threadedComment3.xml><?xml version="1.0" encoding="utf-8"?>
<ThreadedComments xmlns="http://schemas.microsoft.com/office/spreadsheetml/2018/threadedcomments" xmlns:x="http://schemas.openxmlformats.org/spreadsheetml/2006/main">
  <threadedComment ref="G30" dT="2020-12-01T17:49:34.42" personId="{A9DD1EB0-F074-4EC3-B3C7-3BA1F15AD097}" id="{AB39BB5B-34B2-4858-BE82-CEC1A4DF18DD}">
    <text>Should be owned?</text>
  </threadedComment>
  <threadedComment ref="Y40" dT="2020-12-01T18:01:03.57" personId="{A9DD1EB0-F074-4EC3-B3C7-3BA1F15AD097}" id="{B5B7E917-51A9-4A17-8046-704716E75D0D}">
    <text>Partial address?</text>
  </threadedComment>
  <threadedComment ref="L60" dT="2020-12-01T18:43:02.50" personId="{A9DD1EB0-F074-4EC3-B3C7-3BA1F15AD097}" id="{9E3D087B-22CF-41F7-9CB2-F9C0F39F3F1A}">
    <text>is this okay? or is it an error?</text>
  </threadedComment>
  <threadedComment ref="Y60" dT="2020-12-01T18:49:49.51" personId="{A9DD1EB0-F074-4EC3-B3C7-3BA1F15AD097}" id="{9D785C44-4678-4DD7-A7F3-B8F91042F1E3}">
    <text>check</text>
  </threadedComment>
  <threadedComment ref="Y62" dT="2020-12-01T18:50:10.83" personId="{A9DD1EB0-F074-4EC3-B3C7-3BA1F15AD097}" id="{4BCFC15D-0779-434D-B014-4F7824497FA6}">
    <text>check, it's missing the apt. number</text>
  </threadedComment>
  <threadedComment ref="Y67" dT="2020-12-01T18:52:25.86" personId="{A9DD1EB0-F074-4EC3-B3C7-3BA1F15AD097}" id="{01548027-506A-42FE-AF5D-457B29C61F2D}">
    <text>check</text>
  </threadedComment>
  <threadedComment ref="Q71" dT="2020-12-01T19:02:38.66" personId="{A9DD1EB0-F074-4EC3-B3C7-3BA1F15AD097}" id="{CB77A284-CE7B-496D-AF4E-C0D453B6CBE4}">
    <text>says "la constancia" twice</text>
  </threadedComment>
  <threadedComment ref="Y118" dT="2020-12-01T21:30:30.45" personId="{A9DD1EB0-F074-4EC3-B3C7-3BA1F15AD097}" id="{DBB58BE5-EB6F-47CF-825B-7A651F32B9EB}">
    <text>check</text>
  </threadedComment>
  <threadedComment ref="T131" dT="2020-12-04T05:00:50.79" personId="{A9DD1EB0-F074-4EC3-B3C7-3BA1F15AD097}" id="{D4876775-F32F-4685-B80E-463F9C2528AD}">
    <text>check these</text>
  </threadedComment>
  <threadedComment ref="Y144" dT="2020-12-04T05:09:47.87" personId="{A9DD1EB0-F074-4EC3-B3C7-3BA1F15AD097}" id="{230CA186-B4FB-4E5F-8628-7D235D4821DE}">
    <text>check</text>
  </threadedComment>
  <threadedComment ref="T147" dT="2020-12-04T05:11:26.06" personId="{A9DD1EB0-F074-4EC3-B3C7-3BA1F15AD097}" id="{823ABAA1-0512-4BEC-A6B0-DA4268535397}">
    <text>check</text>
  </threadedComment>
  <threadedComment ref="T153" dT="2020-12-04T05:13:58.84" personId="{A9DD1EB0-F074-4EC3-B3C7-3BA1F15AD097}" id="{C0434BA7-0C71-4BC4-ACAD-C5C11B2DD877}">
    <text>check</text>
  </threadedComment>
  <threadedComment ref="T223" dT="2020-12-04T05:55:38.87" personId="{A9DD1EB0-F074-4EC3-B3C7-3BA1F15AD097}" id="{BCEEED42-2104-4C4E-A22C-FCFE9A3366B1}">
    <text>check</text>
  </threadedComment>
  <threadedComment ref="Y230" dT="2020-12-04T05:58:37.25" personId="{A9DD1EB0-F074-4EC3-B3C7-3BA1F15AD097}" id="{4901A619-21A3-4B3F-A21C-ED94E4FD38CD}">
    <text>check - incomplete?</text>
  </threadedComment>
  <threadedComment ref="T233" dT="2020-12-04T06:00:15.15" personId="{A9DD1EB0-F074-4EC3-B3C7-3BA1F15AD097}" id="{CE41EF30-A6D0-4BAA-AC82-E80727738BDA}">
    <text>check</text>
  </threadedComment>
  <threadedComment ref="T246" dT="2020-12-04T06:11:12.07" personId="{A9DD1EB0-F074-4EC3-B3C7-3BA1F15AD097}" id="{A00E7659-B25A-4BF3-864B-5327ECC8EDB0}">
    <text>?</text>
  </threadedComment>
  <threadedComment ref="Y253" dT="2020-12-04T06:17:18.58" personId="{A9DD1EB0-F074-4EC3-B3C7-3BA1F15AD097}" id="{7287B969-3288-4F8A-82A1-3085743B3687}">
    <text>incomplete</text>
  </threadedComment>
  <threadedComment ref="Y299" dT="2020-12-04T19:02:37.99" personId="{A9DD1EB0-F074-4EC3-B3C7-3BA1F15AD097}" id="{7BB80CEA-E3B6-457F-95B2-DE1A40656A6C}">
    <text>check here and below</text>
  </threadedComment>
  <threadedComment ref="AB313" dT="2020-12-04T19:07:02.69" personId="{A9DD1EB0-F074-4EC3-B3C7-3BA1F15AD097}" id="{393344B7-BD9B-48F1-AFAA-9B5588DCFE35}">
    <text>check</text>
  </threadedComment>
  <threadedComment ref="Y326" dT="2020-12-04T19:29:48.28" personId="{A9DD1EB0-F074-4EC3-B3C7-3BA1F15AD097}" id="{CFD9F799-9F81-458C-AA30-1CF47EE4AC06}">
    <text>incomplete</text>
  </threadedComment>
  <threadedComment ref="T329" dT="2020-12-04T19:30:57.85" personId="{A9DD1EB0-F074-4EC3-B3C7-3BA1F15AD097}" id="{F05C9C1C-9D09-4D47-B372-88BCC37EDAD9}">
    <text>check</text>
  </threadedComment>
  <threadedComment ref="Q337" dT="2020-12-04T19:35:11.73" personId="{A9DD1EB0-F074-4EC3-B3C7-3BA1F15AD097}" id="{60E1847A-92A9-46D5-A2A2-1321145491C8}">
    <text>I think these should all be "Mexican Mining Department"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K21" dT="2020-12-08T21:23:52.71" personId="{A9DD1EB0-F074-4EC3-B3C7-3BA1F15AD097}" id="{E0583BEA-036E-477A-BA61-B73250547252}">
    <text>or a?</text>
  </threadedComment>
  <threadedComment ref="K21" dT="2020-12-09T15:16:22.18" personId="{A9DD1EB0-F074-4EC3-B3C7-3BA1F15AD097}" id="{81D6CD69-80F5-4765-863E-550D09C9421D}" parentId="{E0583BEA-036E-477A-BA61-B73250547252}">
    <text>b</text>
  </threadedComment>
  <threadedComment ref="J28" dT="2020-12-08T21:37:43.92" personId="{A9DD1EB0-F074-4EC3-B3C7-3BA1F15AD097}" id="{E855911F-2F5F-4FE6-9733-8DA01CD44C49}">
    <text>the pdf says these are students from 1868 - 1905, so the year is not known</text>
  </threadedComment>
  <threadedComment ref="J28" dT="2020-12-09T15:18:11.26" personId="{A9DD1EB0-F074-4EC3-B3C7-3BA1F15AD097}" id="{7BDBF821-8F73-47A2-989D-0C5758D0121E}" parentId="{E855911F-2F5F-4FE6-9733-8DA01CD44C49}">
    <text>should be NA</text>
  </threadedComment>
  <threadedComment ref="J31" dT="2020-12-08T21:47:51.01" personId="{A9DD1EB0-F074-4EC3-B3C7-3BA1F15AD097}" id="{84394724-E15F-4713-ACA8-A29312A7FFBE}">
    <text>found one in 1866 and 1868</text>
  </threadedComment>
  <threadedComment ref="J32" dT="2020-12-08T21:50:50.16" personId="{A9DD1EB0-F074-4EC3-B3C7-3BA1F15AD097}" id="{CDB138DE-E511-4894-AA39-0205C8BF4C0E}">
    <text>got his diploma in 1871</text>
  </threadedComment>
  <threadedComment ref="J32" dT="2020-12-09T15:24:27.74" personId="{A9DD1EB0-F074-4EC3-B3C7-3BA1F15AD097}" id="{932C9521-0D5B-48F4-90FA-B61C2F3D3D65}" parentId="{CDB138DE-E511-4894-AA39-0205C8BF4C0E}">
    <text>no mistake</text>
  </threadedComment>
  <threadedComment ref="J40" dT="2020-12-08T21:59:25.16" personId="{A9DD1EB0-F074-4EC3-B3C7-3BA1F15AD097}" id="{81F33E34-7A30-4CC6-9CC7-ABCD283F7E9D}">
    <text>dipl 1883</text>
  </threadedComment>
  <threadedComment ref="K54" dT="2020-12-08T23:40:39.60" personId="{A9DD1EB0-F074-4EC3-B3C7-3BA1F15AD097}" id="{2BF54DD4-8E32-4529-B553-BD2014B8D75F}">
    <text>von Wolff</text>
  </threadedComment>
  <threadedComment ref="J70" dT="2020-12-08T23:56:51.98" personId="{A9DD1EB0-F074-4EC3-B3C7-3BA1F15AD097}" id="{ED55DBAF-F453-4AD7-B376-31D39A98CB3A}">
    <text>I have noticed a trend of these being off by a year (listing the year before what it should be)</text>
  </threadedComment>
  <threadedComment ref="J132" dT="2020-12-09T01:57:28.71" personId="{A9DD1EB0-F074-4EC3-B3C7-3BA1F15AD097}" id="{6E2B454C-123E-4A7A-9206-ED5B5AE31135}">
    <text>There are a number of fred moores and I'm not sure which one is the target line</text>
  </threadedComment>
  <threadedComment ref="C157" dT="2020-12-09T15:37:42.54" personId="{A9DD1EB0-F074-4EC3-B3C7-3BA1F15AD097}" id="{F481B6F8-69ED-4058-862F-203626E66D92}">
    <text>ALL are mistakes (mito year col - 1915)</text>
  </threadedComment>
  <threadedComment ref="M158" dT="2020-12-09T18:55:00.20" personId="{A9DD1EB0-F074-4EC3-B3C7-3BA1F15AD097}" id="{2E5517E5-359B-4EA1-8C3F-912F70D39992}">
    <text>the mito extraction consistently makes mistakes on the middle name</text>
  </threadedComment>
  <threadedComment ref="N160" dT="2020-12-09T18:15:24.23" personId="{A9DD1EB0-F074-4EC3-B3C7-3BA1F15AD097}" id="{D6305529-8D0C-4ADC-B34C-374FCE1B7B5F}">
    <text>sugar expert</text>
  </threadedComment>
  <threadedComment ref="N179" dT="2020-12-09T18:50:56.19" personId="{A9DD1EB0-F074-4EC3-B3C7-3BA1F15AD097}" id="{C7C3F1CD-9308-4525-8BAC-143E8A8A70A3}">
    <text>doesnt list him as an engineer</text>
  </threadedComment>
  <threadedComment ref="N181" dT="2020-12-09T18:51:52.12" personId="{A9DD1EB0-F074-4EC3-B3C7-3BA1F15AD097}" id="{5255E260-EACA-48C3-BB06-EF86F59F24C7}">
    <text>doesnt list him as a director</text>
  </threadedComment>
  <threadedComment ref="O218" dT="2020-12-09T19:37:01.96" personId="{A9DD1EB0-F074-4EC3-B3C7-3BA1F15AD097}" id="{D5A42D46-7961-48E2-8782-10563A823188}">
    <text>check - says "Care of Detroit..."</text>
  </threadedComment>
  <threadedComment ref="N224" dT="2020-12-09T20:01:51.51" personId="{A9DD1EB0-F074-4EC3-B3C7-3BA1F15AD097}" id="{F234CB0D-1F4B-4C86-807C-5DDAF363DBD7}">
    <text>"engineering dept"</text>
  </threadedComment>
  <threadedComment ref="N227" dT="2020-12-12T20:08:33.09" personId="{A9DD1EB0-F074-4EC3-B3C7-3BA1F15AD097}" id="{B9A63235-8796-421E-B1FE-8F1E7C0E6E94}">
    <text>assistant mechanical supt.</text>
  </threadedComment>
  <threadedComment ref="N227" dT="2020-12-12T20:12:48.20" personId="{A9DD1EB0-F074-4EC3-B3C7-3BA1F15AD097}" id="{A53C5F4B-2B80-4050-BB35-856AF7D34FCD}" parentId="{B9A63235-8796-421E-B1FE-8F1E7C0E6E94}">
    <text>all highlighted here are just missing a part of the correct title... still count as a mistake?</text>
  </threadedComment>
  <threadedComment ref="O227" dT="2020-12-12T20:09:05.06" personId="{A9DD1EB0-F074-4EC3-B3C7-3BA1F15AD097}" id="{BCDA3BDC-786D-4FBC-8969-609B7E7FED1E}">
    <text>katahdin pulp and paper co.</text>
  </threadedComment>
  <threadedComment ref="N228" dT="2020-12-12T20:11:02.78" personId="{A9DD1EB0-F074-4EC3-B3C7-3BA1F15AD097}" id="{98DA8DAE-CE62-4E01-963E-148014FA4F99}">
    <text>supt. of construction</text>
  </threadedComment>
  <threadedComment ref="O228" dT="2020-12-12T20:11:14.22" personId="{A9DD1EB0-F074-4EC3-B3C7-3BA1F15AD097}" id="{1117BFC6-5928-4AFD-A1F5-1A53D56A23DA}">
    <text>united states ..</text>
  </threadedComment>
  <threadedComment ref="N229" dT="2020-12-12T20:13:46.86" personId="{A9DD1EB0-F074-4EC3-B3C7-3BA1F15AD097}" id="{F0D4D390-6FF8-4D15-8738-0E2FC14CE652}">
    <text>assistant supt.</text>
  </threadedComment>
  <threadedComment ref="N233" dT="2020-12-12T20:16:51.45" personId="{A9DD1EB0-F074-4EC3-B3C7-3BA1F15AD097}" id="{6306221C-8A53-4A70-978B-50588BEA0DF4}">
    <text>general manager</text>
  </threadedComment>
  <threadedComment ref="O234" dT="2020-12-12T20:17:41.05" personId="{A9DD1EB0-F074-4EC3-B3C7-3BA1F15AD097}" id="{D1CBC377-190B-4EF3-A2DA-80D3D68BFCD9}">
    <text>passaic valley</text>
  </threadedComment>
  <threadedComment ref="O236" dT="2020-12-12T20:20:07.97" personId="{A9DD1EB0-F074-4EC3-B3C7-3BA1F15AD097}" id="{5335AE6F-4E83-4583-864D-96B709ED4002}">
    <text>capen's school for girls</text>
  </threadedComment>
  <threadedComment ref="O239" dT="2020-12-12T20:29:43.42" personId="{A9DD1EB0-F074-4EC3-B3C7-3BA1F15AD097}" id="{2BAF973A-46BB-45D9-8428-0AD2D0628F25}">
    <text>boston &amp; maine</text>
  </threadedComment>
  <threadedComment ref="O241" dT="2020-12-12T20:32:12.92" personId="{A9DD1EB0-F074-4EC3-B3C7-3BA1F15AD097}" id="{B6584715-3121-42B9-A65B-2841C89B70BE}">
    <text>railway &amp; power</text>
  </threadedComment>
  <threadedComment ref="N242" dT="2020-12-12T20:32:51.15" personId="{A9DD1EB0-F074-4EC3-B3C7-3BA1F15AD097}" id="{85F147C6-E5DB-4D59-B990-B232B73B2856}">
    <text>assistant engineer</text>
  </threadedComment>
  <threadedComment ref="M281" dT="2020-12-12T21:14:02.43" personId="{A9DD1EB0-F074-4EC3-B3C7-3BA1F15AD097}" id="{790F8E61-A198-4CC3-961A-E21C65E82A24}">
    <text>student?</text>
  </threadedComment>
  <threadedComment ref="M333" dT="2020-12-12T22:41:19.43" personId="{A9DD1EB0-F074-4EC3-B3C7-3BA1F15AD097}" id="{936FCFD9-CA11-4B3E-AD5D-C667735785A7}">
    <text>a string of these entries incorrectly have the middle initial the same as the first name initial</text>
  </threadedComment>
</ThreadedComments>
</file>

<file path=xl/threadedComments/threadedComment5.xml><?xml version="1.0" encoding="utf-8"?>
<ThreadedComments xmlns="http://schemas.microsoft.com/office/spreadsheetml/2018/threadedcomments" xmlns:x="http://schemas.openxmlformats.org/spreadsheetml/2006/main">
  <threadedComment ref="N5" dT="2020-12-14T20:06:22.58" personId="{A9DD1EB0-F074-4EC3-B3C7-3BA1F15AD097}" id="{E0F57914-0964-4D1C-B617-383E8EB33AE2}">
    <text>org in loc</text>
  </threadedComment>
  <threadedComment ref="B169" dT="2020-12-15T23:35:59.16" personId="{A177F909-4FC4-44CE-8EE9-AB6BFEA98C7D}" id="{57307E90-CE69-4790-BA43-7BC1960329C0}">
    <text>Look at the 1885 list, page 42</text>
  </threadedComment>
  <threadedComment ref="C195" dT="2020-12-14T23:12:03.72" personId="{A9DD1EB0-F074-4EC3-B3C7-3BA1F15AD097}" id="{57F5C7B2-AFDB-4B97-901F-264FDF86273F}">
    <text>can find this, but can't find prof or loc</text>
  </threadedComment>
  <threadedComment ref="C198" dT="2020-12-14T23:13:40.91" personId="{A9DD1EB0-F074-4EC3-B3C7-3BA1F15AD097}" id="{5F5BF88F-C423-41F6-B3A5-2CD020942E2E}">
    <text>can find this, but can't find prof or loc</text>
  </threadedComment>
  <threadedComment ref="C222" dT="2020-12-14T23:33:23.36" personId="{A9DD1EB0-F074-4EC3-B3C7-3BA1F15AD097}" id="{6A4D8374-8B05-429A-846A-BD4A67083D50}">
    <text>found in 1901a</text>
  </threadedComment>
  <threadedComment ref="C222" dT="2020-12-14T23:35:30.79" personId="{A9DD1EB0-F074-4EC3-B3C7-3BA1F15AD097}" id="{8EA82427-697E-4BC7-B46E-6B269706E513}" parentId="{6A4D8374-8B05-429A-846A-BD4A67083D50}">
    <text>I don't have a 1900 manual to search in</text>
  </threadedComment>
  <threadedComment ref="L327" dT="2020-12-15T17:56:05.19" personId="{A9DD1EB0-F074-4EC3-B3C7-3BA1F15AD097}" id="{28774B37-D449-4847-A241-743CA85ECD3C}">
    <text>program must have found this info somewhere else?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0F1F-24FB-4EC3-9062-9669CD69FFD9}">
  <dimension ref="A1:AD412"/>
  <sheetViews>
    <sheetView zoomScale="85" zoomScaleNormal="85" workbookViewId="0">
      <pane ySplit="1" topLeftCell="A371" activePane="bottomLeft" state="frozen"/>
      <selection pane="bottomLeft" activeCell="Q412" sqref="Q412"/>
    </sheetView>
  </sheetViews>
  <sheetFormatPr defaultRowHeight="15" x14ac:dyDescent="0.25"/>
  <cols>
    <col min="3" max="3" width="4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2</v>
      </c>
      <c r="P1" t="s">
        <v>3</v>
      </c>
      <c r="Q1" t="s">
        <v>4</v>
      </c>
      <c r="R1" t="s">
        <v>5</v>
      </c>
      <c r="S1" t="s">
        <v>6</v>
      </c>
      <c r="T1" t="s">
        <v>7</v>
      </c>
      <c r="U1" t="s">
        <v>8</v>
      </c>
      <c r="V1" t="s">
        <v>10</v>
      </c>
      <c r="W1" t="s">
        <v>11</v>
      </c>
      <c r="X1" t="s">
        <v>12</v>
      </c>
      <c r="Y1" t="s">
        <v>13</v>
      </c>
      <c r="Z1" t="s">
        <v>6907</v>
      </c>
      <c r="AA1" t="s">
        <v>6908</v>
      </c>
      <c r="AB1" t="s">
        <v>14</v>
      </c>
      <c r="AC1" t="s">
        <v>15</v>
      </c>
      <c r="AD1" t="s">
        <v>16</v>
      </c>
    </row>
    <row r="2" spans="1:30" x14ac:dyDescent="0.25">
      <c r="A2" t="s">
        <v>17</v>
      </c>
      <c r="B2">
        <v>1887</v>
      </c>
      <c r="C2" t="s">
        <v>18</v>
      </c>
      <c r="I2" t="s">
        <v>20</v>
      </c>
      <c r="J2" t="s">
        <v>21</v>
      </c>
      <c r="Z2">
        <v>0</v>
      </c>
      <c r="AA2">
        <f>LEN(C2)+LEN(D2)+LEN(E2)+LEN(F2)+LEN(G2)+LEN(H2)+LEN(I2)+LEN(K2)+LEN(L2)+LEN(M2)+LEN(N2)</f>
        <v>35</v>
      </c>
      <c r="AB2" t="s">
        <v>15</v>
      </c>
      <c r="AC2" t="s">
        <v>22</v>
      </c>
      <c r="AD2" t="s">
        <v>23</v>
      </c>
    </row>
    <row r="3" spans="1:30" x14ac:dyDescent="0.25">
      <c r="A3" t="s">
        <v>24</v>
      </c>
      <c r="B3">
        <v>1887</v>
      </c>
      <c r="C3" t="s">
        <v>25</v>
      </c>
      <c r="I3" t="s">
        <v>26</v>
      </c>
      <c r="J3" t="s">
        <v>27</v>
      </c>
      <c r="O3" t="s">
        <v>28</v>
      </c>
      <c r="Z3">
        <v>23</v>
      </c>
      <c r="AA3">
        <f>LEN(C3)+LEN(D3)+LEN(E3)+LEN(F3)+LEN(G3)+LEN(H3)+LEN(I3)+LEN(K3)+LEN(L3)+LEN(M3)+LEN(N3)</f>
        <v>21</v>
      </c>
      <c r="AB3" t="s">
        <v>16</v>
      </c>
      <c r="AC3" t="s">
        <v>23</v>
      </c>
      <c r="AD3" t="s">
        <v>22</v>
      </c>
    </row>
    <row r="4" spans="1:30" x14ac:dyDescent="0.25">
      <c r="A4" t="s">
        <v>29</v>
      </c>
      <c r="B4">
        <v>1887</v>
      </c>
      <c r="C4" t="s">
        <v>30</v>
      </c>
      <c r="I4" t="s">
        <v>31</v>
      </c>
      <c r="J4" t="s">
        <v>32</v>
      </c>
      <c r="Z4" cm="1">
        <f t="array" aca="1" ref="Z4" ca="1">+Z4:AZ4:Z397</f>
        <v>0</v>
      </c>
      <c r="AA4">
        <f>LEN(C4)+LEN(D4)+LEN(E4)+LEN(F4)+LEN(G4)+LEN(H4)+LEN(I4)+LEN(K4)+LEN(L4)+LEN(M4)+LEN(N4)</f>
        <v>32</v>
      </c>
    </row>
    <row r="5" spans="1:30" x14ac:dyDescent="0.25">
      <c r="A5" t="s">
        <v>33</v>
      </c>
      <c r="B5">
        <v>1887</v>
      </c>
      <c r="C5" t="s">
        <v>34</v>
      </c>
      <c r="I5" t="s">
        <v>31</v>
      </c>
      <c r="J5" t="s">
        <v>35</v>
      </c>
      <c r="AA5">
        <f t="shared" ref="AA5:AA32" si="0">LEN(C5)+LEN(D5)+LEN(E5)+LEN(F5)+LEN(G5)+LEN(H5)+LEN(I5)+LEN(K5)+LEN(L5)+LEN(M5)+LEN(N5)</f>
        <v>29</v>
      </c>
      <c r="AB5" t="s">
        <v>36</v>
      </c>
    </row>
    <row r="6" spans="1:30" x14ac:dyDescent="0.25">
      <c r="A6" t="s">
        <v>37</v>
      </c>
      <c r="B6">
        <v>1887</v>
      </c>
      <c r="C6" t="s">
        <v>38</v>
      </c>
      <c r="I6" t="s">
        <v>39</v>
      </c>
      <c r="J6" t="s">
        <v>40</v>
      </c>
      <c r="AA6">
        <f t="shared" si="0"/>
        <v>42</v>
      </c>
      <c r="AB6" t="s">
        <v>14</v>
      </c>
      <c r="AC6" t="s">
        <v>15</v>
      </c>
      <c r="AD6" t="s">
        <v>16</v>
      </c>
    </row>
    <row r="7" spans="1:30" x14ac:dyDescent="0.25">
      <c r="A7" t="s">
        <v>41</v>
      </c>
      <c r="B7">
        <v>1887</v>
      </c>
      <c r="C7" t="s">
        <v>42</v>
      </c>
      <c r="D7">
        <v>48520.135860000002</v>
      </c>
      <c r="I7" t="s">
        <v>43</v>
      </c>
      <c r="J7" t="s">
        <v>44</v>
      </c>
      <c r="AA7">
        <f t="shared" si="0"/>
        <v>53</v>
      </c>
      <c r="AB7" t="s">
        <v>15</v>
      </c>
      <c r="AD7" t="s">
        <v>23</v>
      </c>
    </row>
    <row r="8" spans="1:30" x14ac:dyDescent="0.25">
      <c r="A8" t="s">
        <v>45</v>
      </c>
      <c r="B8">
        <v>1887</v>
      </c>
      <c r="C8" t="s">
        <v>46</v>
      </c>
      <c r="I8" t="s">
        <v>47</v>
      </c>
      <c r="J8" t="s">
        <v>48</v>
      </c>
      <c r="AA8">
        <f t="shared" si="0"/>
        <v>45</v>
      </c>
      <c r="AB8" t="s">
        <v>16</v>
      </c>
      <c r="AC8" t="s">
        <v>23</v>
      </c>
    </row>
    <row r="9" spans="1:30" x14ac:dyDescent="0.25">
      <c r="A9" t="s">
        <v>49</v>
      </c>
      <c r="B9">
        <v>1887</v>
      </c>
      <c r="C9" t="s">
        <v>25</v>
      </c>
      <c r="E9" t="s">
        <v>50</v>
      </c>
      <c r="I9" t="s">
        <v>51</v>
      </c>
      <c r="J9" t="s">
        <v>52</v>
      </c>
      <c r="O9" t="s">
        <v>28</v>
      </c>
      <c r="AA9">
        <f t="shared" si="0"/>
        <v>44</v>
      </c>
    </row>
    <row r="10" spans="1:30" x14ac:dyDescent="0.25">
      <c r="A10" t="s">
        <v>53</v>
      </c>
      <c r="B10">
        <v>1887</v>
      </c>
      <c r="C10" t="s">
        <v>54</v>
      </c>
      <c r="I10" t="s">
        <v>55</v>
      </c>
      <c r="J10" t="s">
        <v>56</v>
      </c>
      <c r="AA10">
        <f t="shared" si="0"/>
        <v>24</v>
      </c>
      <c r="AB10" t="s">
        <v>57</v>
      </c>
    </row>
    <row r="11" spans="1:30" x14ac:dyDescent="0.25">
      <c r="A11" t="s">
        <v>58</v>
      </c>
      <c r="B11">
        <v>1887</v>
      </c>
      <c r="C11" t="s">
        <v>59</v>
      </c>
      <c r="I11" t="s">
        <v>60</v>
      </c>
      <c r="J11" t="s">
        <v>61</v>
      </c>
      <c r="AA11">
        <f t="shared" si="0"/>
        <v>56</v>
      </c>
      <c r="AB11" t="s">
        <v>62</v>
      </c>
    </row>
    <row r="12" spans="1:30" x14ac:dyDescent="0.25">
      <c r="A12" t="s">
        <v>63</v>
      </c>
      <c r="B12">
        <v>1888</v>
      </c>
      <c r="C12" t="s">
        <v>64</v>
      </c>
      <c r="I12" t="s">
        <v>65</v>
      </c>
      <c r="J12" t="s">
        <v>66</v>
      </c>
      <c r="AA12">
        <f t="shared" si="0"/>
        <v>41</v>
      </c>
      <c r="AB12" t="s">
        <v>67</v>
      </c>
      <c r="AC12" t="s">
        <v>68</v>
      </c>
    </row>
    <row r="13" spans="1:30" x14ac:dyDescent="0.25">
      <c r="A13" t="s">
        <v>69</v>
      </c>
      <c r="B13">
        <v>1888</v>
      </c>
      <c r="C13" t="s">
        <v>70</v>
      </c>
      <c r="I13" t="s">
        <v>31</v>
      </c>
      <c r="J13" t="s">
        <v>71</v>
      </c>
      <c r="AA13">
        <f t="shared" si="0"/>
        <v>39</v>
      </c>
      <c r="AB13" t="s">
        <v>72</v>
      </c>
      <c r="AC13" t="s">
        <v>28</v>
      </c>
    </row>
    <row r="14" spans="1:30" x14ac:dyDescent="0.25">
      <c r="A14" t="s">
        <v>73</v>
      </c>
      <c r="B14">
        <v>1888</v>
      </c>
      <c r="C14" t="s">
        <v>74</v>
      </c>
      <c r="F14">
        <v>1885</v>
      </c>
      <c r="I14" t="s">
        <v>75</v>
      </c>
      <c r="J14" t="s">
        <v>76</v>
      </c>
      <c r="AA14">
        <f t="shared" si="0"/>
        <v>57</v>
      </c>
    </row>
    <row r="15" spans="1:30" x14ac:dyDescent="0.25">
      <c r="A15" t="s">
        <v>77</v>
      </c>
      <c r="B15">
        <v>1888</v>
      </c>
      <c r="C15" t="s">
        <v>78</v>
      </c>
      <c r="I15" t="s">
        <v>79</v>
      </c>
      <c r="J15" t="s">
        <v>80</v>
      </c>
      <c r="AA15">
        <f t="shared" si="0"/>
        <v>42</v>
      </c>
      <c r="AB15" s="18" t="s">
        <v>81</v>
      </c>
      <c r="AC15" s="18"/>
    </row>
    <row r="16" spans="1:30" x14ac:dyDescent="0.25">
      <c r="A16" t="s">
        <v>82</v>
      </c>
      <c r="B16">
        <v>1888</v>
      </c>
      <c r="C16" t="s">
        <v>83</v>
      </c>
      <c r="I16" t="s">
        <v>47</v>
      </c>
      <c r="J16" t="s">
        <v>84</v>
      </c>
      <c r="O16" t="s">
        <v>28</v>
      </c>
      <c r="AA16">
        <f t="shared" si="0"/>
        <v>20</v>
      </c>
      <c r="AB16" s="19"/>
      <c r="AC16" s="19"/>
    </row>
    <row r="17" spans="1:27" x14ac:dyDescent="0.25">
      <c r="A17" t="s">
        <v>85</v>
      </c>
      <c r="B17">
        <v>1888</v>
      </c>
      <c r="C17" t="s">
        <v>86</v>
      </c>
      <c r="I17" t="s">
        <v>87</v>
      </c>
      <c r="J17" t="s">
        <v>88</v>
      </c>
      <c r="O17" t="s">
        <v>28</v>
      </c>
      <c r="U17" t="s">
        <v>28</v>
      </c>
      <c r="AA17">
        <f t="shared" si="0"/>
        <v>34</v>
      </c>
    </row>
    <row r="18" spans="1:27" x14ac:dyDescent="0.25">
      <c r="A18" t="s">
        <v>89</v>
      </c>
      <c r="B18">
        <v>1888</v>
      </c>
      <c r="C18" t="s">
        <v>90</v>
      </c>
      <c r="I18" t="s">
        <v>91</v>
      </c>
      <c r="J18" t="s">
        <v>92</v>
      </c>
      <c r="AA18">
        <f t="shared" si="0"/>
        <v>42</v>
      </c>
    </row>
    <row r="19" spans="1:27" s="4" customFormat="1" x14ac:dyDescent="0.25">
      <c r="A19" s="4" t="s">
        <v>93</v>
      </c>
      <c r="B19" s="4">
        <v>1888</v>
      </c>
      <c r="C19" s="4" t="s">
        <v>25</v>
      </c>
      <c r="I19" s="4" t="s">
        <v>94</v>
      </c>
      <c r="J19" s="4" t="s">
        <v>95</v>
      </c>
      <c r="AA19">
        <f t="shared" si="0"/>
        <v>23</v>
      </c>
    </row>
    <row r="20" spans="1:27" x14ac:dyDescent="0.25">
      <c r="A20" t="s">
        <v>96</v>
      </c>
      <c r="B20">
        <v>1888</v>
      </c>
      <c r="C20" t="s">
        <v>97</v>
      </c>
      <c r="D20">
        <v>730638.0906</v>
      </c>
      <c r="I20" t="s">
        <v>98</v>
      </c>
      <c r="J20" t="s">
        <v>99</v>
      </c>
      <c r="O20" t="s">
        <v>28</v>
      </c>
      <c r="AA20">
        <f t="shared" si="0"/>
        <v>56</v>
      </c>
    </row>
    <row r="21" spans="1:27" x14ac:dyDescent="0.25">
      <c r="A21" t="s">
        <v>100</v>
      </c>
      <c r="B21">
        <v>1888</v>
      </c>
      <c r="C21" t="s">
        <v>101</v>
      </c>
      <c r="I21" t="s">
        <v>43</v>
      </c>
      <c r="J21" t="s">
        <v>102</v>
      </c>
      <c r="O21" t="s">
        <v>28</v>
      </c>
      <c r="AA21">
        <f t="shared" si="0"/>
        <v>43</v>
      </c>
    </row>
    <row r="22" spans="1:27" x14ac:dyDescent="0.25">
      <c r="A22" t="s">
        <v>103</v>
      </c>
      <c r="B22">
        <v>1888</v>
      </c>
      <c r="C22" t="s">
        <v>104</v>
      </c>
      <c r="I22" t="s">
        <v>105</v>
      </c>
      <c r="J22" t="s">
        <v>104</v>
      </c>
      <c r="K22" t="s">
        <v>106</v>
      </c>
      <c r="L22" t="s">
        <v>107</v>
      </c>
      <c r="M22" t="s">
        <v>108</v>
      </c>
      <c r="N22" t="s">
        <v>109</v>
      </c>
      <c r="U22" t="s">
        <v>28</v>
      </c>
      <c r="V22" t="s">
        <v>28</v>
      </c>
      <c r="W22" t="s">
        <v>28</v>
      </c>
      <c r="X22" t="s">
        <v>28</v>
      </c>
      <c r="Y22" t="s">
        <v>28</v>
      </c>
      <c r="AA22">
        <f t="shared" si="0"/>
        <v>66</v>
      </c>
    </row>
    <row r="23" spans="1:27" x14ac:dyDescent="0.25">
      <c r="A23" t="s">
        <v>110</v>
      </c>
      <c r="B23">
        <v>1889</v>
      </c>
      <c r="C23" t="s">
        <v>111</v>
      </c>
      <c r="I23" t="s">
        <v>112</v>
      </c>
      <c r="J23" t="s">
        <v>113</v>
      </c>
      <c r="O23" t="s">
        <v>28</v>
      </c>
      <c r="AA23">
        <f t="shared" si="0"/>
        <v>37</v>
      </c>
    </row>
    <row r="24" spans="1:27" x14ac:dyDescent="0.25">
      <c r="A24" t="s">
        <v>114</v>
      </c>
      <c r="B24">
        <v>1889</v>
      </c>
      <c r="C24" t="s">
        <v>115</v>
      </c>
      <c r="I24" t="s">
        <v>116</v>
      </c>
      <c r="J24" t="s">
        <v>117</v>
      </c>
      <c r="AA24">
        <f t="shared" si="0"/>
        <v>44</v>
      </c>
    </row>
    <row r="25" spans="1:27" x14ac:dyDescent="0.25">
      <c r="A25" t="s">
        <v>118</v>
      </c>
      <c r="B25">
        <v>1889</v>
      </c>
      <c r="C25" t="s">
        <v>119</v>
      </c>
      <c r="I25" t="s">
        <v>120</v>
      </c>
      <c r="J25" t="s">
        <v>121</v>
      </c>
      <c r="O25" t="s">
        <v>28</v>
      </c>
      <c r="AA25">
        <f t="shared" si="0"/>
        <v>40</v>
      </c>
    </row>
    <row r="26" spans="1:27" x14ac:dyDescent="0.25">
      <c r="A26" t="s">
        <v>122</v>
      </c>
      <c r="B26">
        <v>1889</v>
      </c>
      <c r="C26" t="s">
        <v>123</v>
      </c>
      <c r="I26" t="s">
        <v>47</v>
      </c>
      <c r="J26" t="s">
        <v>124</v>
      </c>
      <c r="AA26">
        <f t="shared" si="0"/>
        <v>50</v>
      </c>
    </row>
    <row r="27" spans="1:27" x14ac:dyDescent="0.25">
      <c r="A27" t="s">
        <v>125</v>
      </c>
      <c r="B27">
        <v>1889</v>
      </c>
      <c r="C27" t="s">
        <v>126</v>
      </c>
      <c r="I27" t="s">
        <v>127</v>
      </c>
      <c r="J27" t="s">
        <v>128</v>
      </c>
      <c r="AA27">
        <f t="shared" si="0"/>
        <v>50</v>
      </c>
    </row>
    <row r="28" spans="1:27" x14ac:dyDescent="0.25">
      <c r="A28" t="s">
        <v>129</v>
      </c>
      <c r="B28">
        <v>1889</v>
      </c>
      <c r="C28" t="s">
        <v>130</v>
      </c>
      <c r="I28" t="s">
        <v>131</v>
      </c>
      <c r="J28" t="s">
        <v>132</v>
      </c>
      <c r="U28" t="s">
        <v>133</v>
      </c>
      <c r="AA28">
        <f t="shared" si="0"/>
        <v>49</v>
      </c>
    </row>
    <row r="29" spans="1:27" x14ac:dyDescent="0.25">
      <c r="A29" t="s">
        <v>134</v>
      </c>
      <c r="B29">
        <v>1889</v>
      </c>
      <c r="C29" t="s">
        <v>135</v>
      </c>
      <c r="I29" t="s">
        <v>136</v>
      </c>
      <c r="J29" t="s">
        <v>137</v>
      </c>
      <c r="AA29">
        <f t="shared" si="0"/>
        <v>49</v>
      </c>
    </row>
    <row r="30" spans="1:27" x14ac:dyDescent="0.25">
      <c r="A30" t="s">
        <v>138</v>
      </c>
      <c r="B30">
        <v>1889</v>
      </c>
      <c r="C30" t="s">
        <v>139</v>
      </c>
      <c r="I30" t="s">
        <v>140</v>
      </c>
      <c r="J30" t="s">
        <v>141</v>
      </c>
      <c r="AA30">
        <f t="shared" si="0"/>
        <v>43</v>
      </c>
    </row>
    <row r="31" spans="1:27" s="4" customFormat="1" x14ac:dyDescent="0.25">
      <c r="A31" s="4" t="s">
        <v>142</v>
      </c>
      <c r="B31" s="4">
        <v>1889</v>
      </c>
      <c r="C31" s="4" t="s">
        <v>143</v>
      </c>
      <c r="I31" s="4" t="s">
        <v>144</v>
      </c>
      <c r="J31" s="4" t="s">
        <v>145</v>
      </c>
      <c r="AA31">
        <f t="shared" si="0"/>
        <v>38</v>
      </c>
    </row>
    <row r="32" spans="1:27" x14ac:dyDescent="0.25">
      <c r="A32" t="s">
        <v>146</v>
      </c>
      <c r="B32">
        <v>1889</v>
      </c>
      <c r="C32" t="s">
        <v>147</v>
      </c>
      <c r="I32" t="s">
        <v>31</v>
      </c>
      <c r="J32" t="s">
        <v>148</v>
      </c>
      <c r="AA32">
        <f t="shared" si="0"/>
        <v>41</v>
      </c>
    </row>
    <row r="33" spans="1:27" x14ac:dyDescent="0.25">
      <c r="A33" t="s">
        <v>149</v>
      </c>
      <c r="B33">
        <v>1891</v>
      </c>
      <c r="C33" t="s">
        <v>150</v>
      </c>
      <c r="D33" t="s">
        <v>19</v>
      </c>
      <c r="E33" t="s">
        <v>19</v>
      </c>
      <c r="F33" t="s">
        <v>19</v>
      </c>
      <c r="G33" t="s">
        <v>19</v>
      </c>
      <c r="H33" t="s">
        <v>19</v>
      </c>
      <c r="I33" t="s">
        <v>19</v>
      </c>
      <c r="J33" t="s">
        <v>151</v>
      </c>
      <c r="K33" t="s">
        <v>19</v>
      </c>
      <c r="L33" t="s">
        <v>19</v>
      </c>
      <c r="M33" t="s">
        <v>19</v>
      </c>
      <c r="N33" t="s">
        <v>19</v>
      </c>
      <c r="O33" t="s">
        <v>68</v>
      </c>
      <c r="Z33">
        <v>2</v>
      </c>
      <c r="AA33">
        <f t="shared" ref="AA33:AA66" si="1">LEN(C33)</f>
        <v>17</v>
      </c>
    </row>
    <row r="34" spans="1:27" x14ac:dyDescent="0.25">
      <c r="A34" t="s">
        <v>152</v>
      </c>
      <c r="B34">
        <v>1891</v>
      </c>
      <c r="C34" t="s">
        <v>153</v>
      </c>
      <c r="I34" t="s">
        <v>154</v>
      </c>
      <c r="J34" t="s">
        <v>155</v>
      </c>
      <c r="O34" t="s">
        <v>28</v>
      </c>
      <c r="U34" t="s">
        <v>28</v>
      </c>
      <c r="AA34">
        <f t="shared" ref="AA34:AA37" si="2">LEN(C34)+LEN(D34)+LEN(E34)+LEN(F34)+LEN(G34)+LEN(H34)+LEN(I34)+LEN(K34)+LEN(L34)+LEN(M34)+LEN(N34)</f>
        <v>45</v>
      </c>
    </row>
    <row r="35" spans="1:27" x14ac:dyDescent="0.25">
      <c r="A35" t="s">
        <v>156</v>
      </c>
      <c r="B35">
        <v>1891</v>
      </c>
      <c r="C35" t="s">
        <v>157</v>
      </c>
      <c r="I35" t="s">
        <v>158</v>
      </c>
      <c r="J35" t="s">
        <v>159</v>
      </c>
      <c r="O35" t="s">
        <v>28</v>
      </c>
      <c r="U35" t="s">
        <v>28</v>
      </c>
      <c r="AA35">
        <f t="shared" si="2"/>
        <v>29</v>
      </c>
    </row>
    <row r="36" spans="1:27" x14ac:dyDescent="0.25">
      <c r="A36" t="s">
        <v>160</v>
      </c>
      <c r="B36">
        <v>1891</v>
      </c>
      <c r="C36" t="s">
        <v>161</v>
      </c>
      <c r="I36" t="s">
        <v>162</v>
      </c>
      <c r="J36" t="s">
        <v>163</v>
      </c>
      <c r="AA36">
        <f t="shared" si="2"/>
        <v>44</v>
      </c>
    </row>
    <row r="37" spans="1:27" x14ac:dyDescent="0.25">
      <c r="A37" t="s">
        <v>164</v>
      </c>
      <c r="B37">
        <v>1891</v>
      </c>
      <c r="C37" t="s">
        <v>165</v>
      </c>
      <c r="J37" t="s">
        <v>166</v>
      </c>
      <c r="AA37">
        <f t="shared" si="2"/>
        <v>34</v>
      </c>
    </row>
    <row r="38" spans="1:27" x14ac:dyDescent="0.25">
      <c r="A38" t="s">
        <v>167</v>
      </c>
      <c r="B38">
        <v>1891</v>
      </c>
      <c r="C38" t="s">
        <v>168</v>
      </c>
      <c r="D38" t="s">
        <v>19</v>
      </c>
      <c r="E38" t="s">
        <v>19</v>
      </c>
      <c r="F38" t="s">
        <v>19</v>
      </c>
      <c r="G38" t="s">
        <v>19</v>
      </c>
      <c r="H38" t="s">
        <v>19</v>
      </c>
      <c r="I38" t="s">
        <v>169</v>
      </c>
      <c r="J38" t="s">
        <v>170</v>
      </c>
      <c r="K38" t="s">
        <v>19</v>
      </c>
      <c r="L38" t="s">
        <v>19</v>
      </c>
      <c r="M38" t="s">
        <v>19</v>
      </c>
      <c r="N38" t="s">
        <v>19</v>
      </c>
      <c r="O38" t="s">
        <v>68</v>
      </c>
      <c r="U38" t="s">
        <v>28</v>
      </c>
      <c r="Z38">
        <v>2</v>
      </c>
      <c r="AA38">
        <f t="shared" si="1"/>
        <v>18</v>
      </c>
    </row>
    <row r="39" spans="1:27" s="4" customFormat="1" x14ac:dyDescent="0.25">
      <c r="A39" s="4" t="s">
        <v>171</v>
      </c>
      <c r="B39" s="4">
        <v>1891</v>
      </c>
      <c r="C39" s="4" t="s">
        <v>172</v>
      </c>
      <c r="I39" s="4" t="s">
        <v>31</v>
      </c>
      <c r="J39" s="4" t="s">
        <v>148</v>
      </c>
      <c r="AA39">
        <f t="shared" ref="AA39:AA65" si="3">LEN(C39)+LEN(D39)+LEN(E39)+LEN(F39)+LEN(G39)+LEN(H39)+LEN(I39)+LEN(K39)+LEN(L39)+LEN(M39)+LEN(N39)</f>
        <v>23</v>
      </c>
    </row>
    <row r="40" spans="1:27" x14ac:dyDescent="0.25">
      <c r="A40" t="s">
        <v>173</v>
      </c>
      <c r="B40">
        <v>1891</v>
      </c>
      <c r="C40" t="s">
        <v>174</v>
      </c>
      <c r="I40" t="s">
        <v>175</v>
      </c>
      <c r="J40" t="s">
        <v>176</v>
      </c>
      <c r="U40" t="s">
        <v>28</v>
      </c>
      <c r="AA40">
        <f t="shared" si="3"/>
        <v>44</v>
      </c>
    </row>
    <row r="41" spans="1:27" x14ac:dyDescent="0.25">
      <c r="A41" t="s">
        <v>177</v>
      </c>
      <c r="B41">
        <v>1891</v>
      </c>
      <c r="C41" t="s">
        <v>178</v>
      </c>
      <c r="I41" t="s">
        <v>175</v>
      </c>
      <c r="J41" t="s">
        <v>179</v>
      </c>
      <c r="AA41">
        <f t="shared" si="3"/>
        <v>42</v>
      </c>
    </row>
    <row r="42" spans="1:27" x14ac:dyDescent="0.25">
      <c r="A42" t="s">
        <v>180</v>
      </c>
      <c r="B42">
        <v>1891</v>
      </c>
      <c r="C42" t="s">
        <v>181</v>
      </c>
      <c r="I42" t="s">
        <v>182</v>
      </c>
      <c r="J42" t="s">
        <v>183</v>
      </c>
      <c r="U42" t="s">
        <v>28</v>
      </c>
      <c r="AA42">
        <f t="shared" si="3"/>
        <v>41</v>
      </c>
    </row>
    <row r="43" spans="1:27" x14ac:dyDescent="0.25">
      <c r="A43" t="s">
        <v>184</v>
      </c>
      <c r="B43">
        <v>1893</v>
      </c>
      <c r="C43" t="s">
        <v>185</v>
      </c>
      <c r="I43" t="s">
        <v>31</v>
      </c>
      <c r="J43" t="s">
        <v>186</v>
      </c>
      <c r="AA43">
        <f t="shared" si="3"/>
        <v>37</v>
      </c>
    </row>
    <row r="44" spans="1:27" x14ac:dyDescent="0.25">
      <c r="A44" t="s">
        <v>187</v>
      </c>
      <c r="B44">
        <v>1893</v>
      </c>
      <c r="C44" t="s">
        <v>188</v>
      </c>
      <c r="I44" t="s">
        <v>189</v>
      </c>
      <c r="J44" t="s">
        <v>190</v>
      </c>
      <c r="AA44">
        <f t="shared" si="3"/>
        <v>44</v>
      </c>
    </row>
    <row r="45" spans="1:27" x14ac:dyDescent="0.25">
      <c r="A45" t="s">
        <v>191</v>
      </c>
      <c r="B45">
        <v>1893</v>
      </c>
      <c r="C45" t="s">
        <v>192</v>
      </c>
      <c r="I45" t="s">
        <v>193</v>
      </c>
      <c r="J45" t="s">
        <v>194</v>
      </c>
      <c r="AA45">
        <f t="shared" si="3"/>
        <v>41</v>
      </c>
    </row>
    <row r="46" spans="1:27" x14ac:dyDescent="0.25">
      <c r="A46" t="s">
        <v>195</v>
      </c>
      <c r="B46">
        <v>1893</v>
      </c>
      <c r="C46" t="s">
        <v>83</v>
      </c>
      <c r="J46" t="s">
        <v>196</v>
      </c>
      <c r="O46" t="s">
        <v>28</v>
      </c>
      <c r="AA46">
        <f t="shared" si="3"/>
        <v>9</v>
      </c>
    </row>
    <row r="47" spans="1:27" x14ac:dyDescent="0.25">
      <c r="A47" t="s">
        <v>197</v>
      </c>
      <c r="B47">
        <v>1893</v>
      </c>
      <c r="C47" t="s">
        <v>198</v>
      </c>
      <c r="F47">
        <v>1888</v>
      </c>
      <c r="I47" t="s">
        <v>31</v>
      </c>
      <c r="J47" t="s">
        <v>199</v>
      </c>
      <c r="K47" t="s">
        <v>200</v>
      </c>
      <c r="L47" t="s">
        <v>201</v>
      </c>
      <c r="M47" t="s">
        <v>202</v>
      </c>
      <c r="N47" t="s">
        <v>109</v>
      </c>
      <c r="O47" t="s">
        <v>28</v>
      </c>
      <c r="V47" t="s">
        <v>28</v>
      </c>
      <c r="W47" t="s">
        <v>28</v>
      </c>
      <c r="X47" t="s">
        <v>28</v>
      </c>
      <c r="Y47" t="s">
        <v>28</v>
      </c>
      <c r="AA47">
        <f t="shared" si="3"/>
        <v>77</v>
      </c>
    </row>
    <row r="48" spans="1:27" x14ac:dyDescent="0.25">
      <c r="A48" t="s">
        <v>203</v>
      </c>
      <c r="B48">
        <v>1893</v>
      </c>
      <c r="C48" t="s">
        <v>204</v>
      </c>
      <c r="I48" t="s">
        <v>175</v>
      </c>
      <c r="J48" t="s">
        <v>205</v>
      </c>
      <c r="AA48">
        <f t="shared" si="3"/>
        <v>41</v>
      </c>
    </row>
    <row r="49" spans="1:27" x14ac:dyDescent="0.25">
      <c r="A49" t="s">
        <v>206</v>
      </c>
      <c r="B49">
        <v>1894</v>
      </c>
      <c r="C49" t="s">
        <v>207</v>
      </c>
      <c r="I49" t="s">
        <v>31</v>
      </c>
      <c r="J49" t="s">
        <v>208</v>
      </c>
      <c r="K49" t="s">
        <v>209</v>
      </c>
      <c r="L49" t="s">
        <v>210</v>
      </c>
      <c r="M49" t="s">
        <v>211</v>
      </c>
      <c r="N49" t="s">
        <v>212</v>
      </c>
      <c r="V49" t="s">
        <v>28</v>
      </c>
      <c r="W49" t="s">
        <v>28</v>
      </c>
      <c r="X49" t="s">
        <v>28</v>
      </c>
      <c r="AA49">
        <f t="shared" si="3"/>
        <v>57</v>
      </c>
    </row>
    <row r="50" spans="1:27" x14ac:dyDescent="0.25">
      <c r="A50" t="s">
        <v>213</v>
      </c>
      <c r="B50">
        <v>1894</v>
      </c>
      <c r="C50" t="s">
        <v>214</v>
      </c>
      <c r="I50" t="s">
        <v>87</v>
      </c>
      <c r="J50" t="s">
        <v>215</v>
      </c>
      <c r="AA50">
        <f t="shared" si="3"/>
        <v>47</v>
      </c>
    </row>
    <row r="51" spans="1:27" x14ac:dyDescent="0.25">
      <c r="A51" t="s">
        <v>216</v>
      </c>
      <c r="B51">
        <v>1894</v>
      </c>
      <c r="C51" t="s">
        <v>217</v>
      </c>
      <c r="I51" t="s">
        <v>144</v>
      </c>
      <c r="J51" t="s">
        <v>218</v>
      </c>
      <c r="R51" t="s">
        <v>28</v>
      </c>
      <c r="AA51">
        <f t="shared" si="3"/>
        <v>39</v>
      </c>
    </row>
    <row r="52" spans="1:27" x14ac:dyDescent="0.25">
      <c r="A52" t="s">
        <v>219</v>
      </c>
      <c r="B52">
        <v>1894</v>
      </c>
      <c r="C52" t="s">
        <v>220</v>
      </c>
      <c r="I52" t="s">
        <v>221</v>
      </c>
      <c r="J52" t="s">
        <v>222</v>
      </c>
      <c r="O52" t="s">
        <v>28</v>
      </c>
      <c r="AA52">
        <f t="shared" si="3"/>
        <v>30</v>
      </c>
    </row>
    <row r="53" spans="1:27" x14ac:dyDescent="0.25">
      <c r="A53" t="s">
        <v>223</v>
      </c>
      <c r="B53">
        <v>1894</v>
      </c>
      <c r="C53" t="s">
        <v>224</v>
      </c>
      <c r="I53" t="s">
        <v>225</v>
      </c>
      <c r="J53" t="s">
        <v>226</v>
      </c>
      <c r="AA53">
        <f t="shared" si="3"/>
        <v>46</v>
      </c>
    </row>
    <row r="54" spans="1:27" x14ac:dyDescent="0.25">
      <c r="A54" t="s">
        <v>227</v>
      </c>
      <c r="B54">
        <v>1894</v>
      </c>
      <c r="C54" t="s">
        <v>228</v>
      </c>
      <c r="I54" t="s">
        <v>31</v>
      </c>
      <c r="J54" t="s">
        <v>229</v>
      </c>
      <c r="Q54" t="s">
        <v>28</v>
      </c>
      <c r="V54" t="s">
        <v>28</v>
      </c>
      <c r="W54" t="s">
        <v>28</v>
      </c>
      <c r="AA54">
        <f t="shared" si="3"/>
        <v>36</v>
      </c>
    </row>
    <row r="55" spans="1:27" x14ac:dyDescent="0.25">
      <c r="A55" t="s">
        <v>230</v>
      </c>
      <c r="B55">
        <v>1894</v>
      </c>
      <c r="C55" t="s">
        <v>231</v>
      </c>
      <c r="I55" t="s">
        <v>211</v>
      </c>
      <c r="J55" t="s">
        <v>232</v>
      </c>
      <c r="U55" t="s">
        <v>28</v>
      </c>
      <c r="AA55">
        <f t="shared" si="3"/>
        <v>27</v>
      </c>
    </row>
    <row r="56" spans="1:27" x14ac:dyDescent="0.25">
      <c r="A56" t="s">
        <v>233</v>
      </c>
      <c r="B56">
        <v>1894</v>
      </c>
      <c r="C56" t="s">
        <v>234</v>
      </c>
      <c r="D56">
        <v>463414.6</v>
      </c>
      <c r="I56" t="s">
        <v>182</v>
      </c>
      <c r="J56" t="s">
        <v>235</v>
      </c>
      <c r="U56" t="s">
        <v>28</v>
      </c>
      <c r="AA56">
        <f t="shared" si="3"/>
        <v>47</v>
      </c>
    </row>
    <row r="57" spans="1:27" x14ac:dyDescent="0.25">
      <c r="A57" t="s">
        <v>236</v>
      </c>
      <c r="B57">
        <v>1894</v>
      </c>
      <c r="C57" t="s">
        <v>237</v>
      </c>
      <c r="I57" t="s">
        <v>238</v>
      </c>
      <c r="J57" t="s">
        <v>239</v>
      </c>
      <c r="U57" t="s">
        <v>28</v>
      </c>
      <c r="AA57">
        <f t="shared" si="3"/>
        <v>26</v>
      </c>
    </row>
    <row r="58" spans="1:27" x14ac:dyDescent="0.25">
      <c r="A58" t="s">
        <v>240</v>
      </c>
      <c r="B58">
        <v>1895</v>
      </c>
      <c r="C58" t="s">
        <v>241</v>
      </c>
      <c r="I58" t="s">
        <v>242</v>
      </c>
      <c r="J58" t="s">
        <v>243</v>
      </c>
      <c r="AA58">
        <f t="shared" si="3"/>
        <v>38</v>
      </c>
    </row>
    <row r="59" spans="1:27" x14ac:dyDescent="0.25">
      <c r="A59" t="s">
        <v>244</v>
      </c>
      <c r="B59">
        <v>1895</v>
      </c>
      <c r="C59" t="s">
        <v>245</v>
      </c>
      <c r="I59" t="s">
        <v>246</v>
      </c>
      <c r="J59" t="s">
        <v>247</v>
      </c>
      <c r="U59" t="s">
        <v>28</v>
      </c>
      <c r="AA59">
        <f t="shared" si="3"/>
        <v>34</v>
      </c>
    </row>
    <row r="60" spans="1:27" x14ac:dyDescent="0.25">
      <c r="A60" t="s">
        <v>248</v>
      </c>
      <c r="B60">
        <v>1895</v>
      </c>
      <c r="C60" t="s">
        <v>249</v>
      </c>
      <c r="J60" t="s">
        <v>250</v>
      </c>
      <c r="U60" t="s">
        <v>28</v>
      </c>
      <c r="AA60">
        <f t="shared" si="3"/>
        <v>12</v>
      </c>
    </row>
    <row r="61" spans="1:27" x14ac:dyDescent="0.25">
      <c r="A61" t="s">
        <v>251</v>
      </c>
      <c r="B61">
        <v>1895</v>
      </c>
      <c r="C61" t="s">
        <v>252</v>
      </c>
      <c r="I61" t="s">
        <v>253</v>
      </c>
      <c r="J61" t="s">
        <v>254</v>
      </c>
      <c r="AA61">
        <f t="shared" si="3"/>
        <v>46</v>
      </c>
    </row>
    <row r="62" spans="1:27" x14ac:dyDescent="0.25">
      <c r="A62" t="s">
        <v>255</v>
      </c>
      <c r="B62">
        <v>1895</v>
      </c>
      <c r="C62" t="s">
        <v>256</v>
      </c>
      <c r="I62" t="s">
        <v>182</v>
      </c>
      <c r="J62" t="s">
        <v>257</v>
      </c>
      <c r="AA62">
        <f t="shared" si="3"/>
        <v>41</v>
      </c>
    </row>
    <row r="63" spans="1:27" x14ac:dyDescent="0.25">
      <c r="A63" t="s">
        <v>258</v>
      </c>
      <c r="B63">
        <v>1895</v>
      </c>
      <c r="C63" t="s">
        <v>259</v>
      </c>
      <c r="I63" t="s">
        <v>31</v>
      </c>
      <c r="J63" t="s">
        <v>260</v>
      </c>
      <c r="AA63">
        <f t="shared" si="3"/>
        <v>28</v>
      </c>
    </row>
    <row r="64" spans="1:27" x14ac:dyDescent="0.25">
      <c r="A64" t="s">
        <v>261</v>
      </c>
      <c r="B64">
        <v>1895</v>
      </c>
      <c r="C64" t="s">
        <v>25</v>
      </c>
      <c r="I64" t="s">
        <v>262</v>
      </c>
      <c r="J64" t="s">
        <v>263</v>
      </c>
      <c r="O64" t="s">
        <v>28</v>
      </c>
      <c r="AA64">
        <f t="shared" si="3"/>
        <v>21</v>
      </c>
    </row>
    <row r="65" spans="1:27" x14ac:dyDescent="0.25">
      <c r="A65" t="s">
        <v>264</v>
      </c>
      <c r="B65">
        <v>1895</v>
      </c>
      <c r="C65" t="s">
        <v>46</v>
      </c>
      <c r="I65" t="s">
        <v>47</v>
      </c>
      <c r="J65" t="s">
        <v>265</v>
      </c>
      <c r="V65" t="s">
        <v>23</v>
      </c>
      <c r="W65" t="s">
        <v>23</v>
      </c>
      <c r="X65" t="s">
        <v>23</v>
      </c>
      <c r="AA65">
        <f t="shared" si="3"/>
        <v>45</v>
      </c>
    </row>
    <row r="66" spans="1:27" x14ac:dyDescent="0.25">
      <c r="A66" t="s">
        <v>266</v>
      </c>
      <c r="B66">
        <v>1895</v>
      </c>
      <c r="C66" t="s">
        <v>267</v>
      </c>
      <c r="D66" t="s">
        <v>19</v>
      </c>
      <c r="E66" t="s">
        <v>19</v>
      </c>
      <c r="F66" t="s">
        <v>19</v>
      </c>
      <c r="G66" t="s">
        <v>19</v>
      </c>
      <c r="H66" t="s">
        <v>19</v>
      </c>
      <c r="I66" t="s">
        <v>268</v>
      </c>
      <c r="J66" t="s">
        <v>269</v>
      </c>
      <c r="K66" t="s">
        <v>19</v>
      </c>
      <c r="L66" t="s">
        <v>19</v>
      </c>
      <c r="M66" t="s">
        <v>19</v>
      </c>
      <c r="N66" t="s">
        <v>19</v>
      </c>
      <c r="O66" t="s">
        <v>28</v>
      </c>
      <c r="U66" t="s">
        <v>28</v>
      </c>
      <c r="Z66">
        <v>1</v>
      </c>
      <c r="AA66">
        <f t="shared" si="1"/>
        <v>13</v>
      </c>
    </row>
    <row r="67" spans="1:27" x14ac:dyDescent="0.25">
      <c r="A67" t="s">
        <v>270</v>
      </c>
      <c r="B67">
        <v>1895</v>
      </c>
      <c r="C67" t="s">
        <v>271</v>
      </c>
      <c r="I67" t="s">
        <v>31</v>
      </c>
      <c r="J67" t="s">
        <v>272</v>
      </c>
      <c r="O67" t="s">
        <v>28</v>
      </c>
      <c r="R67" t="s">
        <v>28</v>
      </c>
      <c r="AA67">
        <f t="shared" ref="AA67:AA92" si="4">LEN(C67)+LEN(D67)+LEN(E67)+LEN(F67)+LEN(G67)+LEN(H67)+LEN(I67)+LEN(K67)+LEN(L67)+LEN(M67)+LEN(N67)</f>
        <v>40</v>
      </c>
    </row>
    <row r="68" spans="1:27" x14ac:dyDescent="0.25">
      <c r="A68" t="s">
        <v>273</v>
      </c>
      <c r="B68">
        <v>1895</v>
      </c>
      <c r="C68" t="s">
        <v>274</v>
      </c>
      <c r="I68" t="s">
        <v>31</v>
      </c>
      <c r="J68" t="s">
        <v>275</v>
      </c>
      <c r="AA68">
        <f t="shared" si="4"/>
        <v>41</v>
      </c>
    </row>
    <row r="69" spans="1:27" x14ac:dyDescent="0.25">
      <c r="A69" t="s">
        <v>276</v>
      </c>
      <c r="B69">
        <v>1895</v>
      </c>
      <c r="C69" t="s">
        <v>277</v>
      </c>
      <c r="I69" t="s">
        <v>31</v>
      </c>
      <c r="J69" t="s">
        <v>278</v>
      </c>
      <c r="O69" t="s">
        <v>28</v>
      </c>
      <c r="AA69">
        <f t="shared" si="4"/>
        <v>18</v>
      </c>
    </row>
    <row r="70" spans="1:27" x14ac:dyDescent="0.25">
      <c r="A70" t="s">
        <v>279</v>
      </c>
      <c r="B70">
        <v>1895</v>
      </c>
      <c r="C70" t="s">
        <v>280</v>
      </c>
      <c r="I70" t="s">
        <v>175</v>
      </c>
      <c r="J70" t="s">
        <v>281</v>
      </c>
      <c r="AA70">
        <f t="shared" si="4"/>
        <v>45</v>
      </c>
    </row>
    <row r="71" spans="1:27" x14ac:dyDescent="0.25">
      <c r="A71" t="s">
        <v>282</v>
      </c>
      <c r="B71">
        <v>1895</v>
      </c>
      <c r="C71" t="s">
        <v>283</v>
      </c>
      <c r="I71" t="s">
        <v>31</v>
      </c>
      <c r="J71" t="s">
        <v>284</v>
      </c>
      <c r="AA71">
        <f t="shared" si="4"/>
        <v>42</v>
      </c>
    </row>
    <row r="72" spans="1:27" x14ac:dyDescent="0.25">
      <c r="A72" t="s">
        <v>285</v>
      </c>
      <c r="B72">
        <v>1895</v>
      </c>
      <c r="C72" t="s">
        <v>286</v>
      </c>
      <c r="E72" t="s">
        <v>287</v>
      </c>
      <c r="I72" t="s">
        <v>175</v>
      </c>
      <c r="J72" t="s">
        <v>288</v>
      </c>
      <c r="O72" t="s">
        <v>28</v>
      </c>
      <c r="Q72" t="s">
        <v>28</v>
      </c>
      <c r="U72" t="s">
        <v>28</v>
      </c>
      <c r="AA72">
        <f t="shared" si="4"/>
        <v>52</v>
      </c>
    </row>
    <row r="73" spans="1:27" x14ac:dyDescent="0.25">
      <c r="A73" t="s">
        <v>289</v>
      </c>
      <c r="B73">
        <v>1895</v>
      </c>
      <c r="C73" t="s">
        <v>290</v>
      </c>
      <c r="I73" t="s">
        <v>291</v>
      </c>
      <c r="J73" t="s">
        <v>292</v>
      </c>
      <c r="O73" t="s">
        <v>28</v>
      </c>
      <c r="U73" t="s">
        <v>28</v>
      </c>
      <c r="AA73">
        <f t="shared" si="4"/>
        <v>17</v>
      </c>
    </row>
    <row r="74" spans="1:27" x14ac:dyDescent="0.25">
      <c r="A74" t="s">
        <v>293</v>
      </c>
      <c r="B74">
        <v>1895</v>
      </c>
      <c r="C74" t="s">
        <v>294</v>
      </c>
      <c r="I74" t="s">
        <v>136</v>
      </c>
      <c r="J74" t="s">
        <v>295</v>
      </c>
      <c r="AA74">
        <f t="shared" si="4"/>
        <v>49</v>
      </c>
    </row>
    <row r="75" spans="1:27" x14ac:dyDescent="0.25">
      <c r="A75" t="s">
        <v>296</v>
      </c>
      <c r="B75">
        <v>1895</v>
      </c>
      <c r="C75" t="s">
        <v>271</v>
      </c>
      <c r="I75" t="s">
        <v>31</v>
      </c>
      <c r="J75" s="4" t="s">
        <v>272</v>
      </c>
      <c r="AA75">
        <f t="shared" si="4"/>
        <v>40</v>
      </c>
    </row>
    <row r="76" spans="1:27" x14ac:dyDescent="0.25">
      <c r="A76" t="s">
        <v>297</v>
      </c>
      <c r="B76">
        <v>1895</v>
      </c>
      <c r="C76" t="s">
        <v>298</v>
      </c>
      <c r="I76" t="s">
        <v>31</v>
      </c>
      <c r="J76" t="s">
        <v>299</v>
      </c>
      <c r="O76" t="s">
        <v>28</v>
      </c>
      <c r="AA76">
        <f t="shared" si="4"/>
        <v>29</v>
      </c>
    </row>
    <row r="77" spans="1:27" x14ac:dyDescent="0.25">
      <c r="A77" t="s">
        <v>300</v>
      </c>
      <c r="B77">
        <v>1895</v>
      </c>
      <c r="C77" t="s">
        <v>172</v>
      </c>
      <c r="I77" t="s">
        <v>301</v>
      </c>
      <c r="J77" t="s">
        <v>302</v>
      </c>
      <c r="O77" t="s">
        <v>28</v>
      </c>
      <c r="AA77">
        <f t="shared" si="4"/>
        <v>34</v>
      </c>
    </row>
    <row r="78" spans="1:27" x14ac:dyDescent="0.25">
      <c r="A78" t="s">
        <v>303</v>
      </c>
      <c r="B78">
        <v>1903</v>
      </c>
      <c r="C78" t="s">
        <v>304</v>
      </c>
      <c r="F78">
        <v>1809</v>
      </c>
      <c r="I78" t="s">
        <v>31</v>
      </c>
      <c r="J78" t="s">
        <v>305</v>
      </c>
      <c r="AA78">
        <f t="shared" si="4"/>
        <v>41</v>
      </c>
    </row>
    <row r="79" spans="1:27" x14ac:dyDescent="0.25">
      <c r="A79" t="s">
        <v>306</v>
      </c>
      <c r="B79">
        <v>1903</v>
      </c>
      <c r="C79" t="s">
        <v>307</v>
      </c>
      <c r="I79" t="s">
        <v>158</v>
      </c>
      <c r="J79" t="s">
        <v>308</v>
      </c>
      <c r="U79" t="s">
        <v>28</v>
      </c>
      <c r="AA79">
        <f t="shared" si="4"/>
        <v>38</v>
      </c>
    </row>
    <row r="80" spans="1:27" x14ac:dyDescent="0.25">
      <c r="A80" t="s">
        <v>309</v>
      </c>
      <c r="B80">
        <v>1903</v>
      </c>
      <c r="C80" t="s">
        <v>310</v>
      </c>
      <c r="I80" t="s">
        <v>311</v>
      </c>
      <c r="J80" t="s">
        <v>312</v>
      </c>
      <c r="U80" t="s">
        <v>28</v>
      </c>
      <c r="AA80">
        <f t="shared" si="4"/>
        <v>34</v>
      </c>
    </row>
    <row r="81" spans="1:27" x14ac:dyDescent="0.25">
      <c r="A81" t="s">
        <v>313</v>
      </c>
      <c r="B81">
        <v>1903</v>
      </c>
      <c r="C81" t="s">
        <v>314</v>
      </c>
      <c r="I81" t="s">
        <v>315</v>
      </c>
      <c r="J81" t="s">
        <v>316</v>
      </c>
      <c r="U81" t="s">
        <v>28</v>
      </c>
      <c r="AA81">
        <f t="shared" si="4"/>
        <v>47</v>
      </c>
    </row>
    <row r="82" spans="1:27" x14ac:dyDescent="0.25">
      <c r="A82" t="s">
        <v>317</v>
      </c>
      <c r="B82">
        <v>1903</v>
      </c>
      <c r="C82" t="s">
        <v>318</v>
      </c>
      <c r="J82" t="s">
        <v>319</v>
      </c>
      <c r="K82" t="s">
        <v>320</v>
      </c>
      <c r="L82" t="s">
        <v>321</v>
      </c>
      <c r="M82" t="s">
        <v>322</v>
      </c>
      <c r="N82" t="s">
        <v>109</v>
      </c>
      <c r="U82" t="s">
        <v>28</v>
      </c>
      <c r="AA82">
        <f t="shared" si="4"/>
        <v>49</v>
      </c>
    </row>
    <row r="83" spans="1:27" x14ac:dyDescent="0.25">
      <c r="A83" t="s">
        <v>317</v>
      </c>
      <c r="B83">
        <v>1903</v>
      </c>
      <c r="C83" t="s">
        <v>318</v>
      </c>
      <c r="J83" t="s">
        <v>319</v>
      </c>
      <c r="K83" t="s">
        <v>323</v>
      </c>
      <c r="L83" t="s">
        <v>324</v>
      </c>
      <c r="N83" t="s">
        <v>109</v>
      </c>
      <c r="U83" t="s">
        <v>28</v>
      </c>
      <c r="V83" t="s">
        <v>28</v>
      </c>
      <c r="X83" t="s">
        <v>28</v>
      </c>
      <c r="AA83">
        <f t="shared" si="4"/>
        <v>45</v>
      </c>
    </row>
    <row r="84" spans="1:27" x14ac:dyDescent="0.25">
      <c r="A84" t="s">
        <v>325</v>
      </c>
      <c r="B84">
        <v>1903</v>
      </c>
      <c r="C84" t="s">
        <v>326</v>
      </c>
      <c r="J84" t="s">
        <v>327</v>
      </c>
      <c r="U84" t="s">
        <v>28</v>
      </c>
      <c r="AA84">
        <f t="shared" si="4"/>
        <v>36</v>
      </c>
    </row>
    <row r="85" spans="1:27" x14ac:dyDescent="0.25">
      <c r="A85" t="s">
        <v>328</v>
      </c>
      <c r="B85">
        <v>1903</v>
      </c>
      <c r="C85" t="s">
        <v>329</v>
      </c>
      <c r="I85" t="s">
        <v>330</v>
      </c>
      <c r="J85" t="s">
        <v>331</v>
      </c>
      <c r="AA85">
        <f t="shared" si="4"/>
        <v>44</v>
      </c>
    </row>
    <row r="86" spans="1:27" x14ac:dyDescent="0.25">
      <c r="A86" t="s">
        <v>332</v>
      </c>
      <c r="B86">
        <v>1903</v>
      </c>
      <c r="C86" t="s">
        <v>333</v>
      </c>
      <c r="I86" t="s">
        <v>334</v>
      </c>
      <c r="J86" t="s">
        <v>335</v>
      </c>
      <c r="U86" t="s">
        <v>28</v>
      </c>
      <c r="AA86">
        <f t="shared" si="4"/>
        <v>39</v>
      </c>
    </row>
    <row r="87" spans="1:27" x14ac:dyDescent="0.25">
      <c r="A87" t="s">
        <v>336</v>
      </c>
      <c r="B87">
        <v>1903</v>
      </c>
      <c r="C87" t="s">
        <v>337</v>
      </c>
      <c r="I87" t="s">
        <v>338</v>
      </c>
      <c r="J87" t="s">
        <v>339</v>
      </c>
      <c r="O87" t="s">
        <v>28</v>
      </c>
      <c r="AA87">
        <f t="shared" si="4"/>
        <v>28</v>
      </c>
    </row>
    <row r="88" spans="1:27" x14ac:dyDescent="0.25">
      <c r="A88" t="s">
        <v>340</v>
      </c>
      <c r="B88">
        <v>1903</v>
      </c>
      <c r="C88" t="s">
        <v>341</v>
      </c>
      <c r="I88" t="s">
        <v>87</v>
      </c>
      <c r="J88" t="s">
        <v>342</v>
      </c>
      <c r="AA88">
        <f t="shared" si="4"/>
        <v>38</v>
      </c>
    </row>
    <row r="89" spans="1:27" x14ac:dyDescent="0.25">
      <c r="A89" t="s">
        <v>343</v>
      </c>
      <c r="B89">
        <v>1908</v>
      </c>
      <c r="C89" t="s">
        <v>344</v>
      </c>
      <c r="I89" t="s">
        <v>345</v>
      </c>
      <c r="J89" t="s">
        <v>346</v>
      </c>
      <c r="AA89">
        <f t="shared" si="4"/>
        <v>30</v>
      </c>
    </row>
    <row r="90" spans="1:27" x14ac:dyDescent="0.25">
      <c r="A90" t="s">
        <v>347</v>
      </c>
      <c r="B90">
        <v>1908</v>
      </c>
      <c r="C90" t="s">
        <v>348</v>
      </c>
      <c r="D90">
        <v>632603.4</v>
      </c>
      <c r="I90" t="s">
        <v>87</v>
      </c>
      <c r="J90" t="s">
        <v>349</v>
      </c>
      <c r="O90" t="s">
        <v>28</v>
      </c>
      <c r="AA90">
        <f t="shared" si="4"/>
        <v>49</v>
      </c>
    </row>
    <row r="91" spans="1:27" x14ac:dyDescent="0.25">
      <c r="A91" t="s">
        <v>350</v>
      </c>
      <c r="B91">
        <v>1908</v>
      </c>
      <c r="C91" t="s">
        <v>351</v>
      </c>
      <c r="I91" t="s">
        <v>31</v>
      </c>
      <c r="J91" t="s">
        <v>352</v>
      </c>
      <c r="AA91">
        <f t="shared" si="4"/>
        <v>42</v>
      </c>
    </row>
    <row r="92" spans="1:27" x14ac:dyDescent="0.25">
      <c r="A92" t="s">
        <v>353</v>
      </c>
      <c r="B92">
        <v>1908</v>
      </c>
      <c r="C92" t="s">
        <v>354</v>
      </c>
      <c r="I92" t="s">
        <v>31</v>
      </c>
      <c r="J92" t="s">
        <v>355</v>
      </c>
      <c r="AA92">
        <f t="shared" si="4"/>
        <v>20</v>
      </c>
    </row>
    <row r="93" spans="1:27" x14ac:dyDescent="0.25">
      <c r="A93" t="s">
        <v>356</v>
      </c>
      <c r="B93">
        <v>1908</v>
      </c>
      <c r="C93" t="s">
        <v>357</v>
      </c>
      <c r="D93" t="s">
        <v>19</v>
      </c>
      <c r="E93" t="s">
        <v>358</v>
      </c>
      <c r="F93" t="s">
        <v>19</v>
      </c>
      <c r="G93" t="s">
        <v>19</v>
      </c>
      <c r="H93" t="s">
        <v>19</v>
      </c>
      <c r="I93" t="s">
        <v>359</v>
      </c>
      <c r="J93" t="s">
        <v>360</v>
      </c>
      <c r="K93" t="s">
        <v>19</v>
      </c>
      <c r="L93" t="s">
        <v>19</v>
      </c>
      <c r="M93" t="s">
        <v>19</v>
      </c>
      <c r="N93" t="s">
        <v>19</v>
      </c>
      <c r="O93" t="s">
        <v>68</v>
      </c>
      <c r="Q93" t="s">
        <v>28</v>
      </c>
      <c r="U93" t="s">
        <v>28</v>
      </c>
      <c r="Z93">
        <v>1</v>
      </c>
      <c r="AA93">
        <f t="shared" ref="AA93:AA112" si="5">LEN(C93)</f>
        <v>32</v>
      </c>
    </row>
    <row r="94" spans="1:27" x14ac:dyDescent="0.25">
      <c r="A94" t="s">
        <v>361</v>
      </c>
      <c r="B94">
        <v>1908</v>
      </c>
      <c r="C94" t="s">
        <v>362</v>
      </c>
      <c r="D94" t="s">
        <v>19</v>
      </c>
      <c r="E94" t="s">
        <v>19</v>
      </c>
      <c r="F94" t="s">
        <v>19</v>
      </c>
      <c r="G94" t="s">
        <v>19</v>
      </c>
      <c r="H94" t="s">
        <v>19</v>
      </c>
      <c r="I94" t="s">
        <v>31</v>
      </c>
      <c r="J94" t="s">
        <v>363</v>
      </c>
      <c r="K94" t="s">
        <v>19</v>
      </c>
      <c r="L94" t="s">
        <v>19</v>
      </c>
      <c r="M94" t="s">
        <v>19</v>
      </c>
      <c r="N94" t="s">
        <v>19</v>
      </c>
      <c r="O94" t="s">
        <v>68</v>
      </c>
      <c r="Z94">
        <v>1</v>
      </c>
      <c r="AA94">
        <f t="shared" si="5"/>
        <v>23</v>
      </c>
    </row>
    <row r="95" spans="1:27" x14ac:dyDescent="0.25">
      <c r="A95" t="s">
        <v>364</v>
      </c>
      <c r="B95">
        <v>1908</v>
      </c>
      <c r="C95" t="s">
        <v>365</v>
      </c>
      <c r="D95" t="s">
        <v>19</v>
      </c>
      <c r="E95" t="s">
        <v>19</v>
      </c>
      <c r="F95" t="s">
        <v>19</v>
      </c>
      <c r="G95" t="s">
        <v>19</v>
      </c>
      <c r="H95" t="s">
        <v>19</v>
      </c>
      <c r="I95" t="s">
        <v>175</v>
      </c>
      <c r="J95" t="s">
        <v>366</v>
      </c>
      <c r="K95" t="s">
        <v>19</v>
      </c>
      <c r="L95" t="s">
        <v>19</v>
      </c>
      <c r="M95" t="s">
        <v>19</v>
      </c>
      <c r="N95" t="s">
        <v>19</v>
      </c>
      <c r="O95" t="s">
        <v>68</v>
      </c>
      <c r="Z95">
        <v>1</v>
      </c>
      <c r="AA95">
        <f t="shared" si="5"/>
        <v>21</v>
      </c>
    </row>
    <row r="96" spans="1:27" x14ac:dyDescent="0.25">
      <c r="A96" t="s">
        <v>367</v>
      </c>
      <c r="B96">
        <v>1908</v>
      </c>
      <c r="C96" t="s">
        <v>368</v>
      </c>
      <c r="I96" t="s">
        <v>369</v>
      </c>
      <c r="J96" t="s">
        <v>370</v>
      </c>
      <c r="O96" t="s">
        <v>28</v>
      </c>
      <c r="AA96">
        <f t="shared" ref="AA96:AA97" si="6">LEN(C96)+LEN(D96)+LEN(E96)+LEN(F96)+LEN(G96)+LEN(H96)+LEN(I96)+LEN(K96)+LEN(L96)+LEN(M96)+LEN(N96)</f>
        <v>44</v>
      </c>
    </row>
    <row r="97" spans="1:27" x14ac:dyDescent="0.25">
      <c r="A97" t="s">
        <v>371</v>
      </c>
      <c r="B97">
        <v>1908</v>
      </c>
      <c r="C97" t="s">
        <v>372</v>
      </c>
      <c r="I97" t="s">
        <v>31</v>
      </c>
      <c r="J97" t="s">
        <v>373</v>
      </c>
      <c r="O97" t="s">
        <v>28</v>
      </c>
      <c r="AA97">
        <f t="shared" si="6"/>
        <v>47</v>
      </c>
    </row>
    <row r="98" spans="1:27" x14ac:dyDescent="0.25">
      <c r="A98" t="s">
        <v>374</v>
      </c>
      <c r="B98">
        <v>1908</v>
      </c>
      <c r="C98" t="s">
        <v>375</v>
      </c>
      <c r="D98" t="s">
        <v>19</v>
      </c>
      <c r="E98" t="s">
        <v>19</v>
      </c>
      <c r="F98" t="s">
        <v>19</v>
      </c>
      <c r="G98" t="s">
        <v>19</v>
      </c>
      <c r="H98" t="s">
        <v>19</v>
      </c>
      <c r="I98" t="s">
        <v>376</v>
      </c>
      <c r="J98" t="s">
        <v>377</v>
      </c>
      <c r="K98" t="s">
        <v>19</v>
      </c>
      <c r="L98" t="s">
        <v>19</v>
      </c>
      <c r="M98" t="s">
        <v>19</v>
      </c>
      <c r="N98" t="s">
        <v>19</v>
      </c>
      <c r="O98" t="s">
        <v>68</v>
      </c>
      <c r="Z98">
        <v>2</v>
      </c>
      <c r="AA98">
        <f t="shared" si="5"/>
        <v>41</v>
      </c>
    </row>
    <row r="99" spans="1:27" x14ac:dyDescent="0.25">
      <c r="A99" t="s">
        <v>378</v>
      </c>
      <c r="B99">
        <v>1908</v>
      </c>
      <c r="C99" t="s">
        <v>379</v>
      </c>
      <c r="I99" t="s">
        <v>380</v>
      </c>
      <c r="J99" t="s">
        <v>381</v>
      </c>
      <c r="K99" t="s">
        <v>382</v>
      </c>
      <c r="L99" t="s">
        <v>383</v>
      </c>
      <c r="M99" t="s">
        <v>384</v>
      </c>
      <c r="N99" t="s">
        <v>109</v>
      </c>
      <c r="U99" t="s">
        <v>28</v>
      </c>
      <c r="V99" t="s">
        <v>28</v>
      </c>
      <c r="X99" t="s">
        <v>28</v>
      </c>
      <c r="AA99">
        <f t="shared" ref="AA99:AA106" si="7">LEN(C99)+LEN(D99)+LEN(E99)+LEN(F99)+LEN(G99)+LEN(H99)+LEN(I99)+LEN(K99)+LEN(L99)+LEN(M99)+LEN(N99)</f>
        <v>67</v>
      </c>
    </row>
    <row r="100" spans="1:27" x14ac:dyDescent="0.25">
      <c r="A100" t="s">
        <v>378</v>
      </c>
      <c r="B100">
        <v>1908</v>
      </c>
      <c r="C100" t="s">
        <v>379</v>
      </c>
      <c r="I100" t="s">
        <v>380</v>
      </c>
      <c r="J100" t="s">
        <v>381</v>
      </c>
      <c r="K100" t="s">
        <v>385</v>
      </c>
      <c r="L100" t="s">
        <v>386</v>
      </c>
      <c r="N100" t="s">
        <v>212</v>
      </c>
      <c r="U100" t="s">
        <v>28</v>
      </c>
      <c r="V100" t="s">
        <v>28</v>
      </c>
      <c r="W100" t="s">
        <v>28</v>
      </c>
      <c r="Y100" t="s">
        <v>28</v>
      </c>
      <c r="AA100">
        <f t="shared" si="7"/>
        <v>60</v>
      </c>
    </row>
    <row r="101" spans="1:27" x14ac:dyDescent="0.25">
      <c r="A101" t="s">
        <v>378</v>
      </c>
      <c r="B101">
        <v>1908</v>
      </c>
      <c r="C101" t="s">
        <v>379</v>
      </c>
      <c r="I101" t="s">
        <v>380</v>
      </c>
      <c r="J101" t="s">
        <v>381</v>
      </c>
      <c r="K101" t="s">
        <v>387</v>
      </c>
      <c r="L101" t="s">
        <v>388</v>
      </c>
      <c r="M101" t="s">
        <v>389</v>
      </c>
      <c r="N101" t="s">
        <v>109</v>
      </c>
      <c r="U101" t="s">
        <v>28</v>
      </c>
      <c r="V101" t="s">
        <v>28</v>
      </c>
      <c r="W101" t="s">
        <v>28</v>
      </c>
      <c r="X101" t="s">
        <v>28</v>
      </c>
      <c r="Y101" t="s">
        <v>28</v>
      </c>
      <c r="AA101">
        <f t="shared" si="7"/>
        <v>64</v>
      </c>
    </row>
    <row r="102" spans="1:27" x14ac:dyDescent="0.25">
      <c r="A102" t="s">
        <v>378</v>
      </c>
      <c r="B102">
        <v>1908</v>
      </c>
      <c r="C102" t="s">
        <v>379</v>
      </c>
      <c r="I102" t="s">
        <v>380</v>
      </c>
      <c r="J102" t="s">
        <v>381</v>
      </c>
      <c r="K102" t="s">
        <v>390</v>
      </c>
      <c r="L102" t="s">
        <v>391</v>
      </c>
      <c r="M102" t="s">
        <v>392</v>
      </c>
      <c r="N102" t="s">
        <v>109</v>
      </c>
      <c r="U102" t="s">
        <v>28</v>
      </c>
      <c r="V102" t="s">
        <v>28</v>
      </c>
      <c r="AA102">
        <f t="shared" si="7"/>
        <v>59</v>
      </c>
    </row>
    <row r="103" spans="1:27" x14ac:dyDescent="0.25">
      <c r="A103" t="s">
        <v>393</v>
      </c>
      <c r="B103">
        <v>1908</v>
      </c>
      <c r="C103" t="s">
        <v>394</v>
      </c>
      <c r="I103" t="s">
        <v>395</v>
      </c>
      <c r="J103" t="s">
        <v>396</v>
      </c>
      <c r="AA103">
        <f t="shared" si="7"/>
        <v>33</v>
      </c>
    </row>
    <row r="104" spans="1:27" x14ac:dyDescent="0.25">
      <c r="A104" t="s">
        <v>397</v>
      </c>
      <c r="B104">
        <v>1909</v>
      </c>
      <c r="C104" t="s">
        <v>398</v>
      </c>
      <c r="D104">
        <v>19493.18</v>
      </c>
      <c r="I104" t="s">
        <v>39</v>
      </c>
      <c r="J104" t="s">
        <v>399</v>
      </c>
      <c r="O104" t="s">
        <v>28</v>
      </c>
      <c r="AA104">
        <f t="shared" si="7"/>
        <v>53</v>
      </c>
    </row>
    <row r="105" spans="1:27" x14ac:dyDescent="0.25">
      <c r="A105" t="s">
        <v>400</v>
      </c>
      <c r="B105">
        <v>1909</v>
      </c>
      <c r="C105" t="s">
        <v>401</v>
      </c>
      <c r="I105" t="s">
        <v>31</v>
      </c>
      <c r="J105" t="s">
        <v>402</v>
      </c>
      <c r="AA105">
        <f t="shared" si="7"/>
        <v>44</v>
      </c>
    </row>
    <row r="106" spans="1:27" x14ac:dyDescent="0.25">
      <c r="A106" t="s">
        <v>403</v>
      </c>
      <c r="B106">
        <v>1909</v>
      </c>
      <c r="C106" t="s">
        <v>404</v>
      </c>
      <c r="I106" t="s">
        <v>39</v>
      </c>
      <c r="J106" t="s">
        <v>405</v>
      </c>
      <c r="O106" t="s">
        <v>28</v>
      </c>
      <c r="AA106">
        <f t="shared" si="7"/>
        <v>44</v>
      </c>
    </row>
    <row r="107" spans="1:27" x14ac:dyDescent="0.25">
      <c r="A107" t="s">
        <v>406</v>
      </c>
      <c r="B107">
        <v>1909</v>
      </c>
      <c r="C107" t="s">
        <v>407</v>
      </c>
      <c r="D107" t="s">
        <v>19</v>
      </c>
      <c r="E107" t="s">
        <v>19</v>
      </c>
      <c r="F107" t="s">
        <v>19</v>
      </c>
      <c r="G107" t="s">
        <v>19</v>
      </c>
      <c r="H107" t="s">
        <v>19</v>
      </c>
      <c r="I107" t="s">
        <v>345</v>
      </c>
      <c r="J107" t="s">
        <v>408</v>
      </c>
      <c r="K107" t="s">
        <v>19</v>
      </c>
      <c r="L107" t="s">
        <v>19</v>
      </c>
      <c r="M107" t="s">
        <v>19</v>
      </c>
      <c r="N107" t="s">
        <v>19</v>
      </c>
      <c r="O107" t="s">
        <v>68</v>
      </c>
      <c r="Z107">
        <v>1</v>
      </c>
      <c r="AA107">
        <f t="shared" si="5"/>
        <v>24</v>
      </c>
    </row>
    <row r="108" spans="1:27" x14ac:dyDescent="0.25">
      <c r="A108" t="s">
        <v>409</v>
      </c>
      <c r="B108">
        <v>1909</v>
      </c>
      <c r="C108" t="s">
        <v>410</v>
      </c>
      <c r="I108" t="s">
        <v>411</v>
      </c>
      <c r="J108" t="s">
        <v>412</v>
      </c>
      <c r="O108" t="s">
        <v>28</v>
      </c>
      <c r="AA108">
        <f t="shared" ref="AA108:AA111" si="8">LEN(C108)+LEN(D108)+LEN(E108)+LEN(F108)+LEN(G108)+LEN(H108)+LEN(I108)+LEN(K108)+LEN(L108)+LEN(M108)+LEN(N108)</f>
        <v>28</v>
      </c>
    </row>
    <row r="109" spans="1:27" x14ac:dyDescent="0.25">
      <c r="A109" t="s">
        <v>413</v>
      </c>
      <c r="B109">
        <v>1909</v>
      </c>
      <c r="C109" t="s">
        <v>414</v>
      </c>
      <c r="I109" t="s">
        <v>136</v>
      </c>
      <c r="J109" t="s">
        <v>415</v>
      </c>
      <c r="AA109">
        <f t="shared" si="8"/>
        <v>35</v>
      </c>
    </row>
    <row r="110" spans="1:27" x14ac:dyDescent="0.25">
      <c r="A110" t="s">
        <v>416</v>
      </c>
      <c r="B110">
        <v>1909</v>
      </c>
      <c r="C110" t="s">
        <v>417</v>
      </c>
      <c r="I110" t="s">
        <v>175</v>
      </c>
      <c r="J110" t="s">
        <v>418</v>
      </c>
      <c r="AA110">
        <f t="shared" si="8"/>
        <v>65</v>
      </c>
    </row>
    <row r="111" spans="1:27" x14ac:dyDescent="0.25">
      <c r="A111" t="s">
        <v>419</v>
      </c>
      <c r="B111">
        <v>1909</v>
      </c>
      <c r="C111" t="s">
        <v>420</v>
      </c>
      <c r="I111" t="s">
        <v>411</v>
      </c>
      <c r="J111" t="s">
        <v>421</v>
      </c>
      <c r="O111" t="s">
        <v>28</v>
      </c>
      <c r="AA111">
        <f t="shared" si="8"/>
        <v>49</v>
      </c>
    </row>
    <row r="112" spans="1:27" x14ac:dyDescent="0.25">
      <c r="A112" t="s">
        <v>422</v>
      </c>
      <c r="B112">
        <v>1909</v>
      </c>
      <c r="C112" t="s">
        <v>423</v>
      </c>
      <c r="D112" t="s">
        <v>19</v>
      </c>
      <c r="E112" t="s">
        <v>19</v>
      </c>
      <c r="F112" t="s">
        <v>19</v>
      </c>
      <c r="G112" t="s">
        <v>19</v>
      </c>
      <c r="H112" t="s">
        <v>19</v>
      </c>
      <c r="I112" t="s">
        <v>182</v>
      </c>
      <c r="J112" t="s">
        <v>424</v>
      </c>
      <c r="K112" t="s">
        <v>19</v>
      </c>
      <c r="L112" t="s">
        <v>19</v>
      </c>
      <c r="M112" t="s">
        <v>19</v>
      </c>
      <c r="N112" t="s">
        <v>19</v>
      </c>
      <c r="O112" t="s">
        <v>68</v>
      </c>
      <c r="U112" t="s">
        <v>28</v>
      </c>
      <c r="Z112">
        <v>50</v>
      </c>
      <c r="AA112">
        <f t="shared" si="5"/>
        <v>72</v>
      </c>
    </row>
    <row r="113" spans="1:27" x14ac:dyDescent="0.25">
      <c r="A113" t="s">
        <v>425</v>
      </c>
      <c r="B113">
        <v>1909</v>
      </c>
      <c r="C113" t="s">
        <v>426</v>
      </c>
      <c r="I113" t="s">
        <v>31</v>
      </c>
      <c r="J113" t="s">
        <v>427</v>
      </c>
      <c r="AA113">
        <f t="shared" ref="AA113:AA132" si="9">LEN(C113)+LEN(D113)+LEN(E113)+LEN(F113)+LEN(G113)+LEN(H113)+LEN(I113)+LEN(K113)+LEN(L113)+LEN(M113)+LEN(N113)</f>
        <v>18</v>
      </c>
    </row>
    <row r="114" spans="1:27" x14ac:dyDescent="0.25">
      <c r="A114" t="s">
        <v>428</v>
      </c>
      <c r="B114">
        <v>1909</v>
      </c>
      <c r="C114" t="s">
        <v>429</v>
      </c>
      <c r="I114" t="s">
        <v>136</v>
      </c>
      <c r="J114" t="s">
        <v>430</v>
      </c>
      <c r="AA114">
        <f t="shared" si="9"/>
        <v>48</v>
      </c>
    </row>
    <row r="115" spans="1:27" x14ac:dyDescent="0.25">
      <c r="A115" t="s">
        <v>431</v>
      </c>
      <c r="B115">
        <v>1909</v>
      </c>
      <c r="C115" t="s">
        <v>432</v>
      </c>
      <c r="I115" t="s">
        <v>433</v>
      </c>
      <c r="J115" t="s">
        <v>434</v>
      </c>
      <c r="O115" t="s">
        <v>28</v>
      </c>
      <c r="AA115">
        <f t="shared" si="9"/>
        <v>28</v>
      </c>
    </row>
    <row r="116" spans="1:27" x14ac:dyDescent="0.25">
      <c r="A116" t="s">
        <v>435</v>
      </c>
      <c r="B116">
        <v>1909</v>
      </c>
      <c r="C116" t="s">
        <v>436</v>
      </c>
      <c r="I116" t="s">
        <v>175</v>
      </c>
      <c r="J116" t="s">
        <v>437</v>
      </c>
      <c r="AA116">
        <f t="shared" si="9"/>
        <v>37</v>
      </c>
    </row>
    <row r="117" spans="1:27" x14ac:dyDescent="0.25">
      <c r="A117" t="s">
        <v>438</v>
      </c>
      <c r="B117">
        <v>1909</v>
      </c>
      <c r="C117" t="s">
        <v>439</v>
      </c>
      <c r="I117" t="s">
        <v>175</v>
      </c>
      <c r="J117" t="s">
        <v>440</v>
      </c>
      <c r="AA117">
        <f t="shared" si="9"/>
        <v>36</v>
      </c>
    </row>
    <row r="118" spans="1:27" x14ac:dyDescent="0.25">
      <c r="A118" t="s">
        <v>441</v>
      </c>
      <c r="B118">
        <v>1909</v>
      </c>
      <c r="C118" t="s">
        <v>439</v>
      </c>
      <c r="I118" t="s">
        <v>31</v>
      </c>
      <c r="J118" t="s">
        <v>442</v>
      </c>
      <c r="K118" t="s">
        <v>443</v>
      </c>
      <c r="L118" t="s">
        <v>31</v>
      </c>
      <c r="M118" t="s">
        <v>444</v>
      </c>
      <c r="N118" t="s">
        <v>109</v>
      </c>
      <c r="O118" t="s">
        <v>28</v>
      </c>
      <c r="W118" t="s">
        <v>28</v>
      </c>
      <c r="X118" t="s">
        <v>28</v>
      </c>
      <c r="AA118">
        <f t="shared" si="9"/>
        <v>64</v>
      </c>
    </row>
    <row r="119" spans="1:27" x14ac:dyDescent="0.25">
      <c r="A119" t="s">
        <v>441</v>
      </c>
      <c r="B119">
        <v>1909</v>
      </c>
      <c r="C119" t="s">
        <v>439</v>
      </c>
      <c r="I119" t="s">
        <v>31</v>
      </c>
      <c r="J119" t="s">
        <v>442</v>
      </c>
      <c r="K119" t="s">
        <v>445</v>
      </c>
      <c r="L119" t="s">
        <v>446</v>
      </c>
      <c r="N119" t="s">
        <v>109</v>
      </c>
      <c r="O119" t="s">
        <v>28</v>
      </c>
      <c r="AA119">
        <f t="shared" si="9"/>
        <v>48</v>
      </c>
    </row>
    <row r="120" spans="1:27" x14ac:dyDescent="0.25">
      <c r="A120" t="s">
        <v>441</v>
      </c>
      <c r="B120">
        <v>1909</v>
      </c>
      <c r="C120" t="s">
        <v>439</v>
      </c>
      <c r="I120" t="s">
        <v>31</v>
      </c>
      <c r="J120" t="s">
        <v>442</v>
      </c>
      <c r="K120" t="s">
        <v>447</v>
      </c>
      <c r="L120" t="s">
        <v>384</v>
      </c>
      <c r="N120" t="s">
        <v>109</v>
      </c>
      <c r="O120" t="s">
        <v>28</v>
      </c>
      <c r="V120" t="s">
        <v>28</v>
      </c>
      <c r="AA120">
        <f t="shared" si="9"/>
        <v>52</v>
      </c>
    </row>
    <row r="121" spans="1:27" x14ac:dyDescent="0.25">
      <c r="A121" t="s">
        <v>448</v>
      </c>
      <c r="B121">
        <v>1909</v>
      </c>
      <c r="C121" t="s">
        <v>449</v>
      </c>
      <c r="I121" t="s">
        <v>175</v>
      </c>
      <c r="J121" t="s">
        <v>450</v>
      </c>
      <c r="O121" t="s">
        <v>28</v>
      </c>
      <c r="AA121">
        <f t="shared" si="9"/>
        <v>33</v>
      </c>
    </row>
    <row r="122" spans="1:27" x14ac:dyDescent="0.25">
      <c r="A122" t="s">
        <v>451</v>
      </c>
      <c r="B122">
        <v>1909</v>
      </c>
      <c r="C122" t="s">
        <v>452</v>
      </c>
      <c r="I122" t="s">
        <v>31</v>
      </c>
      <c r="J122" t="s">
        <v>453</v>
      </c>
      <c r="O122" t="s">
        <v>28</v>
      </c>
      <c r="AA122">
        <f t="shared" si="9"/>
        <v>41</v>
      </c>
    </row>
    <row r="123" spans="1:27" x14ac:dyDescent="0.25">
      <c r="A123" t="s">
        <v>454</v>
      </c>
      <c r="B123">
        <v>1909</v>
      </c>
      <c r="C123" t="s">
        <v>455</v>
      </c>
      <c r="I123" t="s">
        <v>456</v>
      </c>
      <c r="J123" t="s">
        <v>457</v>
      </c>
      <c r="AA123">
        <f t="shared" si="9"/>
        <v>43</v>
      </c>
    </row>
    <row r="124" spans="1:27" x14ac:dyDescent="0.25">
      <c r="A124" t="s">
        <v>458</v>
      </c>
      <c r="B124">
        <v>1909</v>
      </c>
      <c r="C124" t="s">
        <v>459</v>
      </c>
      <c r="I124" t="s">
        <v>460</v>
      </c>
      <c r="J124" t="s">
        <v>461</v>
      </c>
      <c r="U124" t="s">
        <v>28</v>
      </c>
      <c r="AA124">
        <f t="shared" si="9"/>
        <v>36</v>
      </c>
    </row>
    <row r="125" spans="1:27" x14ac:dyDescent="0.25">
      <c r="A125" t="s">
        <v>462</v>
      </c>
      <c r="B125">
        <v>1909</v>
      </c>
      <c r="C125" t="s">
        <v>463</v>
      </c>
      <c r="I125" t="s">
        <v>31</v>
      </c>
      <c r="J125" t="s">
        <v>464</v>
      </c>
      <c r="O125" t="s">
        <v>28</v>
      </c>
      <c r="AA125">
        <f t="shared" si="9"/>
        <v>47</v>
      </c>
    </row>
    <row r="126" spans="1:27" x14ac:dyDescent="0.25">
      <c r="A126" t="s">
        <v>465</v>
      </c>
      <c r="B126">
        <v>1909</v>
      </c>
      <c r="C126" t="s">
        <v>466</v>
      </c>
      <c r="I126" t="s">
        <v>31</v>
      </c>
      <c r="J126" t="s">
        <v>467</v>
      </c>
      <c r="AA126">
        <f t="shared" si="9"/>
        <v>31</v>
      </c>
    </row>
    <row r="127" spans="1:27" x14ac:dyDescent="0.25">
      <c r="A127" t="s">
        <v>468</v>
      </c>
      <c r="B127">
        <v>1909</v>
      </c>
      <c r="C127" t="s">
        <v>469</v>
      </c>
      <c r="I127" t="s">
        <v>31</v>
      </c>
      <c r="J127" t="s">
        <v>470</v>
      </c>
      <c r="AA127">
        <f t="shared" si="9"/>
        <v>35</v>
      </c>
    </row>
    <row r="128" spans="1:27" x14ac:dyDescent="0.25">
      <c r="A128" t="s">
        <v>471</v>
      </c>
      <c r="B128">
        <v>1909</v>
      </c>
      <c r="C128" t="s">
        <v>472</v>
      </c>
      <c r="I128" t="s">
        <v>473</v>
      </c>
      <c r="J128" t="s">
        <v>474</v>
      </c>
      <c r="AA128">
        <f t="shared" si="9"/>
        <v>39</v>
      </c>
    </row>
    <row r="129" spans="1:27" x14ac:dyDescent="0.25">
      <c r="A129" t="s">
        <v>475</v>
      </c>
      <c r="B129">
        <v>1909</v>
      </c>
      <c r="C129" t="s">
        <v>476</v>
      </c>
      <c r="I129" t="s">
        <v>31</v>
      </c>
      <c r="J129" t="s">
        <v>477</v>
      </c>
      <c r="AA129">
        <f t="shared" si="9"/>
        <v>29</v>
      </c>
    </row>
    <row r="130" spans="1:27" x14ac:dyDescent="0.25">
      <c r="A130" t="s">
        <v>478</v>
      </c>
      <c r="B130">
        <v>1909</v>
      </c>
      <c r="C130" t="s">
        <v>479</v>
      </c>
      <c r="I130" t="s">
        <v>480</v>
      </c>
      <c r="J130" t="s">
        <v>481</v>
      </c>
      <c r="O130" t="s">
        <v>28</v>
      </c>
      <c r="AA130">
        <f t="shared" si="9"/>
        <v>31</v>
      </c>
    </row>
    <row r="131" spans="1:27" x14ac:dyDescent="0.25">
      <c r="A131" t="s">
        <v>482</v>
      </c>
      <c r="B131">
        <v>1909</v>
      </c>
      <c r="C131" t="s">
        <v>483</v>
      </c>
      <c r="I131" t="s">
        <v>182</v>
      </c>
      <c r="J131" t="s">
        <v>484</v>
      </c>
      <c r="O131" t="s">
        <v>28</v>
      </c>
      <c r="U131" t="s">
        <v>28</v>
      </c>
      <c r="AA131">
        <f t="shared" si="9"/>
        <v>38</v>
      </c>
    </row>
    <row r="132" spans="1:27" x14ac:dyDescent="0.25">
      <c r="A132" t="s">
        <v>485</v>
      </c>
      <c r="B132">
        <v>1910</v>
      </c>
      <c r="C132" t="s">
        <v>486</v>
      </c>
      <c r="I132" t="s">
        <v>39</v>
      </c>
      <c r="J132" t="s">
        <v>487</v>
      </c>
      <c r="AA132">
        <f t="shared" si="9"/>
        <v>33</v>
      </c>
    </row>
    <row r="133" spans="1:27" x14ac:dyDescent="0.25">
      <c r="A133" t="s">
        <v>488</v>
      </c>
      <c r="B133">
        <v>1910</v>
      </c>
      <c r="C133" t="s">
        <v>489</v>
      </c>
      <c r="D133" t="s">
        <v>19</v>
      </c>
      <c r="E133" t="s">
        <v>19</v>
      </c>
      <c r="F133" t="s">
        <v>19</v>
      </c>
      <c r="G133" t="s">
        <v>19</v>
      </c>
      <c r="H133" t="s">
        <v>19</v>
      </c>
      <c r="I133" t="s">
        <v>345</v>
      </c>
      <c r="J133" t="s">
        <v>490</v>
      </c>
      <c r="K133" t="s">
        <v>491</v>
      </c>
      <c r="L133" t="s">
        <v>492</v>
      </c>
      <c r="M133" t="s">
        <v>19</v>
      </c>
      <c r="N133" t="s">
        <v>109</v>
      </c>
      <c r="O133" t="s">
        <v>28</v>
      </c>
      <c r="W133" t="s">
        <v>28</v>
      </c>
      <c r="Z133">
        <v>1</v>
      </c>
      <c r="AA133">
        <f t="shared" ref="AA133:AA180" si="10">LEN(C133)</f>
        <v>17</v>
      </c>
    </row>
    <row r="134" spans="1:27" x14ac:dyDescent="0.25">
      <c r="A134" t="s">
        <v>488</v>
      </c>
      <c r="B134">
        <v>1910</v>
      </c>
      <c r="C134" t="s">
        <v>489</v>
      </c>
      <c r="D134" t="s">
        <v>19</v>
      </c>
      <c r="E134" t="s">
        <v>19</v>
      </c>
      <c r="F134" t="s">
        <v>19</v>
      </c>
      <c r="G134" t="s">
        <v>19</v>
      </c>
      <c r="H134" t="s">
        <v>19</v>
      </c>
      <c r="I134" t="s">
        <v>345</v>
      </c>
      <c r="J134" t="s">
        <v>490</v>
      </c>
      <c r="K134" t="s">
        <v>493</v>
      </c>
      <c r="L134" t="s">
        <v>494</v>
      </c>
      <c r="M134" t="s">
        <v>19</v>
      </c>
      <c r="N134" t="s">
        <v>109</v>
      </c>
      <c r="O134" t="s">
        <v>28</v>
      </c>
      <c r="V134" t="s">
        <v>28</v>
      </c>
      <c r="Z134">
        <v>1</v>
      </c>
      <c r="AA134">
        <f t="shared" si="10"/>
        <v>17</v>
      </c>
    </row>
    <row r="135" spans="1:27" x14ac:dyDescent="0.25">
      <c r="A135" t="s">
        <v>488</v>
      </c>
      <c r="B135">
        <v>1910</v>
      </c>
      <c r="C135" t="s">
        <v>489</v>
      </c>
      <c r="D135" t="s">
        <v>19</v>
      </c>
      <c r="E135" t="s">
        <v>19</v>
      </c>
      <c r="F135" t="s">
        <v>19</v>
      </c>
      <c r="G135" t="s">
        <v>19</v>
      </c>
      <c r="H135" t="s">
        <v>19</v>
      </c>
      <c r="I135" t="s">
        <v>345</v>
      </c>
      <c r="J135" t="s">
        <v>490</v>
      </c>
      <c r="K135" t="s">
        <v>495</v>
      </c>
      <c r="L135" t="s">
        <v>496</v>
      </c>
      <c r="M135" t="s">
        <v>19</v>
      </c>
      <c r="N135" t="s">
        <v>109</v>
      </c>
      <c r="O135" t="s">
        <v>28</v>
      </c>
      <c r="V135" t="s">
        <v>28</v>
      </c>
      <c r="Z135">
        <v>1</v>
      </c>
      <c r="AA135">
        <f t="shared" si="10"/>
        <v>17</v>
      </c>
    </row>
    <row r="136" spans="1:27" x14ac:dyDescent="0.25">
      <c r="A136" t="s">
        <v>488</v>
      </c>
      <c r="B136">
        <v>1910</v>
      </c>
      <c r="C136" t="s">
        <v>489</v>
      </c>
      <c r="D136" t="s">
        <v>19</v>
      </c>
      <c r="E136" t="s">
        <v>19</v>
      </c>
      <c r="F136" t="s">
        <v>19</v>
      </c>
      <c r="G136" t="s">
        <v>19</v>
      </c>
      <c r="H136" t="s">
        <v>19</v>
      </c>
      <c r="I136" t="s">
        <v>345</v>
      </c>
      <c r="J136" t="s">
        <v>490</v>
      </c>
      <c r="K136" t="s">
        <v>497</v>
      </c>
      <c r="L136" t="s">
        <v>498</v>
      </c>
      <c r="M136" t="s">
        <v>23</v>
      </c>
      <c r="N136" t="s">
        <v>212</v>
      </c>
      <c r="O136" t="s">
        <v>28</v>
      </c>
      <c r="Z136">
        <v>1</v>
      </c>
      <c r="AA136">
        <f t="shared" si="10"/>
        <v>17</v>
      </c>
    </row>
    <row r="137" spans="1:27" x14ac:dyDescent="0.25">
      <c r="A137" t="s">
        <v>499</v>
      </c>
      <c r="B137">
        <v>1910</v>
      </c>
      <c r="C137" t="s">
        <v>500</v>
      </c>
      <c r="I137" t="s">
        <v>501</v>
      </c>
      <c r="J137" t="s">
        <v>502</v>
      </c>
      <c r="O137" t="s">
        <v>28</v>
      </c>
      <c r="U137" t="s">
        <v>28</v>
      </c>
      <c r="AA137">
        <f t="shared" ref="AA137:AA142" si="11">LEN(C137)+LEN(D137)+LEN(E137)+LEN(F137)+LEN(G137)+LEN(H137)+LEN(I137)+LEN(K137)+LEN(L137)+LEN(M137)+LEN(N137)</f>
        <v>41</v>
      </c>
    </row>
    <row r="138" spans="1:27" x14ac:dyDescent="0.25">
      <c r="A138" t="s">
        <v>503</v>
      </c>
      <c r="B138">
        <v>1910</v>
      </c>
      <c r="C138" t="s">
        <v>504</v>
      </c>
      <c r="I138" t="s">
        <v>505</v>
      </c>
      <c r="J138" t="s">
        <v>506</v>
      </c>
      <c r="U138" t="s">
        <v>28</v>
      </c>
      <c r="AA138">
        <f t="shared" si="11"/>
        <v>35</v>
      </c>
    </row>
    <row r="139" spans="1:27" x14ac:dyDescent="0.25">
      <c r="A139" t="s">
        <v>507</v>
      </c>
      <c r="B139">
        <v>1910</v>
      </c>
      <c r="C139" t="s">
        <v>508</v>
      </c>
      <c r="I139" t="s">
        <v>411</v>
      </c>
      <c r="J139" t="s">
        <v>509</v>
      </c>
      <c r="O139" t="s">
        <v>28</v>
      </c>
      <c r="AA139">
        <f t="shared" si="11"/>
        <v>45</v>
      </c>
    </row>
    <row r="140" spans="1:27" x14ac:dyDescent="0.25">
      <c r="A140" t="s">
        <v>510</v>
      </c>
      <c r="B140">
        <v>1910</v>
      </c>
      <c r="C140" t="s">
        <v>511</v>
      </c>
      <c r="I140" t="s">
        <v>136</v>
      </c>
      <c r="J140" t="s">
        <v>512</v>
      </c>
      <c r="AA140">
        <f t="shared" si="11"/>
        <v>33</v>
      </c>
    </row>
    <row r="141" spans="1:27" x14ac:dyDescent="0.25">
      <c r="A141" t="s">
        <v>513</v>
      </c>
      <c r="B141">
        <v>1910</v>
      </c>
      <c r="C141" t="s">
        <v>514</v>
      </c>
      <c r="I141" t="s">
        <v>175</v>
      </c>
      <c r="J141" t="s">
        <v>515</v>
      </c>
      <c r="O141" t="s">
        <v>28</v>
      </c>
      <c r="AA141">
        <f t="shared" si="11"/>
        <v>40</v>
      </c>
    </row>
    <row r="142" spans="1:27" x14ac:dyDescent="0.25">
      <c r="A142" t="s">
        <v>516</v>
      </c>
      <c r="B142">
        <v>1910</v>
      </c>
      <c r="C142" t="s">
        <v>517</v>
      </c>
      <c r="I142" t="s">
        <v>518</v>
      </c>
      <c r="J142" t="s">
        <v>519</v>
      </c>
      <c r="U142" t="s">
        <v>28</v>
      </c>
      <c r="AA142">
        <f t="shared" si="11"/>
        <v>43</v>
      </c>
    </row>
    <row r="143" spans="1:27" x14ac:dyDescent="0.25">
      <c r="A143" t="s">
        <v>520</v>
      </c>
      <c r="B143">
        <v>1910</v>
      </c>
      <c r="C143" t="s">
        <v>521</v>
      </c>
      <c r="D143" t="s">
        <v>19</v>
      </c>
      <c r="E143" t="s">
        <v>19</v>
      </c>
      <c r="F143" t="s">
        <v>19</v>
      </c>
      <c r="G143" t="s">
        <v>19</v>
      </c>
      <c r="H143" t="s">
        <v>19</v>
      </c>
      <c r="I143" t="s">
        <v>31</v>
      </c>
      <c r="J143" t="s">
        <v>522</v>
      </c>
      <c r="K143" t="s">
        <v>523</v>
      </c>
      <c r="L143" t="s">
        <v>524</v>
      </c>
      <c r="M143" t="s">
        <v>525</v>
      </c>
      <c r="N143" t="s">
        <v>109</v>
      </c>
      <c r="O143" t="s">
        <v>28</v>
      </c>
      <c r="V143" t="s">
        <v>68</v>
      </c>
      <c r="Z143">
        <v>8</v>
      </c>
      <c r="AA143">
        <f t="shared" si="10"/>
        <v>27</v>
      </c>
    </row>
    <row r="144" spans="1:27" x14ac:dyDescent="0.25">
      <c r="A144" t="s">
        <v>526</v>
      </c>
      <c r="B144">
        <v>1910</v>
      </c>
      <c r="C144" t="s">
        <v>527</v>
      </c>
      <c r="I144" t="s">
        <v>31</v>
      </c>
      <c r="J144" t="s">
        <v>528</v>
      </c>
      <c r="O144" t="s">
        <v>28</v>
      </c>
      <c r="AA144">
        <f t="shared" ref="AA144:AA146" si="12">LEN(C144)+LEN(D144)+LEN(E144)+LEN(F144)+LEN(G144)+LEN(H144)+LEN(I144)+LEN(K144)+LEN(L144)+LEN(M144)+LEN(N144)</f>
        <v>26</v>
      </c>
    </row>
    <row r="145" spans="1:27" x14ac:dyDescent="0.25">
      <c r="A145" t="s">
        <v>529</v>
      </c>
      <c r="B145">
        <v>1910</v>
      </c>
      <c r="C145" t="s">
        <v>530</v>
      </c>
      <c r="I145" t="s">
        <v>531</v>
      </c>
      <c r="J145" t="s">
        <v>532</v>
      </c>
      <c r="AA145">
        <f t="shared" si="12"/>
        <v>48</v>
      </c>
    </row>
    <row r="146" spans="1:27" x14ac:dyDescent="0.25">
      <c r="A146" t="s">
        <v>533</v>
      </c>
      <c r="B146">
        <v>1910</v>
      </c>
      <c r="C146" t="s">
        <v>534</v>
      </c>
      <c r="I146" t="s">
        <v>136</v>
      </c>
      <c r="J146" t="s">
        <v>535</v>
      </c>
      <c r="O146" t="s">
        <v>28</v>
      </c>
      <c r="AA146">
        <f t="shared" si="12"/>
        <v>31</v>
      </c>
    </row>
    <row r="147" spans="1:27" x14ac:dyDescent="0.25">
      <c r="A147" t="s">
        <v>536</v>
      </c>
      <c r="B147">
        <v>1910</v>
      </c>
      <c r="C147" t="s">
        <v>537</v>
      </c>
      <c r="D147" t="s">
        <v>19</v>
      </c>
      <c r="E147" t="s">
        <v>19</v>
      </c>
      <c r="F147" t="s">
        <v>19</v>
      </c>
      <c r="G147" t="s">
        <v>19</v>
      </c>
      <c r="H147" t="s">
        <v>19</v>
      </c>
      <c r="I147" t="s">
        <v>31</v>
      </c>
      <c r="J147" t="s">
        <v>538</v>
      </c>
      <c r="K147" t="s">
        <v>19</v>
      </c>
      <c r="L147" t="s">
        <v>19</v>
      </c>
      <c r="M147" t="s">
        <v>19</v>
      </c>
      <c r="N147" t="s">
        <v>19</v>
      </c>
      <c r="O147" t="s">
        <v>68</v>
      </c>
      <c r="Z147">
        <v>1</v>
      </c>
      <c r="AA147">
        <f t="shared" si="10"/>
        <v>15</v>
      </c>
    </row>
    <row r="148" spans="1:27" x14ac:dyDescent="0.25">
      <c r="A148" t="s">
        <v>539</v>
      </c>
      <c r="B148">
        <v>1910</v>
      </c>
      <c r="C148" t="s">
        <v>540</v>
      </c>
      <c r="I148" t="s">
        <v>31</v>
      </c>
      <c r="J148" t="s">
        <v>541</v>
      </c>
      <c r="O148" t="s">
        <v>28</v>
      </c>
      <c r="AA148">
        <f>LEN(C148)+LEN(D148)+LEN(E148)+LEN(F148)+LEN(G148)+LEN(H148)+LEN(I148)+LEN(K148)+LEN(L148)+LEN(M148)+LEN(N148)</f>
        <v>47</v>
      </c>
    </row>
    <row r="149" spans="1:27" x14ac:dyDescent="0.25">
      <c r="A149" t="s">
        <v>542</v>
      </c>
      <c r="B149">
        <v>1910</v>
      </c>
      <c r="C149" t="s">
        <v>543</v>
      </c>
      <c r="D149" t="s">
        <v>19</v>
      </c>
      <c r="E149" t="s">
        <v>19</v>
      </c>
      <c r="F149" t="s">
        <v>19</v>
      </c>
      <c r="G149" t="s">
        <v>19</v>
      </c>
      <c r="H149" t="s">
        <v>19</v>
      </c>
      <c r="I149" t="s">
        <v>175</v>
      </c>
      <c r="J149" t="s">
        <v>544</v>
      </c>
      <c r="K149" t="s">
        <v>19</v>
      </c>
      <c r="L149" t="s">
        <v>19</v>
      </c>
      <c r="M149" t="s">
        <v>19</v>
      </c>
      <c r="N149" t="s">
        <v>19</v>
      </c>
      <c r="O149" t="s">
        <v>68</v>
      </c>
      <c r="Z149">
        <v>10</v>
      </c>
      <c r="AA149">
        <f t="shared" si="10"/>
        <v>10</v>
      </c>
    </row>
    <row r="150" spans="1:27" x14ac:dyDescent="0.25">
      <c r="A150" t="s">
        <v>545</v>
      </c>
      <c r="B150">
        <v>1910</v>
      </c>
      <c r="C150" t="s">
        <v>546</v>
      </c>
      <c r="I150" t="s">
        <v>547</v>
      </c>
      <c r="J150" t="s">
        <v>548</v>
      </c>
      <c r="K150" t="s">
        <v>549</v>
      </c>
      <c r="L150" t="s">
        <v>383</v>
      </c>
      <c r="N150" t="s">
        <v>109</v>
      </c>
      <c r="O150" t="s">
        <v>28</v>
      </c>
      <c r="V150" t="s">
        <v>28</v>
      </c>
      <c r="X150" t="s">
        <v>28</v>
      </c>
      <c r="AA150">
        <f t="shared" ref="AA150:AA158" si="13">LEN(C150)+LEN(D150)+LEN(E150)+LEN(F150)+LEN(G150)+LEN(H150)+LEN(I150)+LEN(K150)+LEN(L150)+LEN(M150)+LEN(N150)</f>
        <v>38</v>
      </c>
    </row>
    <row r="151" spans="1:27" x14ac:dyDescent="0.25">
      <c r="A151" t="s">
        <v>550</v>
      </c>
      <c r="B151">
        <v>1910</v>
      </c>
      <c r="C151" t="s">
        <v>546</v>
      </c>
      <c r="I151" t="s">
        <v>31</v>
      </c>
      <c r="J151" t="s">
        <v>551</v>
      </c>
      <c r="O151" t="s">
        <v>28</v>
      </c>
      <c r="V151" t="s">
        <v>28</v>
      </c>
      <c r="W151" t="s">
        <v>28</v>
      </c>
      <c r="X151" t="s">
        <v>28</v>
      </c>
      <c r="Y151" t="s">
        <v>28</v>
      </c>
      <c r="AA151">
        <f t="shared" si="13"/>
        <v>20</v>
      </c>
    </row>
    <row r="152" spans="1:27" x14ac:dyDescent="0.25">
      <c r="A152" t="s">
        <v>552</v>
      </c>
      <c r="B152">
        <v>1910</v>
      </c>
      <c r="C152" t="s">
        <v>553</v>
      </c>
      <c r="I152" t="s">
        <v>411</v>
      </c>
      <c r="J152" t="s">
        <v>554</v>
      </c>
      <c r="AA152">
        <f t="shared" si="13"/>
        <v>38</v>
      </c>
    </row>
    <row r="153" spans="1:27" x14ac:dyDescent="0.25">
      <c r="A153" t="s">
        <v>555</v>
      </c>
      <c r="B153">
        <v>1910</v>
      </c>
      <c r="C153" t="s">
        <v>556</v>
      </c>
      <c r="I153" t="s">
        <v>557</v>
      </c>
      <c r="J153" t="s">
        <v>558</v>
      </c>
      <c r="K153" t="s">
        <v>559</v>
      </c>
      <c r="L153" t="s">
        <v>560</v>
      </c>
      <c r="M153" t="s">
        <v>561</v>
      </c>
      <c r="N153" t="s">
        <v>109</v>
      </c>
      <c r="O153" t="s">
        <v>28</v>
      </c>
      <c r="U153" t="s">
        <v>28</v>
      </c>
      <c r="AA153">
        <f t="shared" si="13"/>
        <v>68</v>
      </c>
    </row>
    <row r="154" spans="1:27" x14ac:dyDescent="0.25">
      <c r="A154" t="s">
        <v>555</v>
      </c>
      <c r="B154">
        <v>1910</v>
      </c>
      <c r="C154" t="s">
        <v>556</v>
      </c>
      <c r="I154" t="s">
        <v>557</v>
      </c>
      <c r="J154" t="s">
        <v>558</v>
      </c>
      <c r="K154" t="s">
        <v>562</v>
      </c>
      <c r="L154" t="s">
        <v>563</v>
      </c>
      <c r="N154" t="s">
        <v>109</v>
      </c>
      <c r="O154" t="s">
        <v>28</v>
      </c>
      <c r="U154" t="s">
        <v>28</v>
      </c>
      <c r="V154" t="s">
        <v>28</v>
      </c>
      <c r="AA154">
        <f t="shared" si="13"/>
        <v>64</v>
      </c>
    </row>
    <row r="155" spans="1:27" x14ac:dyDescent="0.25">
      <c r="A155" t="s">
        <v>555</v>
      </c>
      <c r="B155">
        <v>1910</v>
      </c>
      <c r="C155" t="s">
        <v>556</v>
      </c>
      <c r="I155" t="s">
        <v>557</v>
      </c>
      <c r="J155" t="s">
        <v>558</v>
      </c>
      <c r="K155" t="s">
        <v>564</v>
      </c>
      <c r="L155" t="s">
        <v>557</v>
      </c>
      <c r="N155" t="s">
        <v>109</v>
      </c>
      <c r="O155" t="s">
        <v>28</v>
      </c>
      <c r="U155" t="s">
        <v>28</v>
      </c>
      <c r="V155" t="s">
        <v>28</v>
      </c>
      <c r="AA155">
        <f t="shared" si="13"/>
        <v>66</v>
      </c>
    </row>
    <row r="156" spans="1:27" x14ac:dyDescent="0.25">
      <c r="A156" t="s">
        <v>555</v>
      </c>
      <c r="B156">
        <v>1910</v>
      </c>
      <c r="C156" t="s">
        <v>556</v>
      </c>
      <c r="I156" t="s">
        <v>557</v>
      </c>
      <c r="J156" t="s">
        <v>558</v>
      </c>
      <c r="K156" t="s">
        <v>565</v>
      </c>
      <c r="L156" t="s">
        <v>566</v>
      </c>
      <c r="M156" t="s">
        <v>567</v>
      </c>
      <c r="N156" t="s">
        <v>109</v>
      </c>
      <c r="O156" t="s">
        <v>28</v>
      </c>
      <c r="U156" t="s">
        <v>28</v>
      </c>
      <c r="V156" t="s">
        <v>28</v>
      </c>
      <c r="X156" t="s">
        <v>28</v>
      </c>
      <c r="Y156" t="s">
        <v>28</v>
      </c>
      <c r="AA156">
        <f t="shared" si="13"/>
        <v>71</v>
      </c>
    </row>
    <row r="157" spans="1:27" x14ac:dyDescent="0.25">
      <c r="A157" t="s">
        <v>555</v>
      </c>
      <c r="B157">
        <v>1910</v>
      </c>
      <c r="C157" t="s">
        <v>556</v>
      </c>
      <c r="I157" t="s">
        <v>557</v>
      </c>
      <c r="J157" t="s">
        <v>558</v>
      </c>
      <c r="K157" t="s">
        <v>568</v>
      </c>
      <c r="L157" t="s">
        <v>569</v>
      </c>
      <c r="M157" t="s">
        <v>570</v>
      </c>
      <c r="N157" t="s">
        <v>109</v>
      </c>
      <c r="O157" t="s">
        <v>28</v>
      </c>
      <c r="U157" t="s">
        <v>28</v>
      </c>
      <c r="X157" t="s">
        <v>28</v>
      </c>
      <c r="AA157">
        <f t="shared" si="13"/>
        <v>68</v>
      </c>
    </row>
    <row r="158" spans="1:27" x14ac:dyDescent="0.25">
      <c r="A158" t="s">
        <v>571</v>
      </c>
      <c r="B158">
        <v>1910</v>
      </c>
      <c r="C158" t="s">
        <v>572</v>
      </c>
      <c r="I158" t="s">
        <v>31</v>
      </c>
      <c r="J158" t="s">
        <v>573</v>
      </c>
      <c r="AA158">
        <f t="shared" si="13"/>
        <v>46</v>
      </c>
    </row>
    <row r="159" spans="1:27" x14ac:dyDescent="0.25">
      <c r="A159" t="s">
        <v>574</v>
      </c>
      <c r="B159">
        <v>1910</v>
      </c>
      <c r="C159" t="s">
        <v>575</v>
      </c>
      <c r="D159" t="s">
        <v>19</v>
      </c>
      <c r="E159" t="s">
        <v>19</v>
      </c>
      <c r="F159" t="s">
        <v>19</v>
      </c>
      <c r="G159" t="s">
        <v>19</v>
      </c>
      <c r="H159" t="s">
        <v>19</v>
      </c>
      <c r="I159" t="s">
        <v>576</v>
      </c>
      <c r="J159" t="s">
        <v>577</v>
      </c>
      <c r="K159" t="s">
        <v>19</v>
      </c>
      <c r="L159" t="s">
        <v>19</v>
      </c>
      <c r="M159" t="s">
        <v>19</v>
      </c>
      <c r="N159" t="s">
        <v>19</v>
      </c>
      <c r="O159" t="s">
        <v>68</v>
      </c>
      <c r="Z159">
        <v>24</v>
      </c>
      <c r="AA159">
        <f t="shared" si="10"/>
        <v>24</v>
      </c>
    </row>
    <row r="160" spans="1:27" x14ac:dyDescent="0.25">
      <c r="A160" t="s">
        <v>578</v>
      </c>
      <c r="B160">
        <v>1910</v>
      </c>
      <c r="C160" t="s">
        <v>579</v>
      </c>
      <c r="I160" t="s">
        <v>580</v>
      </c>
      <c r="J160" t="s">
        <v>581</v>
      </c>
      <c r="U160" t="s">
        <v>28</v>
      </c>
      <c r="AA160">
        <f t="shared" ref="AA160:AA170" si="14">LEN(C160)+LEN(D160)+LEN(E160)+LEN(F160)+LEN(G160)+LEN(H160)+LEN(I160)+LEN(K160)+LEN(L160)+LEN(M160)+LEN(N160)</f>
        <v>23</v>
      </c>
    </row>
    <row r="161" spans="1:27" x14ac:dyDescent="0.25">
      <c r="A161" t="s">
        <v>582</v>
      </c>
      <c r="B161">
        <v>1910</v>
      </c>
      <c r="C161" t="s">
        <v>583</v>
      </c>
      <c r="I161" t="s">
        <v>584</v>
      </c>
      <c r="J161" t="s">
        <v>148</v>
      </c>
      <c r="AA161">
        <f t="shared" si="14"/>
        <v>35</v>
      </c>
    </row>
    <row r="162" spans="1:27" x14ac:dyDescent="0.25">
      <c r="A162" t="s">
        <v>585</v>
      </c>
      <c r="B162">
        <v>1910</v>
      </c>
      <c r="C162" t="s">
        <v>586</v>
      </c>
      <c r="I162" t="s">
        <v>359</v>
      </c>
      <c r="J162" t="s">
        <v>587</v>
      </c>
      <c r="AA162">
        <f t="shared" si="14"/>
        <v>29</v>
      </c>
    </row>
    <row r="163" spans="1:27" x14ac:dyDescent="0.25">
      <c r="A163" t="s">
        <v>588</v>
      </c>
      <c r="B163">
        <v>1910</v>
      </c>
      <c r="C163" t="s">
        <v>589</v>
      </c>
      <c r="I163" t="s">
        <v>291</v>
      </c>
      <c r="J163" t="s">
        <v>590</v>
      </c>
      <c r="AA163">
        <f t="shared" si="14"/>
        <v>39</v>
      </c>
    </row>
    <row r="164" spans="1:27" x14ac:dyDescent="0.25">
      <c r="A164" t="s">
        <v>591</v>
      </c>
      <c r="B164">
        <v>1910</v>
      </c>
      <c r="C164" t="s">
        <v>592</v>
      </c>
      <c r="I164" t="s">
        <v>31</v>
      </c>
      <c r="J164" t="s">
        <v>593</v>
      </c>
      <c r="O164" t="s">
        <v>28</v>
      </c>
      <c r="AA164">
        <f t="shared" si="14"/>
        <v>35</v>
      </c>
    </row>
    <row r="165" spans="1:27" x14ac:dyDescent="0.25">
      <c r="A165" t="s">
        <v>594</v>
      </c>
      <c r="B165">
        <v>1910</v>
      </c>
      <c r="C165" t="s">
        <v>595</v>
      </c>
      <c r="I165" t="s">
        <v>596</v>
      </c>
      <c r="J165" t="s">
        <v>597</v>
      </c>
      <c r="AA165">
        <f t="shared" si="14"/>
        <v>38</v>
      </c>
    </row>
    <row r="166" spans="1:27" x14ac:dyDescent="0.25">
      <c r="A166" t="s">
        <v>598</v>
      </c>
      <c r="B166">
        <v>1910</v>
      </c>
      <c r="C166" t="s">
        <v>599</v>
      </c>
      <c r="I166" t="s">
        <v>600</v>
      </c>
      <c r="J166" t="s">
        <v>601</v>
      </c>
      <c r="O166" t="s">
        <v>28</v>
      </c>
      <c r="AA166">
        <f t="shared" si="14"/>
        <v>27</v>
      </c>
    </row>
    <row r="167" spans="1:27" x14ac:dyDescent="0.25">
      <c r="A167" t="s">
        <v>602</v>
      </c>
      <c r="B167">
        <v>1910</v>
      </c>
      <c r="C167" t="s">
        <v>25</v>
      </c>
      <c r="E167" t="s">
        <v>603</v>
      </c>
      <c r="I167" t="s">
        <v>604</v>
      </c>
      <c r="J167" t="s">
        <v>605</v>
      </c>
      <c r="O167" t="s">
        <v>28</v>
      </c>
      <c r="AA167">
        <f t="shared" si="14"/>
        <v>45</v>
      </c>
    </row>
    <row r="168" spans="1:27" x14ac:dyDescent="0.25">
      <c r="A168" t="s">
        <v>606</v>
      </c>
      <c r="B168">
        <v>1910</v>
      </c>
      <c r="C168" t="s">
        <v>25</v>
      </c>
      <c r="F168">
        <v>1873</v>
      </c>
      <c r="I168" t="s">
        <v>604</v>
      </c>
      <c r="J168" t="s">
        <v>607</v>
      </c>
      <c r="O168" t="s">
        <v>28</v>
      </c>
      <c r="AA168">
        <f t="shared" si="14"/>
        <v>26</v>
      </c>
    </row>
    <row r="169" spans="1:27" x14ac:dyDescent="0.25">
      <c r="A169" t="s">
        <v>608</v>
      </c>
      <c r="B169">
        <v>1910</v>
      </c>
      <c r="C169" t="s">
        <v>609</v>
      </c>
      <c r="I169" t="s">
        <v>610</v>
      </c>
      <c r="J169" t="s">
        <v>611</v>
      </c>
      <c r="O169" t="s">
        <v>28</v>
      </c>
      <c r="AA169">
        <f t="shared" si="14"/>
        <v>42</v>
      </c>
    </row>
    <row r="170" spans="1:27" x14ac:dyDescent="0.25">
      <c r="A170" t="s">
        <v>612</v>
      </c>
      <c r="B170">
        <v>1910</v>
      </c>
      <c r="C170" t="s">
        <v>613</v>
      </c>
      <c r="I170" t="s">
        <v>614</v>
      </c>
      <c r="J170" t="s">
        <v>615</v>
      </c>
      <c r="U170" t="s">
        <v>28</v>
      </c>
      <c r="AA170">
        <f t="shared" si="14"/>
        <v>43</v>
      </c>
    </row>
    <row r="171" spans="1:27" x14ac:dyDescent="0.25">
      <c r="A171" t="s">
        <v>616</v>
      </c>
      <c r="B171">
        <v>1910</v>
      </c>
      <c r="C171" t="s">
        <v>617</v>
      </c>
      <c r="D171" t="s">
        <v>19</v>
      </c>
      <c r="E171" t="s">
        <v>19</v>
      </c>
      <c r="F171" t="s">
        <v>19</v>
      </c>
      <c r="G171" t="s">
        <v>19</v>
      </c>
      <c r="H171" t="s">
        <v>19</v>
      </c>
      <c r="I171" t="s">
        <v>19</v>
      </c>
      <c r="J171" t="s">
        <v>618</v>
      </c>
      <c r="K171" t="s">
        <v>619</v>
      </c>
      <c r="L171" t="s">
        <v>322</v>
      </c>
      <c r="M171" t="s">
        <v>19</v>
      </c>
      <c r="N171" t="s">
        <v>109</v>
      </c>
      <c r="U171" t="s">
        <v>28</v>
      </c>
      <c r="V171" t="s">
        <v>68</v>
      </c>
      <c r="Z171">
        <v>5</v>
      </c>
      <c r="AA171">
        <f t="shared" si="10"/>
        <v>33</v>
      </c>
    </row>
    <row r="172" spans="1:27" x14ac:dyDescent="0.25">
      <c r="A172" t="s">
        <v>616</v>
      </c>
      <c r="B172">
        <v>1910</v>
      </c>
      <c r="C172" t="s">
        <v>617</v>
      </c>
      <c r="J172" t="s">
        <v>618</v>
      </c>
      <c r="K172" t="s">
        <v>620</v>
      </c>
      <c r="L172" t="s">
        <v>621</v>
      </c>
      <c r="N172" t="s">
        <v>212</v>
      </c>
      <c r="U172" t="s">
        <v>28</v>
      </c>
      <c r="V172" t="s">
        <v>28</v>
      </c>
      <c r="AA172">
        <f t="shared" ref="AA172:AA179" si="15">LEN(C172)+LEN(D172)+LEN(E172)+LEN(F172)+LEN(G172)+LEN(H172)+LEN(I172)+LEN(K172)+LEN(L172)+LEN(M172)+LEN(N172)</f>
        <v>53</v>
      </c>
    </row>
    <row r="173" spans="1:27" x14ac:dyDescent="0.25">
      <c r="A173" t="s">
        <v>622</v>
      </c>
      <c r="B173">
        <v>1911</v>
      </c>
      <c r="C173" t="s">
        <v>623</v>
      </c>
      <c r="I173" t="s">
        <v>547</v>
      </c>
      <c r="J173" t="s">
        <v>624</v>
      </c>
      <c r="O173" t="s">
        <v>28</v>
      </c>
      <c r="AA173">
        <f t="shared" si="15"/>
        <v>70</v>
      </c>
    </row>
    <row r="174" spans="1:27" x14ac:dyDescent="0.25">
      <c r="A174" t="s">
        <v>625</v>
      </c>
      <c r="B174">
        <v>1911</v>
      </c>
      <c r="C174" t="s">
        <v>626</v>
      </c>
      <c r="I174" t="s">
        <v>627</v>
      </c>
      <c r="J174" t="s">
        <v>628</v>
      </c>
      <c r="K174" t="s">
        <v>629</v>
      </c>
      <c r="L174" t="s">
        <v>389</v>
      </c>
      <c r="M174" t="s">
        <v>630</v>
      </c>
      <c r="N174" t="s">
        <v>109</v>
      </c>
      <c r="AA174">
        <f t="shared" si="15"/>
        <v>52</v>
      </c>
    </row>
    <row r="175" spans="1:27" x14ac:dyDescent="0.25">
      <c r="A175" t="s">
        <v>631</v>
      </c>
      <c r="B175">
        <v>1911</v>
      </c>
      <c r="C175" t="s">
        <v>632</v>
      </c>
      <c r="D175">
        <v>145843.5</v>
      </c>
      <c r="I175" t="s">
        <v>47</v>
      </c>
      <c r="J175" t="s">
        <v>633</v>
      </c>
      <c r="O175" t="s">
        <v>28</v>
      </c>
      <c r="AA175">
        <f t="shared" si="15"/>
        <v>49</v>
      </c>
    </row>
    <row r="176" spans="1:27" x14ac:dyDescent="0.25">
      <c r="A176" t="s">
        <v>634</v>
      </c>
      <c r="B176">
        <v>1911</v>
      </c>
      <c r="C176" t="s">
        <v>635</v>
      </c>
      <c r="I176" t="s">
        <v>31</v>
      </c>
      <c r="J176" t="s">
        <v>636</v>
      </c>
      <c r="O176" t="s">
        <v>28</v>
      </c>
      <c r="V176" t="s">
        <v>23</v>
      </c>
      <c r="W176" t="s">
        <v>23</v>
      </c>
      <c r="X176" t="s">
        <v>23</v>
      </c>
      <c r="Y176" t="s">
        <v>23</v>
      </c>
      <c r="AA176">
        <f t="shared" si="15"/>
        <v>30</v>
      </c>
    </row>
    <row r="177" spans="1:27" x14ac:dyDescent="0.25">
      <c r="A177" t="s">
        <v>637</v>
      </c>
      <c r="B177">
        <v>1911</v>
      </c>
      <c r="C177" t="s">
        <v>638</v>
      </c>
      <c r="I177" t="s">
        <v>639</v>
      </c>
      <c r="J177" t="s">
        <v>640</v>
      </c>
      <c r="O177" t="s">
        <v>28</v>
      </c>
      <c r="U177" t="s">
        <v>28</v>
      </c>
      <c r="AA177">
        <f t="shared" si="15"/>
        <v>77</v>
      </c>
    </row>
    <row r="178" spans="1:27" x14ac:dyDescent="0.25">
      <c r="A178" t="s">
        <v>641</v>
      </c>
      <c r="B178">
        <v>1911</v>
      </c>
      <c r="C178" t="s">
        <v>642</v>
      </c>
      <c r="I178" t="s">
        <v>31</v>
      </c>
      <c r="J178" t="s">
        <v>643</v>
      </c>
      <c r="O178" t="s">
        <v>28</v>
      </c>
      <c r="AA178">
        <f t="shared" si="15"/>
        <v>37</v>
      </c>
    </row>
    <row r="179" spans="1:27" x14ac:dyDescent="0.25">
      <c r="A179" t="s">
        <v>644</v>
      </c>
      <c r="B179">
        <v>1911</v>
      </c>
      <c r="C179" t="s">
        <v>645</v>
      </c>
      <c r="I179" t="s">
        <v>411</v>
      </c>
      <c r="J179" t="s">
        <v>646</v>
      </c>
      <c r="O179" t="s">
        <v>28</v>
      </c>
      <c r="AA179">
        <f t="shared" si="15"/>
        <v>47</v>
      </c>
    </row>
    <row r="180" spans="1:27" x14ac:dyDescent="0.25">
      <c r="A180" t="s">
        <v>647</v>
      </c>
      <c r="B180">
        <v>1911</v>
      </c>
      <c r="C180" t="s">
        <v>648</v>
      </c>
      <c r="D180" t="s">
        <v>19</v>
      </c>
      <c r="E180" t="s">
        <v>19</v>
      </c>
      <c r="F180" t="s">
        <v>19</v>
      </c>
      <c r="G180" t="s">
        <v>19</v>
      </c>
      <c r="H180" t="s">
        <v>19</v>
      </c>
      <c r="I180" t="s">
        <v>31</v>
      </c>
      <c r="J180" t="s">
        <v>649</v>
      </c>
      <c r="K180" t="s">
        <v>19</v>
      </c>
      <c r="L180" t="s">
        <v>19</v>
      </c>
      <c r="M180" t="s">
        <v>19</v>
      </c>
      <c r="N180" t="s">
        <v>19</v>
      </c>
      <c r="O180" t="s">
        <v>28</v>
      </c>
      <c r="U180" t="s">
        <v>28</v>
      </c>
      <c r="Z180">
        <v>0</v>
      </c>
      <c r="AA180">
        <f t="shared" si="10"/>
        <v>26</v>
      </c>
    </row>
    <row r="181" spans="1:27" x14ac:dyDescent="0.25">
      <c r="A181" t="s">
        <v>650</v>
      </c>
      <c r="B181">
        <v>1911</v>
      </c>
      <c r="C181" t="s">
        <v>651</v>
      </c>
      <c r="I181" t="s">
        <v>652</v>
      </c>
      <c r="J181" t="s">
        <v>653</v>
      </c>
      <c r="O181" t="s">
        <v>28</v>
      </c>
      <c r="U181" t="s">
        <v>28</v>
      </c>
      <c r="AA181">
        <f t="shared" ref="AA181:AA203" si="16">LEN(C181)+LEN(D181)+LEN(E181)+LEN(F181)+LEN(G181)+LEN(H181)+LEN(I181)+LEN(K181)+LEN(L181)+LEN(M181)+LEN(N181)</f>
        <v>14</v>
      </c>
    </row>
    <row r="182" spans="1:27" x14ac:dyDescent="0.25">
      <c r="A182" t="s">
        <v>654</v>
      </c>
      <c r="B182">
        <v>1911</v>
      </c>
      <c r="C182" t="s">
        <v>655</v>
      </c>
      <c r="I182" t="s">
        <v>136</v>
      </c>
      <c r="J182" t="s">
        <v>656</v>
      </c>
      <c r="AA182">
        <f t="shared" si="16"/>
        <v>67</v>
      </c>
    </row>
    <row r="183" spans="1:27" x14ac:dyDescent="0.25">
      <c r="A183" t="s">
        <v>657</v>
      </c>
      <c r="B183">
        <v>1911</v>
      </c>
      <c r="C183" t="s">
        <v>658</v>
      </c>
      <c r="I183" t="s">
        <v>189</v>
      </c>
      <c r="J183" t="s">
        <v>659</v>
      </c>
      <c r="AA183">
        <f t="shared" si="16"/>
        <v>42</v>
      </c>
    </row>
    <row r="184" spans="1:27" x14ac:dyDescent="0.25">
      <c r="A184" t="s">
        <v>660</v>
      </c>
      <c r="B184">
        <v>1911</v>
      </c>
      <c r="C184" t="s">
        <v>661</v>
      </c>
      <c r="I184" t="s">
        <v>43</v>
      </c>
      <c r="J184" t="s">
        <v>662</v>
      </c>
      <c r="AA184">
        <f t="shared" si="16"/>
        <v>29</v>
      </c>
    </row>
    <row r="185" spans="1:27" x14ac:dyDescent="0.25">
      <c r="A185" t="s">
        <v>663</v>
      </c>
      <c r="B185">
        <v>1911</v>
      </c>
      <c r="C185" t="s">
        <v>664</v>
      </c>
      <c r="I185" t="s">
        <v>395</v>
      </c>
      <c r="J185" t="s">
        <v>665</v>
      </c>
      <c r="O185" t="s">
        <v>28</v>
      </c>
      <c r="AA185">
        <f t="shared" si="16"/>
        <v>39</v>
      </c>
    </row>
    <row r="186" spans="1:27" x14ac:dyDescent="0.25">
      <c r="A186" t="s">
        <v>666</v>
      </c>
      <c r="B186">
        <v>1911</v>
      </c>
      <c r="C186" t="s">
        <v>394</v>
      </c>
      <c r="I186" t="s">
        <v>376</v>
      </c>
      <c r="J186" t="s">
        <v>667</v>
      </c>
      <c r="AA186">
        <f t="shared" si="16"/>
        <v>36</v>
      </c>
    </row>
    <row r="187" spans="1:27" x14ac:dyDescent="0.25">
      <c r="A187" t="s">
        <v>668</v>
      </c>
      <c r="B187">
        <v>1911</v>
      </c>
      <c r="C187" t="s">
        <v>669</v>
      </c>
      <c r="E187" t="s">
        <v>670</v>
      </c>
      <c r="I187" t="s">
        <v>671</v>
      </c>
      <c r="J187" t="s">
        <v>672</v>
      </c>
      <c r="O187" t="s">
        <v>28</v>
      </c>
      <c r="AA187">
        <f t="shared" si="16"/>
        <v>60</v>
      </c>
    </row>
    <row r="188" spans="1:27" s="4" customFormat="1" x14ac:dyDescent="0.25">
      <c r="A188" s="4" t="s">
        <v>673</v>
      </c>
      <c r="B188" s="4">
        <v>1911</v>
      </c>
      <c r="C188" s="4" t="s">
        <v>674</v>
      </c>
      <c r="I188" s="4" t="s">
        <v>31</v>
      </c>
      <c r="J188" s="4" t="s">
        <v>675</v>
      </c>
      <c r="AA188">
        <f t="shared" si="16"/>
        <v>43</v>
      </c>
    </row>
    <row r="189" spans="1:27" x14ac:dyDescent="0.25">
      <c r="A189" t="s">
        <v>676</v>
      </c>
      <c r="B189">
        <v>1911</v>
      </c>
      <c r="C189" t="s">
        <v>677</v>
      </c>
      <c r="I189" t="s">
        <v>369</v>
      </c>
      <c r="J189" t="s">
        <v>678</v>
      </c>
      <c r="O189" t="s">
        <v>28</v>
      </c>
      <c r="AA189">
        <f t="shared" si="16"/>
        <v>56</v>
      </c>
    </row>
    <row r="190" spans="1:27" x14ac:dyDescent="0.25">
      <c r="A190" t="s">
        <v>679</v>
      </c>
      <c r="B190">
        <v>1912</v>
      </c>
      <c r="C190" t="s">
        <v>680</v>
      </c>
      <c r="I190" t="s">
        <v>47</v>
      </c>
      <c r="J190" t="s">
        <v>681</v>
      </c>
      <c r="AA190">
        <f t="shared" si="16"/>
        <v>27</v>
      </c>
    </row>
    <row r="191" spans="1:27" x14ac:dyDescent="0.25">
      <c r="A191" t="s">
        <v>682</v>
      </c>
      <c r="B191">
        <v>1912</v>
      </c>
      <c r="C191" t="s">
        <v>683</v>
      </c>
      <c r="D191">
        <v>754257.9</v>
      </c>
      <c r="I191" t="s">
        <v>684</v>
      </c>
      <c r="J191" t="s">
        <v>685</v>
      </c>
      <c r="AA191">
        <f t="shared" si="16"/>
        <v>63</v>
      </c>
    </row>
    <row r="192" spans="1:27" x14ac:dyDescent="0.25">
      <c r="A192" t="s">
        <v>686</v>
      </c>
      <c r="B192">
        <v>1912</v>
      </c>
      <c r="C192" t="s">
        <v>687</v>
      </c>
      <c r="I192" t="s">
        <v>684</v>
      </c>
      <c r="J192" t="s">
        <v>688</v>
      </c>
      <c r="O192" t="s">
        <v>28</v>
      </c>
      <c r="AA192">
        <f t="shared" si="16"/>
        <v>18</v>
      </c>
    </row>
    <row r="193" spans="1:27" x14ac:dyDescent="0.25">
      <c r="A193" t="s">
        <v>689</v>
      </c>
      <c r="B193">
        <v>1912</v>
      </c>
      <c r="C193" t="s">
        <v>690</v>
      </c>
      <c r="I193" t="s">
        <v>691</v>
      </c>
      <c r="J193" t="s">
        <v>692</v>
      </c>
      <c r="AA193">
        <f t="shared" si="16"/>
        <v>26</v>
      </c>
    </row>
    <row r="194" spans="1:27" x14ac:dyDescent="0.25">
      <c r="A194" t="s">
        <v>693</v>
      </c>
      <c r="B194">
        <v>1912</v>
      </c>
      <c r="C194" t="s">
        <v>694</v>
      </c>
      <c r="I194" t="s">
        <v>695</v>
      </c>
      <c r="J194" t="s">
        <v>696</v>
      </c>
      <c r="AA194">
        <f t="shared" si="16"/>
        <v>43</v>
      </c>
    </row>
    <row r="195" spans="1:27" x14ac:dyDescent="0.25">
      <c r="A195" t="s">
        <v>697</v>
      </c>
      <c r="B195">
        <v>1912</v>
      </c>
      <c r="C195" t="s">
        <v>698</v>
      </c>
      <c r="I195" t="s">
        <v>136</v>
      </c>
      <c r="J195" t="s">
        <v>699</v>
      </c>
      <c r="O195" t="s">
        <v>28</v>
      </c>
      <c r="AA195">
        <f t="shared" si="16"/>
        <v>49</v>
      </c>
    </row>
    <row r="196" spans="1:27" x14ac:dyDescent="0.25">
      <c r="A196" t="s">
        <v>700</v>
      </c>
      <c r="B196">
        <v>1912</v>
      </c>
      <c r="C196" t="s">
        <v>701</v>
      </c>
      <c r="I196" t="s">
        <v>175</v>
      </c>
      <c r="J196" s="2">
        <v>82812</v>
      </c>
      <c r="O196" t="s">
        <v>28</v>
      </c>
      <c r="AA196">
        <f t="shared" si="16"/>
        <v>61</v>
      </c>
    </row>
    <row r="197" spans="1:27" x14ac:dyDescent="0.25">
      <c r="A197" t="s">
        <v>702</v>
      </c>
      <c r="B197">
        <v>1912</v>
      </c>
      <c r="C197" t="s">
        <v>703</v>
      </c>
      <c r="I197" t="s">
        <v>704</v>
      </c>
      <c r="J197" t="s">
        <v>705</v>
      </c>
      <c r="O197" t="s">
        <v>28</v>
      </c>
      <c r="AA197">
        <f t="shared" si="16"/>
        <v>39</v>
      </c>
    </row>
    <row r="198" spans="1:27" x14ac:dyDescent="0.25">
      <c r="A198" t="s">
        <v>706</v>
      </c>
      <c r="B198">
        <v>1912</v>
      </c>
      <c r="C198" t="s">
        <v>707</v>
      </c>
      <c r="I198" t="s">
        <v>175</v>
      </c>
      <c r="J198" t="s">
        <v>708</v>
      </c>
      <c r="AA198">
        <f t="shared" si="16"/>
        <v>44</v>
      </c>
    </row>
    <row r="199" spans="1:27" x14ac:dyDescent="0.25">
      <c r="A199" t="s">
        <v>709</v>
      </c>
      <c r="B199">
        <v>1912</v>
      </c>
      <c r="C199" t="s">
        <v>710</v>
      </c>
      <c r="E199" t="s">
        <v>711</v>
      </c>
      <c r="I199" t="s">
        <v>136</v>
      </c>
      <c r="J199" t="s">
        <v>712</v>
      </c>
      <c r="O199" t="s">
        <v>28</v>
      </c>
      <c r="V199" t="s">
        <v>28</v>
      </c>
      <c r="W199" t="s">
        <v>28</v>
      </c>
      <c r="X199" t="s">
        <v>28</v>
      </c>
      <c r="Y199" t="s">
        <v>28</v>
      </c>
      <c r="AA199">
        <f t="shared" si="16"/>
        <v>58</v>
      </c>
    </row>
    <row r="200" spans="1:27" x14ac:dyDescent="0.25">
      <c r="A200" t="s">
        <v>713</v>
      </c>
      <c r="B200">
        <v>1912</v>
      </c>
      <c r="C200" t="s">
        <v>714</v>
      </c>
      <c r="I200" t="s">
        <v>144</v>
      </c>
      <c r="J200" t="s">
        <v>715</v>
      </c>
      <c r="U200" t="s">
        <v>28</v>
      </c>
      <c r="V200" t="s">
        <v>28</v>
      </c>
      <c r="W200" t="s">
        <v>28</v>
      </c>
      <c r="X200" t="s">
        <v>28</v>
      </c>
      <c r="Y200" t="s">
        <v>28</v>
      </c>
      <c r="AA200">
        <f t="shared" si="16"/>
        <v>27</v>
      </c>
    </row>
    <row r="201" spans="1:27" x14ac:dyDescent="0.25">
      <c r="A201" t="s">
        <v>716</v>
      </c>
      <c r="B201">
        <v>1912</v>
      </c>
      <c r="C201" t="s">
        <v>717</v>
      </c>
      <c r="J201" t="s">
        <v>718</v>
      </c>
      <c r="AA201">
        <f t="shared" si="16"/>
        <v>17</v>
      </c>
    </row>
    <row r="202" spans="1:27" x14ac:dyDescent="0.25">
      <c r="A202" t="s">
        <v>719</v>
      </c>
      <c r="B202">
        <v>1912</v>
      </c>
      <c r="C202" t="s">
        <v>720</v>
      </c>
      <c r="I202" t="s">
        <v>456</v>
      </c>
      <c r="J202" t="s">
        <v>721</v>
      </c>
      <c r="O202" t="s">
        <v>28</v>
      </c>
      <c r="AA202">
        <f t="shared" si="16"/>
        <v>14</v>
      </c>
    </row>
    <row r="203" spans="1:27" x14ac:dyDescent="0.25">
      <c r="A203" t="s">
        <v>722</v>
      </c>
      <c r="B203">
        <v>1912</v>
      </c>
      <c r="C203" t="s">
        <v>723</v>
      </c>
      <c r="I203" t="s">
        <v>724</v>
      </c>
      <c r="J203" t="s">
        <v>725</v>
      </c>
      <c r="AA203">
        <f t="shared" si="16"/>
        <v>37</v>
      </c>
    </row>
    <row r="204" spans="1:27" x14ac:dyDescent="0.25">
      <c r="A204" t="s">
        <v>726</v>
      </c>
      <c r="B204">
        <v>1912</v>
      </c>
      <c r="C204" t="s">
        <v>727</v>
      </c>
      <c r="D204">
        <v>101552.3</v>
      </c>
      <c r="E204" t="s">
        <v>19</v>
      </c>
      <c r="F204" t="s">
        <v>19</v>
      </c>
      <c r="G204" t="s">
        <v>19</v>
      </c>
      <c r="H204" t="s">
        <v>19</v>
      </c>
      <c r="I204" t="s">
        <v>136</v>
      </c>
      <c r="J204" t="s">
        <v>728</v>
      </c>
      <c r="K204" t="s">
        <v>19</v>
      </c>
      <c r="L204" t="s">
        <v>19</v>
      </c>
      <c r="M204" t="s">
        <v>19</v>
      </c>
      <c r="N204" t="s">
        <v>19</v>
      </c>
      <c r="O204" t="s">
        <v>68</v>
      </c>
      <c r="U204" t="s">
        <v>28</v>
      </c>
      <c r="Z204">
        <v>1</v>
      </c>
      <c r="AA204">
        <f t="shared" ref="AA204:AA247" si="17">LEN(C204)</f>
        <v>24</v>
      </c>
    </row>
    <row r="205" spans="1:27" x14ac:dyDescent="0.25">
      <c r="A205" t="s">
        <v>729</v>
      </c>
      <c r="B205">
        <v>1912</v>
      </c>
      <c r="C205" t="s">
        <v>730</v>
      </c>
      <c r="I205" t="s">
        <v>731</v>
      </c>
      <c r="J205" t="s">
        <v>732</v>
      </c>
      <c r="O205" t="s">
        <v>28</v>
      </c>
      <c r="U205" t="s">
        <v>28</v>
      </c>
      <c r="AA205">
        <f t="shared" ref="AA205:AA206" si="18">LEN(C205)+LEN(D205)+LEN(E205)+LEN(F205)+LEN(G205)+LEN(H205)+LEN(I205)+LEN(K205)+LEN(L205)+LEN(M205)+LEN(N205)</f>
        <v>30</v>
      </c>
    </row>
    <row r="206" spans="1:27" s="4" customFormat="1" x14ac:dyDescent="0.25">
      <c r="A206" s="4" t="s">
        <v>733</v>
      </c>
      <c r="B206" s="4">
        <v>1912</v>
      </c>
      <c r="C206" s="4" t="s">
        <v>734</v>
      </c>
      <c r="D206" s="4">
        <v>729927</v>
      </c>
      <c r="I206" s="4" t="s">
        <v>175</v>
      </c>
      <c r="J206" s="4" t="s">
        <v>735</v>
      </c>
      <c r="AA206">
        <f t="shared" si="18"/>
        <v>32</v>
      </c>
    </row>
    <row r="207" spans="1:27" x14ac:dyDescent="0.25">
      <c r="A207" t="s">
        <v>736</v>
      </c>
      <c r="B207">
        <v>1912</v>
      </c>
      <c r="C207" t="s">
        <v>737</v>
      </c>
      <c r="D207" t="s">
        <v>19</v>
      </c>
      <c r="E207" t="s">
        <v>19</v>
      </c>
      <c r="F207" t="s">
        <v>19</v>
      </c>
      <c r="G207" t="s">
        <v>19</v>
      </c>
      <c r="H207" t="s">
        <v>19</v>
      </c>
      <c r="I207" t="s">
        <v>175</v>
      </c>
      <c r="J207" t="s">
        <v>738</v>
      </c>
      <c r="K207" t="s">
        <v>19</v>
      </c>
      <c r="L207" t="s">
        <v>19</v>
      </c>
      <c r="M207" t="s">
        <v>19</v>
      </c>
      <c r="N207" t="s">
        <v>19</v>
      </c>
      <c r="O207" t="s">
        <v>68</v>
      </c>
      <c r="Z207">
        <v>1</v>
      </c>
      <c r="AA207">
        <f t="shared" si="17"/>
        <v>29</v>
      </c>
    </row>
    <row r="208" spans="1:27" x14ac:dyDescent="0.25">
      <c r="A208" t="s">
        <v>739</v>
      </c>
      <c r="B208">
        <v>1912</v>
      </c>
      <c r="C208" t="s">
        <v>740</v>
      </c>
      <c r="I208" t="s">
        <v>116</v>
      </c>
      <c r="J208" t="s">
        <v>741</v>
      </c>
      <c r="O208" t="s">
        <v>28</v>
      </c>
      <c r="AA208">
        <f t="shared" ref="AA208:AA223" si="19">LEN(C208)+LEN(D208)+LEN(E208)+LEN(F208)+LEN(G208)+LEN(H208)+LEN(I208)+LEN(K208)+LEN(L208)+LEN(M208)+LEN(N208)</f>
        <v>43</v>
      </c>
    </row>
    <row r="209" spans="1:27" x14ac:dyDescent="0.25">
      <c r="A209" t="s">
        <v>742</v>
      </c>
      <c r="B209">
        <v>1912</v>
      </c>
      <c r="C209" t="s">
        <v>743</v>
      </c>
      <c r="F209">
        <v>1906</v>
      </c>
      <c r="I209" t="s">
        <v>31</v>
      </c>
      <c r="J209" t="s">
        <v>744</v>
      </c>
      <c r="O209" t="s">
        <v>28</v>
      </c>
      <c r="AA209">
        <f t="shared" si="19"/>
        <v>53</v>
      </c>
    </row>
    <row r="210" spans="1:27" x14ac:dyDescent="0.25">
      <c r="A210" t="s">
        <v>745</v>
      </c>
      <c r="B210">
        <v>1912</v>
      </c>
      <c r="C210" t="s">
        <v>746</v>
      </c>
      <c r="I210" t="s">
        <v>26</v>
      </c>
      <c r="J210" t="s">
        <v>747</v>
      </c>
      <c r="AA210">
        <f t="shared" si="19"/>
        <v>42</v>
      </c>
    </row>
    <row r="211" spans="1:27" s="4" customFormat="1" x14ac:dyDescent="0.25">
      <c r="A211" s="4" t="s">
        <v>748</v>
      </c>
      <c r="B211" s="4">
        <v>1912</v>
      </c>
      <c r="C211" s="4" t="s">
        <v>749</v>
      </c>
      <c r="I211" s="4" t="s">
        <v>31</v>
      </c>
      <c r="J211" s="4" t="s">
        <v>750</v>
      </c>
      <c r="K211" s="4" t="s">
        <v>751</v>
      </c>
      <c r="L211" s="4" t="s">
        <v>752</v>
      </c>
      <c r="M211" s="4" t="s">
        <v>753</v>
      </c>
      <c r="N211" s="4" t="s">
        <v>109</v>
      </c>
      <c r="AA211">
        <f t="shared" si="19"/>
        <v>43</v>
      </c>
    </row>
    <row r="212" spans="1:27" x14ac:dyDescent="0.25">
      <c r="A212" t="s">
        <v>754</v>
      </c>
      <c r="B212">
        <v>1912</v>
      </c>
      <c r="C212" t="s">
        <v>755</v>
      </c>
      <c r="I212" t="s">
        <v>43</v>
      </c>
      <c r="J212" t="s">
        <v>756</v>
      </c>
      <c r="AA212">
        <f t="shared" si="19"/>
        <v>25</v>
      </c>
    </row>
    <row r="213" spans="1:27" s="4" customFormat="1" x14ac:dyDescent="0.25">
      <c r="A213" s="4" t="s">
        <v>757</v>
      </c>
      <c r="B213" s="4">
        <v>1912</v>
      </c>
      <c r="C213" s="4" t="s">
        <v>758</v>
      </c>
      <c r="I213" s="4" t="s">
        <v>43</v>
      </c>
      <c r="J213" s="4" t="s">
        <v>759</v>
      </c>
      <c r="AA213">
        <f t="shared" si="19"/>
        <v>35</v>
      </c>
    </row>
    <row r="214" spans="1:27" x14ac:dyDescent="0.25">
      <c r="A214" t="s">
        <v>760</v>
      </c>
      <c r="B214">
        <v>1912</v>
      </c>
      <c r="C214" t="s">
        <v>761</v>
      </c>
      <c r="I214" t="s">
        <v>369</v>
      </c>
      <c r="J214" t="s">
        <v>762</v>
      </c>
      <c r="O214" t="s">
        <v>28</v>
      </c>
      <c r="AA214">
        <f t="shared" si="19"/>
        <v>61</v>
      </c>
    </row>
    <row r="215" spans="1:27" x14ac:dyDescent="0.25">
      <c r="A215" t="s">
        <v>763</v>
      </c>
      <c r="B215">
        <v>1912</v>
      </c>
      <c r="C215" t="s">
        <v>764</v>
      </c>
      <c r="I215" t="s">
        <v>112</v>
      </c>
      <c r="J215" t="s">
        <v>765</v>
      </c>
      <c r="AA215">
        <f t="shared" si="19"/>
        <v>39</v>
      </c>
    </row>
    <row r="216" spans="1:27" x14ac:dyDescent="0.25">
      <c r="A216" t="s">
        <v>766</v>
      </c>
      <c r="B216">
        <v>1912</v>
      </c>
      <c r="C216" t="s">
        <v>767</v>
      </c>
      <c r="I216" t="s">
        <v>31</v>
      </c>
      <c r="J216" t="s">
        <v>768</v>
      </c>
      <c r="AA216">
        <f t="shared" si="19"/>
        <v>44</v>
      </c>
    </row>
    <row r="217" spans="1:27" x14ac:dyDescent="0.25">
      <c r="A217" t="s">
        <v>769</v>
      </c>
      <c r="B217">
        <v>1912</v>
      </c>
      <c r="C217" t="s">
        <v>770</v>
      </c>
      <c r="I217" t="s">
        <v>731</v>
      </c>
      <c r="J217" t="s">
        <v>771</v>
      </c>
      <c r="O217" t="s">
        <v>28</v>
      </c>
      <c r="U217" t="s">
        <v>28</v>
      </c>
      <c r="AA217">
        <f t="shared" si="19"/>
        <v>35</v>
      </c>
    </row>
    <row r="218" spans="1:27" x14ac:dyDescent="0.25">
      <c r="A218" t="s">
        <v>772</v>
      </c>
      <c r="B218">
        <v>1912</v>
      </c>
      <c r="C218" t="s">
        <v>773</v>
      </c>
      <c r="I218" t="s">
        <v>31</v>
      </c>
      <c r="J218" t="s">
        <v>774</v>
      </c>
      <c r="O218" t="s">
        <v>28</v>
      </c>
      <c r="AA218">
        <f t="shared" si="19"/>
        <v>43</v>
      </c>
    </row>
    <row r="219" spans="1:27" s="4" customFormat="1" x14ac:dyDescent="0.25">
      <c r="A219" s="4" t="s">
        <v>775</v>
      </c>
      <c r="B219" s="4">
        <v>1912</v>
      </c>
      <c r="C219" s="4" t="s">
        <v>776</v>
      </c>
      <c r="I219" s="4" t="s">
        <v>376</v>
      </c>
      <c r="J219" s="4" t="s">
        <v>777</v>
      </c>
      <c r="AA219">
        <f t="shared" si="19"/>
        <v>30</v>
      </c>
    </row>
    <row r="220" spans="1:27" x14ac:dyDescent="0.25">
      <c r="A220" t="s">
        <v>778</v>
      </c>
      <c r="B220">
        <v>1912</v>
      </c>
      <c r="C220" t="s">
        <v>779</v>
      </c>
      <c r="I220" t="s">
        <v>780</v>
      </c>
      <c r="J220" t="s">
        <v>781</v>
      </c>
      <c r="AA220">
        <f t="shared" si="19"/>
        <v>47</v>
      </c>
    </row>
    <row r="221" spans="1:27" x14ac:dyDescent="0.25">
      <c r="A221" t="s">
        <v>782</v>
      </c>
      <c r="B221">
        <v>1912</v>
      </c>
      <c r="C221" t="s">
        <v>783</v>
      </c>
      <c r="I221" t="s">
        <v>189</v>
      </c>
      <c r="J221" t="s">
        <v>784</v>
      </c>
      <c r="K221" t="s">
        <v>785</v>
      </c>
      <c r="L221" t="s">
        <v>786</v>
      </c>
      <c r="M221" t="s">
        <v>787</v>
      </c>
      <c r="N221" t="s">
        <v>212</v>
      </c>
      <c r="O221" t="s">
        <v>28</v>
      </c>
      <c r="V221" t="s">
        <v>28</v>
      </c>
      <c r="W221" t="s">
        <v>28</v>
      </c>
      <c r="X221" t="s">
        <v>28</v>
      </c>
      <c r="AA221">
        <f t="shared" si="19"/>
        <v>68</v>
      </c>
    </row>
    <row r="222" spans="1:27" x14ac:dyDescent="0.25">
      <c r="A222" t="s">
        <v>782</v>
      </c>
      <c r="B222">
        <v>1912</v>
      </c>
      <c r="C222" t="s">
        <v>783</v>
      </c>
      <c r="I222" t="s">
        <v>189</v>
      </c>
      <c r="J222" t="s">
        <v>784</v>
      </c>
      <c r="K222" t="s">
        <v>788</v>
      </c>
      <c r="L222" t="s">
        <v>524</v>
      </c>
      <c r="N222" t="s">
        <v>109</v>
      </c>
      <c r="O222" t="s">
        <v>28</v>
      </c>
      <c r="V222" t="s">
        <v>28</v>
      </c>
      <c r="X222" t="s">
        <v>28</v>
      </c>
      <c r="AA222">
        <f t="shared" si="19"/>
        <v>56</v>
      </c>
    </row>
    <row r="223" spans="1:27" x14ac:dyDescent="0.25">
      <c r="A223" t="s">
        <v>782</v>
      </c>
      <c r="B223">
        <v>1912</v>
      </c>
      <c r="C223" t="s">
        <v>783</v>
      </c>
      <c r="I223" t="s">
        <v>189</v>
      </c>
      <c r="J223" t="s">
        <v>784</v>
      </c>
      <c r="K223" t="s">
        <v>789</v>
      </c>
      <c r="L223" t="s">
        <v>790</v>
      </c>
      <c r="N223" t="s">
        <v>109</v>
      </c>
      <c r="O223" t="s">
        <v>28</v>
      </c>
      <c r="X223" t="s">
        <v>28</v>
      </c>
      <c r="AA223">
        <f t="shared" si="19"/>
        <v>59</v>
      </c>
    </row>
    <row r="224" spans="1:27" x14ac:dyDescent="0.25">
      <c r="A224" t="s">
        <v>791</v>
      </c>
      <c r="B224">
        <v>1913</v>
      </c>
      <c r="C224" t="s">
        <v>792</v>
      </c>
      <c r="D224" t="s">
        <v>19</v>
      </c>
      <c r="E224" t="s">
        <v>19</v>
      </c>
      <c r="F224" t="s">
        <v>19</v>
      </c>
      <c r="G224" t="s">
        <v>19</v>
      </c>
      <c r="H224" t="s">
        <v>19</v>
      </c>
      <c r="I224" t="s">
        <v>189</v>
      </c>
      <c r="J224" t="s">
        <v>793</v>
      </c>
      <c r="K224" t="s">
        <v>794</v>
      </c>
      <c r="L224" t="s">
        <v>795</v>
      </c>
      <c r="M224" t="s">
        <v>19</v>
      </c>
      <c r="N224" t="s">
        <v>109</v>
      </c>
      <c r="O224" t="s">
        <v>68</v>
      </c>
      <c r="V224" t="s">
        <v>28</v>
      </c>
      <c r="W224" t="s">
        <v>28</v>
      </c>
      <c r="X224" t="s">
        <v>28</v>
      </c>
      <c r="Z224">
        <v>3</v>
      </c>
      <c r="AA224">
        <f t="shared" si="17"/>
        <v>31</v>
      </c>
    </row>
    <row r="225" spans="1:27" x14ac:dyDescent="0.25">
      <c r="A225" t="s">
        <v>796</v>
      </c>
      <c r="B225">
        <v>1913</v>
      </c>
      <c r="C225" t="s">
        <v>797</v>
      </c>
      <c r="D225" t="s">
        <v>19</v>
      </c>
      <c r="E225" t="s">
        <v>19</v>
      </c>
      <c r="F225" t="s">
        <v>19</v>
      </c>
      <c r="G225" t="s">
        <v>19</v>
      </c>
      <c r="H225" t="s">
        <v>19</v>
      </c>
      <c r="I225" t="s">
        <v>175</v>
      </c>
      <c r="J225" t="s">
        <v>798</v>
      </c>
      <c r="K225" t="s">
        <v>19</v>
      </c>
      <c r="L225" t="s">
        <v>19</v>
      </c>
      <c r="M225" t="s">
        <v>19</v>
      </c>
      <c r="N225" t="s">
        <v>19</v>
      </c>
      <c r="O225" t="s">
        <v>68</v>
      </c>
      <c r="Z225">
        <v>1</v>
      </c>
      <c r="AA225">
        <f t="shared" si="17"/>
        <v>24</v>
      </c>
    </row>
    <row r="226" spans="1:27" x14ac:dyDescent="0.25">
      <c r="A226" t="s">
        <v>799</v>
      </c>
      <c r="B226">
        <v>1913</v>
      </c>
      <c r="C226" t="s">
        <v>800</v>
      </c>
      <c r="D226" t="s">
        <v>19</v>
      </c>
      <c r="E226" t="s">
        <v>19</v>
      </c>
      <c r="F226" t="s">
        <v>19</v>
      </c>
      <c r="G226" t="s">
        <v>19</v>
      </c>
      <c r="H226" t="s">
        <v>19</v>
      </c>
      <c r="I226" t="s">
        <v>175</v>
      </c>
      <c r="J226" s="4" t="s">
        <v>801</v>
      </c>
      <c r="K226" t="s">
        <v>19</v>
      </c>
      <c r="L226" t="s">
        <v>19</v>
      </c>
      <c r="M226" t="s">
        <v>19</v>
      </c>
      <c r="N226" t="s">
        <v>19</v>
      </c>
      <c r="O226" t="s">
        <v>68</v>
      </c>
      <c r="Z226">
        <v>2</v>
      </c>
      <c r="AA226">
        <f t="shared" si="17"/>
        <v>28</v>
      </c>
    </row>
    <row r="227" spans="1:27" x14ac:dyDescent="0.25">
      <c r="A227" t="s">
        <v>802</v>
      </c>
      <c r="B227">
        <v>1913</v>
      </c>
      <c r="C227" t="s">
        <v>803</v>
      </c>
      <c r="D227" t="s">
        <v>19</v>
      </c>
      <c r="E227" t="s">
        <v>19</v>
      </c>
      <c r="F227" t="s">
        <v>19</v>
      </c>
      <c r="G227" t="s">
        <v>19</v>
      </c>
      <c r="H227" t="s">
        <v>19</v>
      </c>
      <c r="I227" t="s">
        <v>804</v>
      </c>
      <c r="J227" t="s">
        <v>805</v>
      </c>
      <c r="K227" t="s">
        <v>19</v>
      </c>
      <c r="L227" t="s">
        <v>19</v>
      </c>
      <c r="M227" t="s">
        <v>19</v>
      </c>
      <c r="N227" t="s">
        <v>19</v>
      </c>
      <c r="O227" t="s">
        <v>68</v>
      </c>
      <c r="U227" t="s">
        <v>68</v>
      </c>
      <c r="Z227">
        <v>2</v>
      </c>
      <c r="AA227">
        <f t="shared" si="17"/>
        <v>27</v>
      </c>
    </row>
    <row r="228" spans="1:27" x14ac:dyDescent="0.25">
      <c r="A228" t="s">
        <v>806</v>
      </c>
      <c r="B228">
        <v>1913</v>
      </c>
      <c r="C228" t="s">
        <v>807</v>
      </c>
      <c r="I228" t="s">
        <v>175</v>
      </c>
      <c r="J228" t="s">
        <v>808</v>
      </c>
      <c r="O228" t="s">
        <v>28</v>
      </c>
      <c r="AA228">
        <f t="shared" ref="AA228:AA232" si="20">LEN(C228)+LEN(D228)+LEN(E228)+LEN(F228)+LEN(G228)+LEN(H228)+LEN(I228)+LEN(K228)+LEN(L228)+LEN(M228)+LEN(N228)</f>
        <v>35</v>
      </c>
    </row>
    <row r="229" spans="1:27" x14ac:dyDescent="0.25">
      <c r="A229" t="s">
        <v>809</v>
      </c>
      <c r="B229">
        <v>1913</v>
      </c>
      <c r="C229" t="s">
        <v>810</v>
      </c>
      <c r="J229" t="s">
        <v>811</v>
      </c>
      <c r="U229" t="s">
        <v>28</v>
      </c>
      <c r="AA229">
        <f t="shared" si="20"/>
        <v>23</v>
      </c>
    </row>
    <row r="230" spans="1:27" x14ac:dyDescent="0.25">
      <c r="A230" t="s">
        <v>812</v>
      </c>
      <c r="B230">
        <v>1913</v>
      </c>
      <c r="C230" t="s">
        <v>813</v>
      </c>
      <c r="I230" t="s">
        <v>136</v>
      </c>
      <c r="J230" t="s">
        <v>814</v>
      </c>
      <c r="O230" t="s">
        <v>28</v>
      </c>
      <c r="AA230">
        <f t="shared" si="20"/>
        <v>51</v>
      </c>
    </row>
    <row r="231" spans="1:27" x14ac:dyDescent="0.25">
      <c r="A231" t="s">
        <v>815</v>
      </c>
      <c r="B231">
        <v>1913</v>
      </c>
      <c r="C231" t="s">
        <v>816</v>
      </c>
      <c r="I231" t="s">
        <v>817</v>
      </c>
      <c r="J231" t="s">
        <v>818</v>
      </c>
      <c r="O231" t="s">
        <v>28</v>
      </c>
      <c r="AA231">
        <f t="shared" si="20"/>
        <v>38</v>
      </c>
    </row>
    <row r="232" spans="1:27" x14ac:dyDescent="0.25">
      <c r="A232" t="s">
        <v>819</v>
      </c>
      <c r="B232">
        <v>1913</v>
      </c>
      <c r="C232" t="s">
        <v>820</v>
      </c>
      <c r="I232" t="s">
        <v>31</v>
      </c>
      <c r="J232" t="s">
        <v>821</v>
      </c>
      <c r="AA232">
        <f t="shared" si="20"/>
        <v>39</v>
      </c>
    </row>
    <row r="233" spans="1:27" x14ac:dyDescent="0.25">
      <c r="A233" t="s">
        <v>822</v>
      </c>
      <c r="B233">
        <v>1913</v>
      </c>
      <c r="C233" t="s">
        <v>823</v>
      </c>
      <c r="D233">
        <v>3115871</v>
      </c>
      <c r="E233" t="s">
        <v>19</v>
      </c>
      <c r="F233" t="s">
        <v>19</v>
      </c>
      <c r="G233" t="s">
        <v>19</v>
      </c>
      <c r="H233" t="s">
        <v>19</v>
      </c>
      <c r="I233" t="s">
        <v>175</v>
      </c>
      <c r="J233" t="s">
        <v>824</v>
      </c>
      <c r="K233" t="s">
        <v>19</v>
      </c>
      <c r="L233" t="s">
        <v>19</v>
      </c>
      <c r="M233" t="s">
        <v>19</v>
      </c>
      <c r="N233" t="s">
        <v>19</v>
      </c>
      <c r="O233" t="s">
        <v>68</v>
      </c>
      <c r="Z233">
        <v>6</v>
      </c>
      <c r="AA233">
        <f t="shared" si="17"/>
        <v>38</v>
      </c>
    </row>
    <row r="234" spans="1:27" x14ac:dyDescent="0.25">
      <c r="A234" t="s">
        <v>825</v>
      </c>
      <c r="B234">
        <v>1913</v>
      </c>
      <c r="C234" t="s">
        <v>826</v>
      </c>
      <c r="D234">
        <v>4186952</v>
      </c>
      <c r="I234" t="s">
        <v>87</v>
      </c>
      <c r="J234" t="s">
        <v>827</v>
      </c>
      <c r="O234" t="s">
        <v>28</v>
      </c>
      <c r="AA234">
        <f t="shared" ref="AA234:AA237" si="21">LEN(C234)+LEN(D234)+LEN(E234)+LEN(F234)+LEN(G234)+LEN(H234)+LEN(I234)+LEN(K234)+LEN(L234)+LEN(M234)+LEN(N234)</f>
        <v>48</v>
      </c>
    </row>
    <row r="235" spans="1:27" x14ac:dyDescent="0.25">
      <c r="A235" t="s">
        <v>828</v>
      </c>
      <c r="B235">
        <v>1913</v>
      </c>
      <c r="C235" t="s">
        <v>829</v>
      </c>
      <c r="I235" t="s">
        <v>31</v>
      </c>
      <c r="J235" t="s">
        <v>830</v>
      </c>
      <c r="O235" t="s">
        <v>28</v>
      </c>
      <c r="AA235">
        <f t="shared" si="21"/>
        <v>30</v>
      </c>
    </row>
    <row r="236" spans="1:27" x14ac:dyDescent="0.25">
      <c r="A236" t="s">
        <v>831</v>
      </c>
      <c r="B236">
        <v>1913</v>
      </c>
      <c r="C236" t="s">
        <v>832</v>
      </c>
      <c r="I236" t="s">
        <v>116</v>
      </c>
      <c r="J236" t="s">
        <v>833</v>
      </c>
      <c r="AA236">
        <f t="shared" si="21"/>
        <v>44</v>
      </c>
    </row>
    <row r="237" spans="1:27" x14ac:dyDescent="0.25">
      <c r="A237" t="s">
        <v>834</v>
      </c>
      <c r="B237">
        <v>1913</v>
      </c>
      <c r="C237" t="s">
        <v>835</v>
      </c>
      <c r="I237" t="s">
        <v>505</v>
      </c>
      <c r="J237" t="s">
        <v>836</v>
      </c>
      <c r="O237" t="s">
        <v>28</v>
      </c>
      <c r="U237" t="s">
        <v>28</v>
      </c>
      <c r="AA237">
        <f t="shared" si="21"/>
        <v>35</v>
      </c>
    </row>
    <row r="238" spans="1:27" x14ac:dyDescent="0.25">
      <c r="A238" t="s">
        <v>837</v>
      </c>
      <c r="B238">
        <v>1913</v>
      </c>
      <c r="C238" t="s">
        <v>838</v>
      </c>
      <c r="D238" t="s">
        <v>19</v>
      </c>
      <c r="E238" t="s">
        <v>19</v>
      </c>
      <c r="F238" t="s">
        <v>19</v>
      </c>
      <c r="G238" t="s">
        <v>19</v>
      </c>
      <c r="H238" t="s">
        <v>19</v>
      </c>
      <c r="I238" t="s">
        <v>31</v>
      </c>
      <c r="J238" s="4" t="s">
        <v>839</v>
      </c>
      <c r="K238" t="s">
        <v>19</v>
      </c>
      <c r="L238" t="s">
        <v>19</v>
      </c>
      <c r="M238" t="s">
        <v>19</v>
      </c>
      <c r="N238" t="s">
        <v>19</v>
      </c>
      <c r="O238" t="s">
        <v>68</v>
      </c>
      <c r="Z238">
        <v>1</v>
      </c>
      <c r="AA238">
        <f t="shared" si="17"/>
        <v>32</v>
      </c>
    </row>
    <row r="239" spans="1:27" x14ac:dyDescent="0.25">
      <c r="A239" t="s">
        <v>840</v>
      </c>
      <c r="B239">
        <v>1913</v>
      </c>
      <c r="C239" t="s">
        <v>841</v>
      </c>
      <c r="I239" t="s">
        <v>162</v>
      </c>
      <c r="J239" t="s">
        <v>842</v>
      </c>
      <c r="O239" t="s">
        <v>28</v>
      </c>
      <c r="U239" t="s">
        <v>28</v>
      </c>
      <c r="AA239">
        <f t="shared" ref="AA239:AA246" si="22">LEN(C239)+LEN(D239)+LEN(E239)+LEN(F239)+LEN(G239)+LEN(H239)+LEN(I239)+LEN(K239)+LEN(L239)+LEN(M239)+LEN(N239)</f>
        <v>56</v>
      </c>
    </row>
    <row r="240" spans="1:27" x14ac:dyDescent="0.25">
      <c r="A240" t="s">
        <v>843</v>
      </c>
      <c r="B240">
        <v>1913</v>
      </c>
      <c r="C240" t="s">
        <v>844</v>
      </c>
      <c r="I240" t="s">
        <v>845</v>
      </c>
      <c r="J240" t="s">
        <v>846</v>
      </c>
      <c r="O240" t="s">
        <v>28</v>
      </c>
      <c r="U240" t="s">
        <v>28</v>
      </c>
      <c r="AA240">
        <f t="shared" si="22"/>
        <v>29</v>
      </c>
    </row>
    <row r="241" spans="1:27" x14ac:dyDescent="0.25">
      <c r="A241" t="s">
        <v>847</v>
      </c>
      <c r="B241">
        <v>1913</v>
      </c>
      <c r="C241" t="s">
        <v>848</v>
      </c>
      <c r="I241" t="s">
        <v>26</v>
      </c>
      <c r="J241" t="s">
        <v>849</v>
      </c>
      <c r="O241" t="s">
        <v>28</v>
      </c>
      <c r="AA241">
        <f t="shared" si="22"/>
        <v>26</v>
      </c>
    </row>
    <row r="242" spans="1:27" x14ac:dyDescent="0.25">
      <c r="A242" t="s">
        <v>850</v>
      </c>
      <c r="B242">
        <v>1913</v>
      </c>
      <c r="C242" t="s">
        <v>851</v>
      </c>
      <c r="I242" t="s">
        <v>31</v>
      </c>
      <c r="J242" t="s">
        <v>852</v>
      </c>
      <c r="O242" t="s">
        <v>28</v>
      </c>
      <c r="V242" t="s">
        <v>28</v>
      </c>
      <c r="W242" t="s">
        <v>28</v>
      </c>
      <c r="X242" t="s">
        <v>28</v>
      </c>
      <c r="Y242" t="s">
        <v>28</v>
      </c>
      <c r="AA242">
        <f t="shared" si="22"/>
        <v>45</v>
      </c>
    </row>
    <row r="243" spans="1:27" x14ac:dyDescent="0.25">
      <c r="A243" t="s">
        <v>853</v>
      </c>
      <c r="B243">
        <v>1913</v>
      </c>
      <c r="C243" t="s">
        <v>854</v>
      </c>
      <c r="I243" t="s">
        <v>855</v>
      </c>
      <c r="J243" t="s">
        <v>856</v>
      </c>
      <c r="O243" t="s">
        <v>28</v>
      </c>
      <c r="U243" t="s">
        <v>28</v>
      </c>
      <c r="AA243">
        <f t="shared" si="22"/>
        <v>28</v>
      </c>
    </row>
    <row r="244" spans="1:27" x14ac:dyDescent="0.25">
      <c r="A244" t="s">
        <v>857</v>
      </c>
      <c r="B244">
        <v>1913</v>
      </c>
      <c r="C244" t="s">
        <v>858</v>
      </c>
      <c r="I244" t="s">
        <v>652</v>
      </c>
      <c r="J244" t="s">
        <v>859</v>
      </c>
      <c r="O244" t="s">
        <v>28</v>
      </c>
      <c r="AA244">
        <f t="shared" si="22"/>
        <v>28</v>
      </c>
    </row>
    <row r="245" spans="1:27" x14ac:dyDescent="0.25">
      <c r="A245" t="s">
        <v>860</v>
      </c>
      <c r="B245">
        <v>1913</v>
      </c>
      <c r="C245" t="s">
        <v>861</v>
      </c>
      <c r="I245" t="s">
        <v>862</v>
      </c>
      <c r="J245" t="s">
        <v>863</v>
      </c>
      <c r="AA245">
        <f t="shared" si="22"/>
        <v>35</v>
      </c>
    </row>
    <row r="246" spans="1:27" x14ac:dyDescent="0.25">
      <c r="A246" t="s">
        <v>864</v>
      </c>
      <c r="B246">
        <v>1913</v>
      </c>
      <c r="C246" t="s">
        <v>861</v>
      </c>
      <c r="I246" t="s">
        <v>862</v>
      </c>
      <c r="J246" t="s">
        <v>865</v>
      </c>
      <c r="AA246">
        <f t="shared" si="22"/>
        <v>35</v>
      </c>
    </row>
    <row r="247" spans="1:27" s="4" customFormat="1" x14ac:dyDescent="0.25">
      <c r="A247" s="4" t="s">
        <v>866</v>
      </c>
      <c r="B247" s="4">
        <v>1913</v>
      </c>
      <c r="C247" s="4" t="s">
        <v>867</v>
      </c>
      <c r="D247" s="4" t="s">
        <v>19</v>
      </c>
      <c r="E247" s="4" t="s">
        <v>19</v>
      </c>
      <c r="F247" s="4" t="s">
        <v>19</v>
      </c>
      <c r="G247" s="4" t="s">
        <v>19</v>
      </c>
      <c r="H247" s="4" t="s">
        <v>19</v>
      </c>
      <c r="I247" s="4" t="s">
        <v>43</v>
      </c>
      <c r="J247" s="4" t="s">
        <v>868</v>
      </c>
      <c r="K247" s="4" t="s">
        <v>19</v>
      </c>
      <c r="L247" s="4" t="s">
        <v>19</v>
      </c>
      <c r="M247" s="4" t="s">
        <v>19</v>
      </c>
      <c r="N247" s="4" t="s">
        <v>19</v>
      </c>
      <c r="O247" s="4" t="s">
        <v>68</v>
      </c>
      <c r="U247" s="4" t="s">
        <v>869</v>
      </c>
      <c r="Z247" s="4">
        <v>5</v>
      </c>
      <c r="AA247">
        <f t="shared" si="17"/>
        <v>42</v>
      </c>
    </row>
    <row r="248" spans="1:27" x14ac:dyDescent="0.25">
      <c r="A248" t="s">
        <v>870</v>
      </c>
      <c r="B248">
        <v>1913</v>
      </c>
      <c r="C248" t="s">
        <v>871</v>
      </c>
      <c r="I248" t="s">
        <v>872</v>
      </c>
      <c r="J248" t="s">
        <v>873</v>
      </c>
      <c r="O248" t="s">
        <v>28</v>
      </c>
      <c r="U248" t="s">
        <v>28</v>
      </c>
      <c r="AA248">
        <f t="shared" ref="AA248:AA262" si="23">LEN(C248)+LEN(D248)+LEN(E248)+LEN(F248)+LEN(G248)+LEN(H248)+LEN(I248)+LEN(K248)+LEN(L248)+LEN(M248)+LEN(N248)</f>
        <v>32</v>
      </c>
    </row>
    <row r="249" spans="1:27" s="4" customFormat="1" x14ac:dyDescent="0.25">
      <c r="A249" s="4" t="s">
        <v>874</v>
      </c>
      <c r="B249" s="4">
        <v>1913</v>
      </c>
      <c r="C249" s="4" t="s">
        <v>875</v>
      </c>
      <c r="I249" s="4" t="s">
        <v>98</v>
      </c>
      <c r="J249" s="4" t="s">
        <v>876</v>
      </c>
      <c r="K249" s="4" t="s">
        <v>877</v>
      </c>
      <c r="L249" s="4" t="s">
        <v>878</v>
      </c>
      <c r="M249" s="4" t="s">
        <v>879</v>
      </c>
      <c r="N249" s="4" t="s">
        <v>880</v>
      </c>
      <c r="AA249">
        <f t="shared" si="23"/>
        <v>46</v>
      </c>
    </row>
    <row r="250" spans="1:27" s="3" customFormat="1" x14ac:dyDescent="0.25">
      <c r="A250" s="3" t="s">
        <v>881</v>
      </c>
      <c r="B250" s="3">
        <v>1914</v>
      </c>
      <c r="C250" s="3" t="s">
        <v>882</v>
      </c>
      <c r="I250" s="3" t="s">
        <v>31</v>
      </c>
      <c r="J250" s="3" t="s">
        <v>883</v>
      </c>
      <c r="O250" s="3" t="s">
        <v>28</v>
      </c>
      <c r="AA250">
        <f t="shared" si="23"/>
        <v>42</v>
      </c>
    </row>
    <row r="251" spans="1:27" x14ac:dyDescent="0.25">
      <c r="A251" t="s">
        <v>884</v>
      </c>
      <c r="B251">
        <v>1914</v>
      </c>
      <c r="C251" t="s">
        <v>885</v>
      </c>
      <c r="I251" t="s">
        <v>31</v>
      </c>
      <c r="J251" t="s">
        <v>886</v>
      </c>
      <c r="O251" t="s">
        <v>28</v>
      </c>
      <c r="AA251">
        <f t="shared" si="23"/>
        <v>17</v>
      </c>
    </row>
    <row r="252" spans="1:27" x14ac:dyDescent="0.25">
      <c r="A252" t="s">
        <v>887</v>
      </c>
      <c r="B252">
        <v>1914</v>
      </c>
      <c r="C252" t="s">
        <v>888</v>
      </c>
      <c r="J252" t="s">
        <v>889</v>
      </c>
      <c r="O252" t="s">
        <v>28</v>
      </c>
      <c r="AA252">
        <f t="shared" si="23"/>
        <v>36</v>
      </c>
    </row>
    <row r="253" spans="1:27" x14ac:dyDescent="0.25">
      <c r="A253" t="s">
        <v>890</v>
      </c>
      <c r="B253">
        <v>1914</v>
      </c>
      <c r="C253" t="s">
        <v>429</v>
      </c>
      <c r="I253" t="s">
        <v>891</v>
      </c>
      <c r="J253" t="s">
        <v>892</v>
      </c>
      <c r="AA253">
        <f t="shared" si="23"/>
        <v>42</v>
      </c>
    </row>
    <row r="254" spans="1:27" x14ac:dyDescent="0.25">
      <c r="A254" t="s">
        <v>893</v>
      </c>
      <c r="B254">
        <v>1914</v>
      </c>
      <c r="C254" t="s">
        <v>894</v>
      </c>
      <c r="I254" t="s">
        <v>136</v>
      </c>
      <c r="J254" t="s">
        <v>895</v>
      </c>
      <c r="AA254">
        <f t="shared" si="23"/>
        <v>42</v>
      </c>
    </row>
    <row r="255" spans="1:27" x14ac:dyDescent="0.25">
      <c r="A255" t="s">
        <v>896</v>
      </c>
      <c r="B255">
        <v>1914</v>
      </c>
      <c r="C255" t="s">
        <v>897</v>
      </c>
      <c r="I255" t="s">
        <v>31</v>
      </c>
      <c r="J255" t="s">
        <v>898</v>
      </c>
      <c r="AA255">
        <f t="shared" si="23"/>
        <v>29</v>
      </c>
    </row>
    <row r="256" spans="1:27" x14ac:dyDescent="0.25">
      <c r="A256" t="s">
        <v>899</v>
      </c>
      <c r="B256">
        <v>1914</v>
      </c>
      <c r="C256" t="s">
        <v>623</v>
      </c>
      <c r="I256" t="s">
        <v>31</v>
      </c>
      <c r="J256" t="s">
        <v>900</v>
      </c>
      <c r="O256" t="s">
        <v>28</v>
      </c>
      <c r="AA256">
        <f t="shared" si="23"/>
        <v>67</v>
      </c>
    </row>
    <row r="257" spans="1:27" x14ac:dyDescent="0.25">
      <c r="A257" t="s">
        <v>901</v>
      </c>
      <c r="B257">
        <v>1914</v>
      </c>
      <c r="C257" t="s">
        <v>902</v>
      </c>
      <c r="D257">
        <v>2218935</v>
      </c>
      <c r="I257" t="s">
        <v>855</v>
      </c>
      <c r="J257" t="s">
        <v>903</v>
      </c>
      <c r="O257" t="s">
        <v>28</v>
      </c>
      <c r="AA257">
        <f t="shared" si="23"/>
        <v>52</v>
      </c>
    </row>
    <row r="258" spans="1:27" x14ac:dyDescent="0.25">
      <c r="A258" t="s">
        <v>904</v>
      </c>
      <c r="B258">
        <v>1914</v>
      </c>
      <c r="C258" t="s">
        <v>905</v>
      </c>
      <c r="I258" t="s">
        <v>906</v>
      </c>
      <c r="J258" t="s">
        <v>907</v>
      </c>
      <c r="O258" t="s">
        <v>28</v>
      </c>
      <c r="U258" t="s">
        <v>28</v>
      </c>
      <c r="AA258">
        <f t="shared" si="23"/>
        <v>19</v>
      </c>
    </row>
    <row r="259" spans="1:27" x14ac:dyDescent="0.25">
      <c r="A259" t="s">
        <v>908</v>
      </c>
      <c r="B259">
        <v>1914</v>
      </c>
      <c r="C259" t="s">
        <v>909</v>
      </c>
      <c r="I259" t="s">
        <v>910</v>
      </c>
      <c r="J259" t="s">
        <v>911</v>
      </c>
      <c r="O259" t="s">
        <v>28</v>
      </c>
      <c r="U259" t="s">
        <v>28</v>
      </c>
      <c r="AA259">
        <f t="shared" si="23"/>
        <v>43</v>
      </c>
    </row>
    <row r="260" spans="1:27" x14ac:dyDescent="0.25">
      <c r="A260" t="s">
        <v>912</v>
      </c>
      <c r="B260">
        <v>1914</v>
      </c>
      <c r="C260" t="s">
        <v>913</v>
      </c>
      <c r="I260" t="s">
        <v>116</v>
      </c>
      <c r="J260" t="s">
        <v>914</v>
      </c>
      <c r="O260" s="5" t="s">
        <v>28</v>
      </c>
      <c r="AA260">
        <f t="shared" si="23"/>
        <v>47</v>
      </c>
    </row>
    <row r="261" spans="1:27" x14ac:dyDescent="0.25">
      <c r="A261" t="s">
        <v>915</v>
      </c>
      <c r="B261">
        <v>1914</v>
      </c>
      <c r="C261" t="s">
        <v>916</v>
      </c>
      <c r="I261" t="s">
        <v>31</v>
      </c>
      <c r="J261" t="s">
        <v>917</v>
      </c>
      <c r="O261" t="s">
        <v>28</v>
      </c>
      <c r="AA261">
        <f t="shared" si="23"/>
        <v>30</v>
      </c>
    </row>
    <row r="262" spans="1:27" x14ac:dyDescent="0.25">
      <c r="A262" t="s">
        <v>918</v>
      </c>
      <c r="B262">
        <v>1914</v>
      </c>
      <c r="C262" t="s">
        <v>919</v>
      </c>
      <c r="I262" t="s">
        <v>920</v>
      </c>
      <c r="J262" t="s">
        <v>921</v>
      </c>
      <c r="O262" t="s">
        <v>28</v>
      </c>
      <c r="U262" t="s">
        <v>28</v>
      </c>
      <c r="AA262">
        <f t="shared" si="23"/>
        <v>38</v>
      </c>
    </row>
    <row r="263" spans="1:27" x14ac:dyDescent="0.25">
      <c r="A263" t="s">
        <v>922</v>
      </c>
      <c r="B263">
        <v>1914</v>
      </c>
      <c r="C263" t="s">
        <v>923</v>
      </c>
      <c r="D263" t="s">
        <v>19</v>
      </c>
      <c r="E263" t="s">
        <v>924</v>
      </c>
      <c r="F263" t="s">
        <v>19</v>
      </c>
      <c r="G263" t="s">
        <v>19</v>
      </c>
      <c r="H263" t="s">
        <v>19</v>
      </c>
      <c r="I263" t="s">
        <v>925</v>
      </c>
      <c r="J263" t="s">
        <v>926</v>
      </c>
      <c r="K263" t="s">
        <v>927</v>
      </c>
      <c r="L263" t="s">
        <v>68</v>
      </c>
      <c r="M263" t="s">
        <v>928</v>
      </c>
      <c r="N263" t="s">
        <v>929</v>
      </c>
      <c r="O263" t="s">
        <v>68</v>
      </c>
      <c r="Q263" t="s">
        <v>28</v>
      </c>
      <c r="U263" t="s">
        <v>28</v>
      </c>
      <c r="V263" t="s">
        <v>28</v>
      </c>
      <c r="X263" t="s">
        <v>28</v>
      </c>
      <c r="Z263">
        <v>3</v>
      </c>
      <c r="AA263">
        <f t="shared" ref="AA263:AA318" si="24">LEN(C263)</f>
        <v>36</v>
      </c>
    </row>
    <row r="264" spans="1:27" x14ac:dyDescent="0.25">
      <c r="A264" t="s">
        <v>930</v>
      </c>
      <c r="B264">
        <v>1914</v>
      </c>
      <c r="C264" t="s">
        <v>931</v>
      </c>
      <c r="I264" t="s">
        <v>604</v>
      </c>
      <c r="J264" t="s">
        <v>932</v>
      </c>
      <c r="U264" t="s">
        <v>28</v>
      </c>
      <c r="AA264">
        <f t="shared" ref="AA264:AA266" si="25">LEN(C264)+LEN(D264)+LEN(E264)+LEN(F264)+LEN(G264)+LEN(H264)+LEN(I264)+LEN(K264)+LEN(L264)+LEN(M264)+LEN(N264)</f>
        <v>41</v>
      </c>
    </row>
    <row r="265" spans="1:27" x14ac:dyDescent="0.25">
      <c r="A265" t="s">
        <v>933</v>
      </c>
      <c r="B265">
        <v>1914</v>
      </c>
      <c r="C265" t="s">
        <v>934</v>
      </c>
      <c r="F265">
        <v>1912</v>
      </c>
      <c r="J265" t="s">
        <v>935</v>
      </c>
      <c r="U265" t="s">
        <v>28</v>
      </c>
      <c r="AA265">
        <f t="shared" si="25"/>
        <v>17</v>
      </c>
    </row>
    <row r="266" spans="1:27" x14ac:dyDescent="0.25">
      <c r="A266" t="s">
        <v>936</v>
      </c>
      <c r="B266">
        <v>1914</v>
      </c>
      <c r="C266" t="s">
        <v>937</v>
      </c>
      <c r="I266" t="s">
        <v>31</v>
      </c>
      <c r="J266" t="s">
        <v>938</v>
      </c>
      <c r="O266" t="s">
        <v>28</v>
      </c>
      <c r="U266" t="s">
        <v>28</v>
      </c>
      <c r="AA266">
        <f t="shared" si="25"/>
        <v>19</v>
      </c>
    </row>
    <row r="267" spans="1:27" x14ac:dyDescent="0.25">
      <c r="A267" t="s">
        <v>939</v>
      </c>
      <c r="B267">
        <v>1915</v>
      </c>
      <c r="C267" t="s">
        <v>940</v>
      </c>
      <c r="D267" t="s">
        <v>19</v>
      </c>
      <c r="E267" t="s">
        <v>19</v>
      </c>
      <c r="F267" t="s">
        <v>19</v>
      </c>
      <c r="G267" t="s">
        <v>19</v>
      </c>
      <c r="H267" t="s">
        <v>19</v>
      </c>
      <c r="I267" t="s">
        <v>136</v>
      </c>
      <c r="J267" t="s">
        <v>941</v>
      </c>
      <c r="K267" t="s">
        <v>19</v>
      </c>
      <c r="L267" t="s">
        <v>19</v>
      </c>
      <c r="M267" t="s">
        <v>19</v>
      </c>
      <c r="N267" t="s">
        <v>19</v>
      </c>
      <c r="O267" t="s">
        <v>68</v>
      </c>
      <c r="Z267">
        <v>1</v>
      </c>
      <c r="AA267">
        <f t="shared" si="24"/>
        <v>15</v>
      </c>
    </row>
    <row r="268" spans="1:27" x14ac:dyDescent="0.25">
      <c r="A268" t="s">
        <v>942</v>
      </c>
      <c r="B268">
        <v>1915</v>
      </c>
      <c r="C268" t="s">
        <v>943</v>
      </c>
      <c r="I268" t="s">
        <v>31</v>
      </c>
      <c r="J268" t="s">
        <v>944</v>
      </c>
      <c r="O268" t="s">
        <v>28</v>
      </c>
      <c r="AA268">
        <f t="shared" ref="AA268:AA271" si="26">LEN(C268)+LEN(D268)+LEN(E268)+LEN(F268)+LEN(G268)+LEN(H268)+LEN(I268)+LEN(K268)+LEN(L268)+LEN(M268)+LEN(N268)</f>
        <v>17</v>
      </c>
    </row>
    <row r="269" spans="1:27" x14ac:dyDescent="0.25">
      <c r="A269" t="s">
        <v>945</v>
      </c>
      <c r="B269">
        <v>1915</v>
      </c>
      <c r="C269" t="s">
        <v>946</v>
      </c>
      <c r="I269" t="s">
        <v>411</v>
      </c>
      <c r="J269" t="s">
        <v>947</v>
      </c>
      <c r="K269" t="s">
        <v>948</v>
      </c>
      <c r="L269" t="s">
        <v>949</v>
      </c>
      <c r="M269" t="s">
        <v>950</v>
      </c>
      <c r="N269" t="s">
        <v>212</v>
      </c>
      <c r="V269" t="s">
        <v>28</v>
      </c>
      <c r="W269" t="s">
        <v>28</v>
      </c>
      <c r="X269" t="s">
        <v>28</v>
      </c>
      <c r="AA269">
        <f t="shared" si="26"/>
        <v>60</v>
      </c>
    </row>
    <row r="270" spans="1:27" x14ac:dyDescent="0.25">
      <c r="A270" t="s">
        <v>945</v>
      </c>
      <c r="B270">
        <v>1915</v>
      </c>
      <c r="C270" t="s">
        <v>946</v>
      </c>
      <c r="I270" t="s">
        <v>411</v>
      </c>
      <c r="J270" t="s">
        <v>947</v>
      </c>
      <c r="K270" t="s">
        <v>951</v>
      </c>
      <c r="L270" t="s">
        <v>952</v>
      </c>
      <c r="N270" t="s">
        <v>109</v>
      </c>
      <c r="V270" t="s">
        <v>28</v>
      </c>
      <c r="AA270">
        <f t="shared" si="26"/>
        <v>63</v>
      </c>
    </row>
    <row r="271" spans="1:27" x14ac:dyDescent="0.25">
      <c r="A271" t="s">
        <v>953</v>
      </c>
      <c r="B271">
        <v>1915</v>
      </c>
      <c r="C271" t="s">
        <v>954</v>
      </c>
      <c r="I271" t="s">
        <v>955</v>
      </c>
      <c r="J271" t="s">
        <v>956</v>
      </c>
      <c r="K271" t="s">
        <v>957</v>
      </c>
      <c r="L271" t="s">
        <v>958</v>
      </c>
      <c r="N271" t="s">
        <v>109</v>
      </c>
      <c r="O271" t="s">
        <v>28</v>
      </c>
      <c r="X271" t="s">
        <v>28</v>
      </c>
      <c r="AA271">
        <f t="shared" si="26"/>
        <v>51</v>
      </c>
    </row>
    <row r="272" spans="1:27" x14ac:dyDescent="0.25">
      <c r="A272" t="s">
        <v>953</v>
      </c>
      <c r="B272">
        <v>1915</v>
      </c>
      <c r="C272" t="s">
        <v>954</v>
      </c>
      <c r="D272" t="s">
        <v>19</v>
      </c>
      <c r="E272" t="s">
        <v>19</v>
      </c>
      <c r="F272" t="s">
        <v>19</v>
      </c>
      <c r="G272" t="s">
        <v>19</v>
      </c>
      <c r="H272" t="s">
        <v>19</v>
      </c>
      <c r="I272" t="s">
        <v>955</v>
      </c>
      <c r="J272" t="s">
        <v>956</v>
      </c>
      <c r="K272" t="s">
        <v>959</v>
      </c>
      <c r="L272" t="s">
        <v>878</v>
      </c>
      <c r="M272" t="s">
        <v>960</v>
      </c>
      <c r="N272" t="s">
        <v>109</v>
      </c>
      <c r="O272" t="s">
        <v>28</v>
      </c>
      <c r="V272" t="s">
        <v>68</v>
      </c>
      <c r="Z272">
        <v>3</v>
      </c>
      <c r="AA272">
        <f t="shared" si="24"/>
        <v>33</v>
      </c>
    </row>
    <row r="273" spans="1:27" x14ac:dyDescent="0.25">
      <c r="A273" t="s">
        <v>953</v>
      </c>
      <c r="B273">
        <v>1915</v>
      </c>
      <c r="C273" t="s">
        <v>954</v>
      </c>
      <c r="I273" t="s">
        <v>955</v>
      </c>
      <c r="J273" t="s">
        <v>956</v>
      </c>
      <c r="K273" t="s">
        <v>961</v>
      </c>
      <c r="L273" t="s">
        <v>962</v>
      </c>
      <c r="N273" t="s">
        <v>109</v>
      </c>
      <c r="O273" t="s">
        <v>28</v>
      </c>
      <c r="V273" t="s">
        <v>28</v>
      </c>
      <c r="X273" t="s">
        <v>28</v>
      </c>
      <c r="AA273">
        <f t="shared" ref="AA273:AA281" si="27">LEN(C273)+LEN(D273)+LEN(E273)+LEN(F273)+LEN(G273)+LEN(H273)+LEN(I273)+LEN(K273)+LEN(L273)+LEN(M273)+LEN(N273)</f>
        <v>48</v>
      </c>
    </row>
    <row r="274" spans="1:27" x14ac:dyDescent="0.25">
      <c r="A274" t="s">
        <v>963</v>
      </c>
      <c r="B274">
        <v>1915</v>
      </c>
      <c r="C274" t="s">
        <v>964</v>
      </c>
      <c r="I274" t="s">
        <v>965</v>
      </c>
      <c r="J274" s="4" t="s">
        <v>966</v>
      </c>
      <c r="O274" t="s">
        <v>28</v>
      </c>
      <c r="AA274">
        <f t="shared" si="27"/>
        <v>37</v>
      </c>
    </row>
    <row r="275" spans="1:27" x14ac:dyDescent="0.25">
      <c r="A275" t="s">
        <v>967</v>
      </c>
      <c r="B275">
        <v>1915</v>
      </c>
      <c r="C275" t="s">
        <v>968</v>
      </c>
      <c r="I275" t="s">
        <v>31</v>
      </c>
      <c r="J275" t="s">
        <v>969</v>
      </c>
      <c r="AA275">
        <f t="shared" si="27"/>
        <v>32</v>
      </c>
    </row>
    <row r="276" spans="1:27" x14ac:dyDescent="0.25">
      <c r="A276" t="s">
        <v>970</v>
      </c>
      <c r="B276">
        <v>1915</v>
      </c>
      <c r="C276" t="s">
        <v>971</v>
      </c>
      <c r="I276" t="s">
        <v>182</v>
      </c>
      <c r="J276" t="s">
        <v>972</v>
      </c>
      <c r="O276" t="s">
        <v>28</v>
      </c>
      <c r="U276" t="s">
        <v>28</v>
      </c>
      <c r="AA276">
        <f t="shared" si="27"/>
        <v>40</v>
      </c>
    </row>
    <row r="277" spans="1:27" x14ac:dyDescent="0.25">
      <c r="A277" t="s">
        <v>973</v>
      </c>
      <c r="B277">
        <v>1915</v>
      </c>
      <c r="C277" t="s">
        <v>974</v>
      </c>
      <c r="I277" t="s">
        <v>31</v>
      </c>
      <c r="J277" t="s">
        <v>975</v>
      </c>
      <c r="O277" t="s">
        <v>28</v>
      </c>
      <c r="AA277">
        <f t="shared" si="27"/>
        <v>31</v>
      </c>
    </row>
    <row r="278" spans="1:27" x14ac:dyDescent="0.25">
      <c r="A278" t="s">
        <v>976</v>
      </c>
      <c r="B278">
        <v>1915</v>
      </c>
      <c r="C278" t="s">
        <v>974</v>
      </c>
      <c r="I278" t="s">
        <v>433</v>
      </c>
      <c r="J278" t="s">
        <v>977</v>
      </c>
      <c r="O278" t="s">
        <v>28</v>
      </c>
      <c r="AA278">
        <f t="shared" si="27"/>
        <v>31</v>
      </c>
    </row>
    <row r="279" spans="1:27" x14ac:dyDescent="0.25">
      <c r="A279" t="s">
        <v>978</v>
      </c>
      <c r="B279">
        <v>1915</v>
      </c>
      <c r="C279" t="s">
        <v>979</v>
      </c>
      <c r="I279" t="s">
        <v>31</v>
      </c>
      <c r="J279" t="s">
        <v>980</v>
      </c>
      <c r="AA279">
        <f t="shared" si="27"/>
        <v>32</v>
      </c>
    </row>
    <row r="280" spans="1:27" x14ac:dyDescent="0.25">
      <c r="A280" t="s">
        <v>981</v>
      </c>
      <c r="B280">
        <v>1915</v>
      </c>
      <c r="C280" t="s">
        <v>982</v>
      </c>
      <c r="I280" t="s">
        <v>983</v>
      </c>
      <c r="J280" t="s">
        <v>984</v>
      </c>
      <c r="U280" t="s">
        <v>28</v>
      </c>
      <c r="AA280">
        <f t="shared" si="27"/>
        <v>28</v>
      </c>
    </row>
    <row r="281" spans="1:27" x14ac:dyDescent="0.25">
      <c r="A281" t="s">
        <v>985</v>
      </c>
      <c r="B281">
        <v>1915</v>
      </c>
      <c r="C281" t="s">
        <v>986</v>
      </c>
      <c r="J281" t="s">
        <v>987</v>
      </c>
      <c r="U281" t="s">
        <v>28</v>
      </c>
      <c r="AA281">
        <f t="shared" si="27"/>
        <v>19</v>
      </c>
    </row>
    <row r="282" spans="1:27" s="4" customFormat="1" x14ac:dyDescent="0.25">
      <c r="A282" s="4" t="s">
        <v>988</v>
      </c>
      <c r="B282" s="4">
        <v>1915</v>
      </c>
      <c r="C282" s="4" t="s">
        <v>989</v>
      </c>
      <c r="D282" s="4" t="s">
        <v>19</v>
      </c>
      <c r="E282" s="4" t="s">
        <v>19</v>
      </c>
      <c r="F282" s="4" t="s">
        <v>19</v>
      </c>
      <c r="G282" s="4" t="s">
        <v>19</v>
      </c>
      <c r="H282" s="4" t="s">
        <v>19</v>
      </c>
      <c r="I282" s="4" t="s">
        <v>872</v>
      </c>
      <c r="J282" s="4" t="s">
        <v>990</v>
      </c>
      <c r="K282" s="4" t="s">
        <v>19</v>
      </c>
      <c r="L282" s="4" t="s">
        <v>19</v>
      </c>
      <c r="M282" s="4" t="s">
        <v>19</v>
      </c>
      <c r="N282" s="4" t="s">
        <v>19</v>
      </c>
      <c r="O282" s="4" t="s">
        <v>68</v>
      </c>
      <c r="Z282" s="4">
        <v>12</v>
      </c>
      <c r="AA282">
        <f t="shared" si="24"/>
        <v>12</v>
      </c>
    </row>
    <row r="283" spans="1:27" s="4" customFormat="1" x14ac:dyDescent="0.25">
      <c r="A283" s="4" t="s">
        <v>991</v>
      </c>
      <c r="B283" s="4">
        <v>1915</v>
      </c>
      <c r="C283" s="4" t="s">
        <v>992</v>
      </c>
      <c r="I283" s="4" t="s">
        <v>31</v>
      </c>
      <c r="J283" s="4" t="s">
        <v>993</v>
      </c>
      <c r="AA283">
        <f t="shared" ref="AA283:AA296" si="28">LEN(C283)+LEN(D283)+LEN(E283)+LEN(F283)+LEN(G283)+LEN(H283)+LEN(I283)+LEN(K283)+LEN(L283)+LEN(M283)+LEN(N283)</f>
        <v>41</v>
      </c>
    </row>
    <row r="284" spans="1:27" x14ac:dyDescent="0.25">
      <c r="A284" t="s">
        <v>994</v>
      </c>
      <c r="B284">
        <v>1915</v>
      </c>
      <c r="C284" t="s">
        <v>995</v>
      </c>
      <c r="I284" t="s">
        <v>39</v>
      </c>
      <c r="J284" t="s">
        <v>996</v>
      </c>
      <c r="O284" s="5" t="s">
        <v>28</v>
      </c>
      <c r="AA284">
        <f t="shared" si="28"/>
        <v>48</v>
      </c>
    </row>
    <row r="285" spans="1:27" x14ac:dyDescent="0.25">
      <c r="A285" t="s">
        <v>997</v>
      </c>
      <c r="B285">
        <v>1915</v>
      </c>
      <c r="C285" t="s">
        <v>998</v>
      </c>
      <c r="I285" t="s">
        <v>31</v>
      </c>
      <c r="J285" t="s">
        <v>999</v>
      </c>
      <c r="O285" t="s">
        <v>28</v>
      </c>
      <c r="AA285">
        <f t="shared" si="28"/>
        <v>22</v>
      </c>
    </row>
    <row r="286" spans="1:27" x14ac:dyDescent="0.25">
      <c r="A286" t="s">
        <v>1000</v>
      </c>
      <c r="B286">
        <v>1916</v>
      </c>
      <c r="C286" t="s">
        <v>1001</v>
      </c>
      <c r="I286" t="s">
        <v>31</v>
      </c>
      <c r="J286" t="s">
        <v>1002</v>
      </c>
      <c r="O286" s="5" t="s">
        <v>28</v>
      </c>
      <c r="V286" t="s">
        <v>28</v>
      </c>
      <c r="W286" t="s">
        <v>28</v>
      </c>
      <c r="X286" t="s">
        <v>28</v>
      </c>
      <c r="Y286" t="s">
        <v>28</v>
      </c>
      <c r="AA286">
        <f t="shared" si="28"/>
        <v>38</v>
      </c>
    </row>
    <row r="287" spans="1:27" x14ac:dyDescent="0.25">
      <c r="A287" t="s">
        <v>1003</v>
      </c>
      <c r="B287">
        <v>1916</v>
      </c>
      <c r="C287" t="s">
        <v>680</v>
      </c>
      <c r="I287" t="s">
        <v>189</v>
      </c>
      <c r="J287" t="s">
        <v>1004</v>
      </c>
      <c r="U287" t="s">
        <v>28</v>
      </c>
      <c r="AA287">
        <f t="shared" si="28"/>
        <v>23</v>
      </c>
    </row>
    <row r="288" spans="1:27" x14ac:dyDescent="0.25">
      <c r="A288" t="s">
        <v>1005</v>
      </c>
      <c r="B288">
        <v>1916</v>
      </c>
      <c r="C288" t="s">
        <v>1006</v>
      </c>
      <c r="E288" t="s">
        <v>1007</v>
      </c>
      <c r="I288" t="s">
        <v>136</v>
      </c>
      <c r="J288" t="s">
        <v>1008</v>
      </c>
      <c r="O288" t="s">
        <v>28</v>
      </c>
      <c r="AA288">
        <f t="shared" si="28"/>
        <v>81</v>
      </c>
    </row>
    <row r="289" spans="1:27" x14ac:dyDescent="0.25">
      <c r="A289" t="s">
        <v>1009</v>
      </c>
      <c r="B289">
        <v>1916</v>
      </c>
      <c r="C289" t="s">
        <v>1010</v>
      </c>
      <c r="I289" t="s">
        <v>31</v>
      </c>
      <c r="J289" t="s">
        <v>1011</v>
      </c>
      <c r="AA289">
        <f t="shared" si="28"/>
        <v>43</v>
      </c>
    </row>
    <row r="290" spans="1:27" x14ac:dyDescent="0.25">
      <c r="A290" t="s">
        <v>1012</v>
      </c>
      <c r="B290">
        <v>1916</v>
      </c>
      <c r="C290" t="s">
        <v>687</v>
      </c>
      <c r="I290" t="s">
        <v>31</v>
      </c>
      <c r="J290" t="s">
        <v>1013</v>
      </c>
      <c r="O290" t="s">
        <v>28</v>
      </c>
      <c r="AA290">
        <f t="shared" si="28"/>
        <v>18</v>
      </c>
    </row>
    <row r="291" spans="1:27" x14ac:dyDescent="0.25">
      <c r="A291" t="s">
        <v>1014</v>
      </c>
      <c r="B291">
        <v>1916</v>
      </c>
      <c r="C291" t="s">
        <v>1015</v>
      </c>
      <c r="I291" t="s">
        <v>1016</v>
      </c>
      <c r="J291" t="s">
        <v>1017</v>
      </c>
      <c r="O291" t="s">
        <v>28</v>
      </c>
      <c r="U291" t="s">
        <v>28</v>
      </c>
      <c r="AA291">
        <f t="shared" si="28"/>
        <v>38</v>
      </c>
    </row>
    <row r="292" spans="1:27" x14ac:dyDescent="0.25">
      <c r="A292" t="s">
        <v>1018</v>
      </c>
      <c r="B292">
        <v>1916</v>
      </c>
      <c r="C292" t="s">
        <v>1019</v>
      </c>
      <c r="I292" t="s">
        <v>1016</v>
      </c>
      <c r="J292" t="s">
        <v>1020</v>
      </c>
      <c r="O292" t="s">
        <v>28</v>
      </c>
      <c r="AA292">
        <f t="shared" si="28"/>
        <v>35</v>
      </c>
    </row>
    <row r="293" spans="1:27" s="4" customFormat="1" x14ac:dyDescent="0.25">
      <c r="A293" s="4" t="s">
        <v>1021</v>
      </c>
      <c r="B293" s="4">
        <v>1916</v>
      </c>
      <c r="C293" s="4" t="s">
        <v>703</v>
      </c>
      <c r="I293" s="4" t="s">
        <v>175</v>
      </c>
      <c r="J293" s="4" t="s">
        <v>1022</v>
      </c>
      <c r="AA293">
        <f t="shared" si="28"/>
        <v>41</v>
      </c>
    </row>
    <row r="294" spans="1:27" s="4" customFormat="1" x14ac:dyDescent="0.25">
      <c r="A294" s="4" t="s">
        <v>1023</v>
      </c>
      <c r="B294" s="4">
        <v>1916</v>
      </c>
      <c r="C294" s="4" t="s">
        <v>1024</v>
      </c>
      <c r="D294" s="4">
        <v>4766.4442330000002</v>
      </c>
      <c r="I294" s="4" t="s">
        <v>31</v>
      </c>
      <c r="J294" s="4" t="s">
        <v>1025</v>
      </c>
      <c r="AA294">
        <f t="shared" si="28"/>
        <v>42</v>
      </c>
    </row>
    <row r="295" spans="1:27" x14ac:dyDescent="0.25">
      <c r="A295" t="s">
        <v>1026</v>
      </c>
      <c r="B295">
        <v>1916</v>
      </c>
      <c r="C295" t="s">
        <v>1027</v>
      </c>
      <c r="I295" t="s">
        <v>31</v>
      </c>
      <c r="J295" t="s">
        <v>1028</v>
      </c>
      <c r="AA295">
        <f t="shared" si="28"/>
        <v>39</v>
      </c>
    </row>
    <row r="296" spans="1:27" x14ac:dyDescent="0.25">
      <c r="A296" t="s">
        <v>1029</v>
      </c>
      <c r="B296">
        <v>1916</v>
      </c>
      <c r="C296" t="s">
        <v>1030</v>
      </c>
      <c r="I296" t="s">
        <v>1031</v>
      </c>
      <c r="J296" t="s">
        <v>1032</v>
      </c>
      <c r="O296" s="5" t="s">
        <v>28</v>
      </c>
      <c r="U296" t="s">
        <v>28</v>
      </c>
      <c r="AA296">
        <f t="shared" si="28"/>
        <v>47</v>
      </c>
    </row>
    <row r="297" spans="1:27" x14ac:dyDescent="0.25">
      <c r="A297" t="s">
        <v>1033</v>
      </c>
      <c r="B297">
        <v>1916</v>
      </c>
      <c r="C297" t="s">
        <v>1034</v>
      </c>
      <c r="D297" t="s">
        <v>19</v>
      </c>
      <c r="E297" t="s">
        <v>19</v>
      </c>
      <c r="F297" t="s">
        <v>19</v>
      </c>
      <c r="G297" t="s">
        <v>19</v>
      </c>
      <c r="H297" t="s">
        <v>19</v>
      </c>
      <c r="I297" t="s">
        <v>116</v>
      </c>
      <c r="J297" t="s">
        <v>1035</v>
      </c>
      <c r="K297" t="s">
        <v>19</v>
      </c>
      <c r="L297" t="s">
        <v>19</v>
      </c>
      <c r="M297" t="s">
        <v>19</v>
      </c>
      <c r="N297" t="s">
        <v>19</v>
      </c>
      <c r="O297" t="s">
        <v>68</v>
      </c>
      <c r="Z297">
        <v>1</v>
      </c>
      <c r="AA297">
        <f t="shared" si="24"/>
        <v>25</v>
      </c>
    </row>
    <row r="298" spans="1:27" s="4" customFormat="1" x14ac:dyDescent="0.25">
      <c r="A298" s="4" t="s">
        <v>1036</v>
      </c>
      <c r="B298" s="4">
        <v>1916</v>
      </c>
      <c r="C298" s="4" t="s">
        <v>1037</v>
      </c>
      <c r="I298" s="4" t="s">
        <v>359</v>
      </c>
      <c r="J298" s="4" t="s">
        <v>1038</v>
      </c>
      <c r="AA298">
        <f t="shared" ref="AA298:AA304" si="29">LEN(C298)+LEN(D298)+LEN(E298)+LEN(F298)+LEN(G298)+LEN(H298)+LEN(I298)+LEN(K298)+LEN(L298)+LEN(M298)+LEN(N298)</f>
        <v>27</v>
      </c>
    </row>
    <row r="299" spans="1:27" x14ac:dyDescent="0.25">
      <c r="A299" t="s">
        <v>1039</v>
      </c>
      <c r="B299">
        <v>1916</v>
      </c>
      <c r="C299" t="s">
        <v>1040</v>
      </c>
      <c r="I299" t="s">
        <v>580</v>
      </c>
      <c r="J299" t="s">
        <v>1041</v>
      </c>
      <c r="O299" t="s">
        <v>28</v>
      </c>
      <c r="AA299">
        <f t="shared" si="29"/>
        <v>33</v>
      </c>
    </row>
    <row r="300" spans="1:27" x14ac:dyDescent="0.25">
      <c r="A300" t="s">
        <v>1042</v>
      </c>
      <c r="B300">
        <v>1916</v>
      </c>
      <c r="C300" t="s">
        <v>1043</v>
      </c>
      <c r="I300" t="s">
        <v>1044</v>
      </c>
      <c r="J300" t="s">
        <v>1045</v>
      </c>
      <c r="O300" s="5" t="s">
        <v>28</v>
      </c>
      <c r="U300" t="s">
        <v>28</v>
      </c>
      <c r="AA300">
        <f t="shared" si="29"/>
        <v>45</v>
      </c>
    </row>
    <row r="301" spans="1:27" x14ac:dyDescent="0.25">
      <c r="A301" t="s">
        <v>1046</v>
      </c>
      <c r="B301">
        <v>1916</v>
      </c>
      <c r="C301" t="s">
        <v>1047</v>
      </c>
      <c r="I301" t="s">
        <v>1048</v>
      </c>
      <c r="J301" t="s">
        <v>1049</v>
      </c>
      <c r="AA301">
        <f t="shared" si="29"/>
        <v>49</v>
      </c>
    </row>
    <row r="302" spans="1:27" x14ac:dyDescent="0.25">
      <c r="A302" t="s">
        <v>1050</v>
      </c>
      <c r="B302">
        <v>1916</v>
      </c>
      <c r="C302" t="s">
        <v>1051</v>
      </c>
      <c r="I302" t="s">
        <v>1052</v>
      </c>
      <c r="J302" t="s">
        <v>1053</v>
      </c>
      <c r="O302" s="5" t="s">
        <v>28</v>
      </c>
      <c r="U302" t="s">
        <v>28</v>
      </c>
      <c r="AA302">
        <f t="shared" si="29"/>
        <v>36</v>
      </c>
    </row>
    <row r="303" spans="1:27" x14ac:dyDescent="0.25">
      <c r="A303" t="s">
        <v>1054</v>
      </c>
      <c r="B303">
        <v>1916</v>
      </c>
      <c r="C303" t="s">
        <v>1051</v>
      </c>
      <c r="I303" t="s">
        <v>1052</v>
      </c>
      <c r="J303" t="s">
        <v>1055</v>
      </c>
      <c r="O303" s="5" t="s">
        <v>28</v>
      </c>
      <c r="U303" t="s">
        <v>28</v>
      </c>
      <c r="AA303">
        <f t="shared" si="29"/>
        <v>36</v>
      </c>
    </row>
    <row r="304" spans="1:27" s="4" customFormat="1" x14ac:dyDescent="0.25">
      <c r="A304" s="4" t="s">
        <v>1056</v>
      </c>
      <c r="B304" s="4">
        <v>1916</v>
      </c>
      <c r="C304" s="4" t="s">
        <v>1057</v>
      </c>
      <c r="I304" s="4" t="s">
        <v>411</v>
      </c>
      <c r="J304" s="4" t="s">
        <v>1058</v>
      </c>
      <c r="AA304">
        <f t="shared" si="29"/>
        <v>46</v>
      </c>
    </row>
    <row r="305" spans="1:27" x14ac:dyDescent="0.25">
      <c r="A305" t="s">
        <v>1059</v>
      </c>
      <c r="B305">
        <v>1916</v>
      </c>
      <c r="C305" t="s">
        <v>1060</v>
      </c>
      <c r="D305" t="s">
        <v>19</v>
      </c>
      <c r="E305" t="s">
        <v>19</v>
      </c>
      <c r="F305" t="s">
        <v>19</v>
      </c>
      <c r="G305" t="s">
        <v>19</v>
      </c>
      <c r="H305" t="s">
        <v>19</v>
      </c>
      <c r="I305" t="s">
        <v>891</v>
      </c>
      <c r="J305" t="s">
        <v>1061</v>
      </c>
      <c r="K305" t="s">
        <v>19</v>
      </c>
      <c r="L305" t="s">
        <v>19</v>
      </c>
      <c r="M305" t="s">
        <v>19</v>
      </c>
      <c r="N305" t="s">
        <v>19</v>
      </c>
      <c r="O305" t="s">
        <v>68</v>
      </c>
      <c r="Z305">
        <v>2</v>
      </c>
      <c r="AA305">
        <f t="shared" si="24"/>
        <v>18</v>
      </c>
    </row>
    <row r="306" spans="1:27" x14ac:dyDescent="0.25">
      <c r="A306" t="s">
        <v>1062</v>
      </c>
      <c r="B306">
        <v>1916</v>
      </c>
      <c r="C306" t="s">
        <v>1060</v>
      </c>
      <c r="D306" t="s">
        <v>19</v>
      </c>
      <c r="E306" t="s">
        <v>19</v>
      </c>
      <c r="F306" t="s">
        <v>19</v>
      </c>
      <c r="G306" t="s">
        <v>19</v>
      </c>
      <c r="H306" t="s">
        <v>19</v>
      </c>
      <c r="I306" t="s">
        <v>704</v>
      </c>
      <c r="J306" t="s">
        <v>1063</v>
      </c>
      <c r="K306" t="s">
        <v>19</v>
      </c>
      <c r="L306" t="s">
        <v>19</v>
      </c>
      <c r="M306" t="s">
        <v>19</v>
      </c>
      <c r="N306" t="s">
        <v>19</v>
      </c>
      <c r="O306" t="s">
        <v>68</v>
      </c>
      <c r="U306" t="s">
        <v>28</v>
      </c>
      <c r="Z306">
        <v>2</v>
      </c>
      <c r="AA306">
        <f t="shared" si="24"/>
        <v>18</v>
      </c>
    </row>
    <row r="307" spans="1:27" x14ac:dyDescent="0.25">
      <c r="A307" t="s">
        <v>1064</v>
      </c>
      <c r="B307">
        <v>1916</v>
      </c>
      <c r="C307" t="s">
        <v>1065</v>
      </c>
      <c r="I307" t="s">
        <v>1066</v>
      </c>
      <c r="J307" t="s">
        <v>1067</v>
      </c>
      <c r="O307" t="s">
        <v>28</v>
      </c>
      <c r="AA307">
        <f t="shared" ref="AA307:AA309" si="30">LEN(C307)+LEN(D307)+LEN(E307)+LEN(F307)+LEN(G307)+LEN(H307)+LEN(I307)+LEN(K307)+LEN(L307)+LEN(M307)+LEN(N307)</f>
        <v>50</v>
      </c>
    </row>
    <row r="308" spans="1:27" x14ac:dyDescent="0.25">
      <c r="A308" t="s">
        <v>1068</v>
      </c>
      <c r="B308">
        <v>1916</v>
      </c>
      <c r="C308" t="s">
        <v>1069</v>
      </c>
      <c r="I308" t="s">
        <v>31</v>
      </c>
      <c r="J308" t="s">
        <v>1070</v>
      </c>
      <c r="O308" t="s">
        <v>28</v>
      </c>
      <c r="AA308">
        <f t="shared" si="30"/>
        <v>39</v>
      </c>
    </row>
    <row r="309" spans="1:27" x14ac:dyDescent="0.25">
      <c r="A309" t="s">
        <v>1071</v>
      </c>
      <c r="B309">
        <v>1916</v>
      </c>
      <c r="C309" t="s">
        <v>871</v>
      </c>
      <c r="I309" t="s">
        <v>31</v>
      </c>
      <c r="J309" t="s">
        <v>1072</v>
      </c>
      <c r="AA309">
        <f t="shared" si="30"/>
        <v>32</v>
      </c>
    </row>
    <row r="310" spans="1:27" s="3" customFormat="1" x14ac:dyDescent="0.25">
      <c r="A310" s="3" t="s">
        <v>1073</v>
      </c>
      <c r="B310" s="3">
        <v>1916</v>
      </c>
      <c r="C310" s="3" t="s">
        <v>1074</v>
      </c>
      <c r="D310" s="3" t="s">
        <v>19</v>
      </c>
      <c r="E310" s="3" t="s">
        <v>19</v>
      </c>
      <c r="F310" s="3" t="s">
        <v>19</v>
      </c>
      <c r="G310" s="3" t="s">
        <v>19</v>
      </c>
      <c r="H310" s="3" t="s">
        <v>19</v>
      </c>
      <c r="I310" s="3" t="s">
        <v>1075</v>
      </c>
      <c r="J310" s="3" t="s">
        <v>1076</v>
      </c>
      <c r="K310" s="3" t="s">
        <v>19</v>
      </c>
      <c r="L310" s="3" t="s">
        <v>19</v>
      </c>
      <c r="M310" s="3" t="s">
        <v>19</v>
      </c>
      <c r="N310" s="3" t="s">
        <v>19</v>
      </c>
      <c r="O310" s="3" t="s">
        <v>68</v>
      </c>
      <c r="U310" s="3" t="s">
        <v>28</v>
      </c>
      <c r="Z310" s="3">
        <v>5</v>
      </c>
      <c r="AA310">
        <f t="shared" si="24"/>
        <v>32</v>
      </c>
    </row>
    <row r="311" spans="1:27" x14ac:dyDescent="0.25">
      <c r="A311" t="s">
        <v>1077</v>
      </c>
      <c r="B311">
        <v>1917</v>
      </c>
      <c r="C311" t="s">
        <v>1078</v>
      </c>
      <c r="I311" t="s">
        <v>31</v>
      </c>
      <c r="J311" t="s">
        <v>1079</v>
      </c>
      <c r="AA311">
        <f t="shared" ref="AA311:AA317" si="31">LEN(C311)+LEN(D311)+LEN(E311)+LEN(F311)+LEN(G311)+LEN(H311)+LEN(I311)+LEN(K311)+LEN(L311)+LEN(M311)+LEN(N311)</f>
        <v>18</v>
      </c>
    </row>
    <row r="312" spans="1:27" x14ac:dyDescent="0.25">
      <c r="A312" t="s">
        <v>1080</v>
      </c>
      <c r="B312">
        <v>1917</v>
      </c>
      <c r="C312" t="s">
        <v>1078</v>
      </c>
      <c r="I312" t="s">
        <v>1081</v>
      </c>
      <c r="J312" t="s">
        <v>1082</v>
      </c>
      <c r="O312" t="s">
        <v>28</v>
      </c>
      <c r="AA312">
        <f t="shared" si="31"/>
        <v>18</v>
      </c>
    </row>
    <row r="313" spans="1:27" x14ac:dyDescent="0.25">
      <c r="A313" t="s">
        <v>1083</v>
      </c>
      <c r="B313">
        <v>1917</v>
      </c>
      <c r="C313" t="s">
        <v>1084</v>
      </c>
      <c r="I313" t="s">
        <v>501</v>
      </c>
      <c r="J313" t="s">
        <v>1085</v>
      </c>
      <c r="O313" t="s">
        <v>28</v>
      </c>
      <c r="U313" t="s">
        <v>28</v>
      </c>
      <c r="AA313">
        <f t="shared" si="31"/>
        <v>38</v>
      </c>
    </row>
    <row r="314" spans="1:27" x14ac:dyDescent="0.25">
      <c r="A314" t="s">
        <v>1086</v>
      </c>
      <c r="B314">
        <v>1917</v>
      </c>
      <c r="C314" t="s">
        <v>1087</v>
      </c>
      <c r="I314" t="s">
        <v>91</v>
      </c>
      <c r="J314" t="s">
        <v>1088</v>
      </c>
      <c r="O314" s="5" t="s">
        <v>28</v>
      </c>
      <c r="AA314">
        <f t="shared" si="31"/>
        <v>40</v>
      </c>
    </row>
    <row r="315" spans="1:27" x14ac:dyDescent="0.25">
      <c r="A315" t="s">
        <v>1089</v>
      </c>
      <c r="B315">
        <v>1917</v>
      </c>
      <c r="C315" t="s">
        <v>1090</v>
      </c>
      <c r="I315" t="s">
        <v>31</v>
      </c>
      <c r="J315" t="s">
        <v>1091</v>
      </c>
      <c r="O315" t="s">
        <v>28</v>
      </c>
      <c r="AA315">
        <f t="shared" si="31"/>
        <v>30</v>
      </c>
    </row>
    <row r="316" spans="1:27" x14ac:dyDescent="0.25">
      <c r="A316" t="s">
        <v>1092</v>
      </c>
      <c r="B316">
        <v>1917</v>
      </c>
      <c r="C316" t="s">
        <v>841</v>
      </c>
      <c r="D316" s="1">
        <v>15000000</v>
      </c>
      <c r="I316" t="s">
        <v>518</v>
      </c>
      <c r="J316" t="s">
        <v>1093</v>
      </c>
      <c r="O316" t="s">
        <v>28</v>
      </c>
      <c r="AA316">
        <f t="shared" si="31"/>
        <v>64</v>
      </c>
    </row>
    <row r="317" spans="1:27" x14ac:dyDescent="0.25">
      <c r="A317" t="s">
        <v>1094</v>
      </c>
      <c r="B317">
        <v>1917</v>
      </c>
      <c r="C317" t="s">
        <v>1095</v>
      </c>
      <c r="I317" t="s">
        <v>596</v>
      </c>
      <c r="J317" t="s">
        <v>1096</v>
      </c>
      <c r="AA317">
        <f t="shared" si="31"/>
        <v>44</v>
      </c>
    </row>
    <row r="318" spans="1:27" x14ac:dyDescent="0.25">
      <c r="A318" t="s">
        <v>1097</v>
      </c>
      <c r="B318">
        <v>1917</v>
      </c>
      <c r="C318" t="s">
        <v>1098</v>
      </c>
      <c r="D318" t="s">
        <v>19</v>
      </c>
      <c r="E318" t="s">
        <v>19</v>
      </c>
      <c r="F318" t="s">
        <v>19</v>
      </c>
      <c r="G318" t="s">
        <v>19</v>
      </c>
      <c r="H318" t="s">
        <v>19</v>
      </c>
      <c r="I318" t="s">
        <v>31</v>
      </c>
      <c r="J318" t="s">
        <v>1099</v>
      </c>
      <c r="K318" t="s">
        <v>19</v>
      </c>
      <c r="L318" t="s">
        <v>19</v>
      </c>
      <c r="M318" t="s">
        <v>19</v>
      </c>
      <c r="N318" t="s">
        <v>19</v>
      </c>
      <c r="O318" t="s">
        <v>68</v>
      </c>
      <c r="Z318">
        <v>1</v>
      </c>
      <c r="AA318">
        <f t="shared" si="24"/>
        <v>16</v>
      </c>
    </row>
    <row r="319" spans="1:27" s="4" customFormat="1" x14ac:dyDescent="0.25">
      <c r="A319" s="4" t="s">
        <v>1100</v>
      </c>
      <c r="B319" s="4">
        <v>1917</v>
      </c>
      <c r="C319" s="4" t="s">
        <v>1101</v>
      </c>
      <c r="I319" s="4" t="s">
        <v>291</v>
      </c>
      <c r="J319" s="4" t="s">
        <v>1102</v>
      </c>
      <c r="AA319">
        <f t="shared" ref="AA319:AA331" si="32">LEN(C319)+LEN(D319)+LEN(E319)+LEN(F319)+LEN(G319)+LEN(H319)+LEN(I319)+LEN(K319)+LEN(L319)+LEN(M319)+LEN(N319)</f>
        <v>31</v>
      </c>
    </row>
    <row r="320" spans="1:27" x14ac:dyDescent="0.25">
      <c r="A320" t="s">
        <v>1103</v>
      </c>
      <c r="B320">
        <v>1917</v>
      </c>
      <c r="C320" t="s">
        <v>1104</v>
      </c>
      <c r="I320" t="s">
        <v>31</v>
      </c>
      <c r="J320" t="s">
        <v>1105</v>
      </c>
      <c r="AA320">
        <f t="shared" si="32"/>
        <v>23</v>
      </c>
    </row>
    <row r="321" spans="1:27" x14ac:dyDescent="0.25">
      <c r="A321" t="s">
        <v>1106</v>
      </c>
      <c r="B321">
        <v>1917</v>
      </c>
      <c r="C321" t="s">
        <v>1107</v>
      </c>
      <c r="I321" t="s">
        <v>144</v>
      </c>
      <c r="J321" t="s">
        <v>1108</v>
      </c>
      <c r="O321" t="s">
        <v>28</v>
      </c>
      <c r="AA321">
        <f t="shared" si="32"/>
        <v>44</v>
      </c>
    </row>
    <row r="322" spans="1:27" x14ac:dyDescent="0.25">
      <c r="A322" t="s">
        <v>1109</v>
      </c>
      <c r="B322">
        <v>1917</v>
      </c>
      <c r="C322" t="s">
        <v>1110</v>
      </c>
      <c r="I322" t="s">
        <v>175</v>
      </c>
      <c r="J322" t="s">
        <v>1111</v>
      </c>
      <c r="O322" t="s">
        <v>28</v>
      </c>
      <c r="AA322">
        <f t="shared" si="32"/>
        <v>39</v>
      </c>
    </row>
    <row r="323" spans="1:27" x14ac:dyDescent="0.25">
      <c r="A323" t="s">
        <v>1112</v>
      </c>
      <c r="B323">
        <v>1917</v>
      </c>
      <c r="C323" t="s">
        <v>1113</v>
      </c>
      <c r="I323" t="s">
        <v>580</v>
      </c>
      <c r="J323" t="s">
        <v>1114</v>
      </c>
      <c r="AA323">
        <f t="shared" si="32"/>
        <v>44</v>
      </c>
    </row>
    <row r="324" spans="1:27" x14ac:dyDescent="0.25">
      <c r="A324" t="s">
        <v>1115</v>
      </c>
      <c r="B324">
        <v>1917</v>
      </c>
      <c r="C324" t="s">
        <v>1116</v>
      </c>
      <c r="I324" t="s">
        <v>531</v>
      </c>
      <c r="J324" t="s">
        <v>1117</v>
      </c>
      <c r="O324" t="s">
        <v>133</v>
      </c>
      <c r="AA324">
        <f t="shared" si="32"/>
        <v>35</v>
      </c>
    </row>
    <row r="325" spans="1:27" x14ac:dyDescent="0.25">
      <c r="A325" t="s">
        <v>1118</v>
      </c>
      <c r="B325">
        <v>1917</v>
      </c>
      <c r="C325" t="s">
        <v>1119</v>
      </c>
      <c r="I325" t="s">
        <v>1044</v>
      </c>
      <c r="J325" t="s">
        <v>1120</v>
      </c>
      <c r="O325" t="s">
        <v>28</v>
      </c>
      <c r="U325" t="s">
        <v>28</v>
      </c>
      <c r="AA325">
        <f t="shared" si="32"/>
        <v>15</v>
      </c>
    </row>
    <row r="326" spans="1:27" x14ac:dyDescent="0.25">
      <c r="A326" t="s">
        <v>1121</v>
      </c>
      <c r="B326">
        <v>1917</v>
      </c>
      <c r="C326" t="s">
        <v>1122</v>
      </c>
      <c r="I326" t="s">
        <v>1123</v>
      </c>
      <c r="J326" t="s">
        <v>1124</v>
      </c>
      <c r="O326" s="5" t="s">
        <v>133</v>
      </c>
      <c r="P326" t="s">
        <v>28</v>
      </c>
      <c r="AA326">
        <f t="shared" si="32"/>
        <v>35</v>
      </c>
    </row>
    <row r="327" spans="1:27" x14ac:dyDescent="0.25">
      <c r="A327" t="s">
        <v>1125</v>
      </c>
      <c r="B327">
        <v>1917</v>
      </c>
      <c r="C327" t="s">
        <v>1126</v>
      </c>
      <c r="I327" t="s">
        <v>1127</v>
      </c>
      <c r="J327" t="s">
        <v>1128</v>
      </c>
      <c r="O327" t="s">
        <v>28</v>
      </c>
      <c r="AA327">
        <f t="shared" si="32"/>
        <v>49</v>
      </c>
    </row>
    <row r="328" spans="1:27" x14ac:dyDescent="0.25">
      <c r="A328" t="s">
        <v>1129</v>
      </c>
      <c r="B328">
        <v>1917</v>
      </c>
      <c r="C328" t="s">
        <v>1130</v>
      </c>
      <c r="J328" t="s">
        <v>1131</v>
      </c>
      <c r="U328" t="s">
        <v>28</v>
      </c>
      <c r="AA328">
        <f t="shared" si="32"/>
        <v>24</v>
      </c>
    </row>
    <row r="329" spans="1:27" x14ac:dyDescent="0.25">
      <c r="A329" t="s">
        <v>1132</v>
      </c>
      <c r="B329">
        <v>1917</v>
      </c>
      <c r="C329" t="s">
        <v>1133</v>
      </c>
      <c r="I329" t="s">
        <v>31</v>
      </c>
      <c r="J329" t="s">
        <v>1134</v>
      </c>
      <c r="O329" t="s">
        <v>28</v>
      </c>
      <c r="AA329">
        <f t="shared" si="32"/>
        <v>25</v>
      </c>
    </row>
    <row r="330" spans="1:27" x14ac:dyDescent="0.25">
      <c r="A330" t="s">
        <v>1135</v>
      </c>
      <c r="B330">
        <v>1917</v>
      </c>
      <c r="C330" t="s">
        <v>1136</v>
      </c>
      <c r="I330" t="s">
        <v>557</v>
      </c>
      <c r="J330" t="s">
        <v>1137</v>
      </c>
      <c r="K330" t="s">
        <v>1138</v>
      </c>
      <c r="L330" t="s">
        <v>391</v>
      </c>
      <c r="N330" t="s">
        <v>109</v>
      </c>
      <c r="O330" t="s">
        <v>28</v>
      </c>
      <c r="V330" t="s">
        <v>28</v>
      </c>
      <c r="W330" t="s">
        <v>28</v>
      </c>
      <c r="X330" t="s">
        <v>28</v>
      </c>
      <c r="AA330">
        <f t="shared" si="32"/>
        <v>56</v>
      </c>
    </row>
    <row r="331" spans="1:27" x14ac:dyDescent="0.25">
      <c r="A331" t="s">
        <v>1139</v>
      </c>
      <c r="B331">
        <v>1917</v>
      </c>
      <c r="C331" t="s">
        <v>1140</v>
      </c>
      <c r="I331" t="s">
        <v>31</v>
      </c>
      <c r="J331" t="s">
        <v>1141</v>
      </c>
      <c r="O331" t="s">
        <v>28</v>
      </c>
      <c r="AA331">
        <f t="shared" si="32"/>
        <v>27</v>
      </c>
    </row>
    <row r="332" spans="1:27" x14ac:dyDescent="0.25">
      <c r="A332" t="s">
        <v>1142</v>
      </c>
      <c r="B332">
        <v>1917</v>
      </c>
      <c r="C332" t="s">
        <v>1143</v>
      </c>
      <c r="D332" t="s">
        <v>19</v>
      </c>
      <c r="E332" t="s">
        <v>19</v>
      </c>
      <c r="F332" t="s">
        <v>19</v>
      </c>
      <c r="G332" t="s">
        <v>19</v>
      </c>
      <c r="H332" t="s">
        <v>19</v>
      </c>
      <c r="I332" t="s">
        <v>501</v>
      </c>
      <c r="J332" t="s">
        <v>1144</v>
      </c>
      <c r="K332" t="s">
        <v>19</v>
      </c>
      <c r="L332" t="s">
        <v>19</v>
      </c>
      <c r="M332" t="s">
        <v>19</v>
      </c>
      <c r="N332" t="s">
        <v>19</v>
      </c>
      <c r="O332" t="s">
        <v>68</v>
      </c>
      <c r="U332" t="s">
        <v>28</v>
      </c>
      <c r="Z332">
        <v>1</v>
      </c>
      <c r="AA332">
        <f t="shared" ref="AA332:AA369" si="33">LEN(C332)</f>
        <v>20</v>
      </c>
    </row>
    <row r="333" spans="1:27" x14ac:dyDescent="0.25">
      <c r="A333" t="s">
        <v>1145</v>
      </c>
      <c r="B333">
        <v>1917</v>
      </c>
      <c r="C333" t="s">
        <v>1146</v>
      </c>
      <c r="I333" t="s">
        <v>31</v>
      </c>
      <c r="J333" t="s">
        <v>1147</v>
      </c>
      <c r="O333" t="s">
        <v>133</v>
      </c>
      <c r="Q333" t="s">
        <v>28</v>
      </c>
      <c r="AA333">
        <f t="shared" ref="AA333:AA353" si="34">LEN(C333)+LEN(D333)+LEN(E333)+LEN(F333)+LEN(G333)+LEN(H333)+LEN(I333)+LEN(K333)+LEN(L333)+LEN(M333)+LEN(N333)</f>
        <v>21</v>
      </c>
    </row>
    <row r="334" spans="1:27" x14ac:dyDescent="0.25">
      <c r="A334" t="s">
        <v>1148</v>
      </c>
      <c r="B334">
        <v>1917</v>
      </c>
      <c r="C334" t="s">
        <v>1149</v>
      </c>
      <c r="I334" t="s">
        <v>225</v>
      </c>
      <c r="J334" t="s">
        <v>1150</v>
      </c>
      <c r="O334" t="s">
        <v>28</v>
      </c>
      <c r="U334" t="s">
        <v>28</v>
      </c>
      <c r="AA334">
        <f t="shared" si="34"/>
        <v>45</v>
      </c>
    </row>
    <row r="335" spans="1:27" x14ac:dyDescent="0.25">
      <c r="A335" t="s">
        <v>1151</v>
      </c>
      <c r="B335">
        <v>1917</v>
      </c>
      <c r="C335" t="s">
        <v>1152</v>
      </c>
      <c r="I335" t="s">
        <v>31</v>
      </c>
      <c r="J335" t="s">
        <v>1153</v>
      </c>
      <c r="O335" t="s">
        <v>133</v>
      </c>
      <c r="Q335" t="s">
        <v>28</v>
      </c>
      <c r="AA335">
        <f t="shared" si="34"/>
        <v>41</v>
      </c>
    </row>
    <row r="336" spans="1:27" x14ac:dyDescent="0.25">
      <c r="A336" t="s">
        <v>1154</v>
      </c>
      <c r="B336">
        <v>1917</v>
      </c>
      <c r="C336" t="s">
        <v>1155</v>
      </c>
      <c r="I336" t="s">
        <v>31</v>
      </c>
      <c r="J336" t="s">
        <v>1156</v>
      </c>
      <c r="AA336">
        <f t="shared" si="34"/>
        <v>30</v>
      </c>
    </row>
    <row r="337" spans="1:27" x14ac:dyDescent="0.25">
      <c r="A337" t="s">
        <v>1157</v>
      </c>
      <c r="B337">
        <v>1919</v>
      </c>
      <c r="C337" t="s">
        <v>1158</v>
      </c>
      <c r="I337" t="s">
        <v>144</v>
      </c>
      <c r="J337" t="s">
        <v>1159</v>
      </c>
      <c r="O337" t="s">
        <v>28</v>
      </c>
      <c r="AA337">
        <f t="shared" si="34"/>
        <v>37</v>
      </c>
    </row>
    <row r="338" spans="1:27" x14ac:dyDescent="0.25">
      <c r="A338" t="s">
        <v>1160</v>
      </c>
      <c r="B338">
        <v>1919</v>
      </c>
      <c r="C338" t="s">
        <v>1161</v>
      </c>
      <c r="I338" t="s">
        <v>1016</v>
      </c>
      <c r="J338" t="s">
        <v>1162</v>
      </c>
      <c r="O338" t="s">
        <v>28</v>
      </c>
      <c r="AA338">
        <f t="shared" si="34"/>
        <v>15</v>
      </c>
    </row>
    <row r="339" spans="1:27" x14ac:dyDescent="0.25">
      <c r="A339" t="s">
        <v>1163</v>
      </c>
      <c r="B339">
        <v>1919</v>
      </c>
      <c r="C339" t="s">
        <v>1164</v>
      </c>
      <c r="I339" t="s">
        <v>87</v>
      </c>
      <c r="J339" t="s">
        <v>1165</v>
      </c>
      <c r="O339" t="s">
        <v>28</v>
      </c>
      <c r="AA339">
        <f t="shared" si="34"/>
        <v>44</v>
      </c>
    </row>
    <row r="340" spans="1:27" x14ac:dyDescent="0.25">
      <c r="A340" t="s">
        <v>1166</v>
      </c>
      <c r="B340">
        <v>1919</v>
      </c>
      <c r="C340" t="s">
        <v>1167</v>
      </c>
      <c r="I340" t="s">
        <v>31</v>
      </c>
      <c r="J340" t="s">
        <v>1168</v>
      </c>
      <c r="O340" s="5" t="s">
        <v>28</v>
      </c>
      <c r="AA340">
        <f t="shared" si="34"/>
        <v>33</v>
      </c>
    </row>
    <row r="341" spans="1:27" x14ac:dyDescent="0.25">
      <c r="A341" t="s">
        <v>1169</v>
      </c>
      <c r="B341">
        <v>1919</v>
      </c>
      <c r="C341" t="s">
        <v>1170</v>
      </c>
      <c r="I341" t="s">
        <v>136</v>
      </c>
      <c r="J341" t="s">
        <v>1171</v>
      </c>
      <c r="K341" t="s">
        <v>1172</v>
      </c>
      <c r="L341" t="s">
        <v>28</v>
      </c>
      <c r="N341" t="s">
        <v>212</v>
      </c>
      <c r="V341" t="s">
        <v>28</v>
      </c>
      <c r="W341" t="s">
        <v>28</v>
      </c>
      <c r="X341" t="s">
        <v>28</v>
      </c>
      <c r="AA341">
        <f t="shared" si="34"/>
        <v>61</v>
      </c>
    </row>
    <row r="342" spans="1:27" x14ac:dyDescent="0.25">
      <c r="A342" t="s">
        <v>1173</v>
      </c>
      <c r="B342">
        <v>1919</v>
      </c>
      <c r="C342" t="s">
        <v>1174</v>
      </c>
      <c r="I342" t="s">
        <v>1175</v>
      </c>
      <c r="J342" t="s">
        <v>1176</v>
      </c>
      <c r="O342" s="5" t="s">
        <v>28</v>
      </c>
      <c r="U342" t="s">
        <v>28</v>
      </c>
      <c r="AA342">
        <f t="shared" si="34"/>
        <v>22</v>
      </c>
    </row>
    <row r="343" spans="1:27" x14ac:dyDescent="0.25">
      <c r="A343" t="s">
        <v>1177</v>
      </c>
      <c r="B343">
        <v>1919</v>
      </c>
      <c r="C343" t="s">
        <v>1178</v>
      </c>
      <c r="I343" t="s">
        <v>31</v>
      </c>
      <c r="J343" t="s">
        <v>1179</v>
      </c>
      <c r="O343" t="s">
        <v>28</v>
      </c>
      <c r="Q343" t="s">
        <v>28</v>
      </c>
      <c r="AA343">
        <f t="shared" si="34"/>
        <v>20</v>
      </c>
    </row>
    <row r="344" spans="1:27" x14ac:dyDescent="0.25">
      <c r="A344" t="s">
        <v>1180</v>
      </c>
      <c r="B344">
        <v>1919</v>
      </c>
      <c r="C344" t="s">
        <v>1181</v>
      </c>
      <c r="I344" t="s">
        <v>1182</v>
      </c>
      <c r="J344" t="s">
        <v>1183</v>
      </c>
      <c r="U344" t="s">
        <v>28</v>
      </c>
      <c r="AA344">
        <f t="shared" si="34"/>
        <v>45</v>
      </c>
    </row>
    <row r="345" spans="1:27" x14ac:dyDescent="0.25">
      <c r="A345" t="s">
        <v>1184</v>
      </c>
      <c r="B345">
        <v>1919</v>
      </c>
      <c r="C345" t="s">
        <v>1185</v>
      </c>
      <c r="I345" t="s">
        <v>31</v>
      </c>
      <c r="J345" t="s">
        <v>1186</v>
      </c>
      <c r="K345" t="s">
        <v>1187</v>
      </c>
      <c r="L345" t="s">
        <v>1188</v>
      </c>
      <c r="M345" t="s">
        <v>962</v>
      </c>
      <c r="N345" t="s">
        <v>109</v>
      </c>
      <c r="O345" t="s">
        <v>133</v>
      </c>
      <c r="V345" t="s">
        <v>28</v>
      </c>
      <c r="W345" t="s">
        <v>28</v>
      </c>
      <c r="X345" t="s">
        <v>28</v>
      </c>
      <c r="Y345" t="s">
        <v>28</v>
      </c>
      <c r="AA345">
        <f t="shared" si="34"/>
        <v>45</v>
      </c>
    </row>
    <row r="346" spans="1:27" x14ac:dyDescent="0.25">
      <c r="A346" t="s">
        <v>1189</v>
      </c>
      <c r="B346">
        <v>1919</v>
      </c>
      <c r="C346" t="s">
        <v>1190</v>
      </c>
      <c r="I346" t="s">
        <v>175</v>
      </c>
      <c r="J346" t="s">
        <v>1191</v>
      </c>
      <c r="O346" t="s">
        <v>28</v>
      </c>
      <c r="AA346">
        <f t="shared" si="34"/>
        <v>39</v>
      </c>
    </row>
    <row r="347" spans="1:27" x14ac:dyDescent="0.25">
      <c r="A347" t="s">
        <v>1192</v>
      </c>
      <c r="B347">
        <v>1919</v>
      </c>
      <c r="C347" t="s">
        <v>1193</v>
      </c>
      <c r="I347" t="s">
        <v>1194</v>
      </c>
      <c r="J347" t="s">
        <v>1195</v>
      </c>
      <c r="U347" t="s">
        <v>28</v>
      </c>
      <c r="AA347">
        <f t="shared" si="34"/>
        <v>78</v>
      </c>
    </row>
    <row r="348" spans="1:27" x14ac:dyDescent="0.25">
      <c r="A348" t="s">
        <v>1196</v>
      </c>
      <c r="B348">
        <v>1919</v>
      </c>
      <c r="C348" t="s">
        <v>1197</v>
      </c>
      <c r="I348" t="s">
        <v>1198</v>
      </c>
      <c r="J348" t="s">
        <v>1199</v>
      </c>
      <c r="O348" t="s">
        <v>28</v>
      </c>
      <c r="AA348">
        <f t="shared" si="34"/>
        <v>39</v>
      </c>
    </row>
    <row r="349" spans="1:27" s="4" customFormat="1" x14ac:dyDescent="0.25">
      <c r="A349" s="4" t="s">
        <v>1200</v>
      </c>
      <c r="B349" s="4">
        <v>1919</v>
      </c>
      <c r="C349" s="4" t="s">
        <v>1201</v>
      </c>
      <c r="I349" s="4" t="s">
        <v>31</v>
      </c>
      <c r="J349" s="4" t="s">
        <v>1202</v>
      </c>
      <c r="P349" s="4" t="s">
        <v>28</v>
      </c>
      <c r="AA349">
        <f t="shared" si="34"/>
        <v>14</v>
      </c>
    </row>
    <row r="350" spans="1:27" x14ac:dyDescent="0.25">
      <c r="A350" t="s">
        <v>1203</v>
      </c>
      <c r="B350">
        <v>1920</v>
      </c>
      <c r="C350" t="s">
        <v>1204</v>
      </c>
      <c r="J350" t="s">
        <v>1205</v>
      </c>
      <c r="O350" t="s">
        <v>28</v>
      </c>
      <c r="AA350">
        <f t="shared" si="34"/>
        <v>21</v>
      </c>
    </row>
    <row r="351" spans="1:27" x14ac:dyDescent="0.25">
      <c r="A351" t="s">
        <v>1206</v>
      </c>
      <c r="B351">
        <v>1920</v>
      </c>
      <c r="C351" t="s">
        <v>1207</v>
      </c>
      <c r="I351" t="s">
        <v>1208</v>
      </c>
      <c r="J351" t="s">
        <v>1209</v>
      </c>
      <c r="O351" t="s">
        <v>28</v>
      </c>
      <c r="AA351">
        <f t="shared" si="34"/>
        <v>28</v>
      </c>
    </row>
    <row r="352" spans="1:27" x14ac:dyDescent="0.25">
      <c r="A352" t="s">
        <v>1210</v>
      </c>
      <c r="B352">
        <v>1920</v>
      </c>
      <c r="C352" t="s">
        <v>1211</v>
      </c>
      <c r="I352" t="s">
        <v>31</v>
      </c>
      <c r="J352" t="s">
        <v>1212</v>
      </c>
      <c r="O352" t="s">
        <v>28</v>
      </c>
      <c r="AA352">
        <f t="shared" si="34"/>
        <v>34</v>
      </c>
    </row>
    <row r="353" spans="1:27" x14ac:dyDescent="0.25">
      <c r="A353" t="s">
        <v>1213</v>
      </c>
      <c r="B353">
        <v>1920</v>
      </c>
      <c r="C353" t="s">
        <v>1214</v>
      </c>
      <c r="I353" t="s">
        <v>43</v>
      </c>
      <c r="J353" t="s">
        <v>1215</v>
      </c>
      <c r="O353" t="s">
        <v>28</v>
      </c>
      <c r="U353" t="s">
        <v>28</v>
      </c>
      <c r="AA353">
        <f t="shared" si="34"/>
        <v>31</v>
      </c>
    </row>
    <row r="354" spans="1:27" x14ac:dyDescent="0.25">
      <c r="A354" t="s">
        <v>1216</v>
      </c>
      <c r="B354">
        <v>1920</v>
      </c>
      <c r="C354" t="s">
        <v>1217</v>
      </c>
      <c r="D354" t="s">
        <v>19</v>
      </c>
      <c r="E354" t="s">
        <v>19</v>
      </c>
      <c r="F354" t="s">
        <v>19</v>
      </c>
      <c r="G354" t="s">
        <v>19</v>
      </c>
      <c r="H354" t="s">
        <v>19</v>
      </c>
      <c r="I354" t="s">
        <v>920</v>
      </c>
      <c r="J354" t="s">
        <v>1218</v>
      </c>
      <c r="K354" t="s">
        <v>1219</v>
      </c>
      <c r="L354" t="s">
        <v>1220</v>
      </c>
      <c r="M354" t="s">
        <v>389</v>
      </c>
      <c r="N354" t="s">
        <v>109</v>
      </c>
      <c r="O354" t="s">
        <v>68</v>
      </c>
      <c r="U354" t="s">
        <v>28</v>
      </c>
      <c r="V354" t="s">
        <v>28</v>
      </c>
      <c r="W354" t="s">
        <v>28</v>
      </c>
      <c r="X354" t="s">
        <v>28</v>
      </c>
      <c r="Y354" t="s">
        <v>28</v>
      </c>
      <c r="Z354">
        <v>1</v>
      </c>
      <c r="AA354">
        <f t="shared" si="33"/>
        <v>23</v>
      </c>
    </row>
    <row r="355" spans="1:27" x14ac:dyDescent="0.25">
      <c r="A355" t="s">
        <v>1221</v>
      </c>
      <c r="B355">
        <v>1920</v>
      </c>
      <c r="C355" t="s">
        <v>1222</v>
      </c>
      <c r="I355" t="s">
        <v>182</v>
      </c>
      <c r="J355" t="s">
        <v>1223</v>
      </c>
      <c r="U355" t="s">
        <v>28</v>
      </c>
      <c r="AA355">
        <f t="shared" ref="AA355:AA365" si="35">LEN(C355)+LEN(D355)+LEN(E355)+LEN(F355)+LEN(G355)+LEN(H355)+LEN(I355)+LEN(K355)+LEN(L355)+LEN(M355)+LEN(N355)</f>
        <v>46</v>
      </c>
    </row>
    <row r="356" spans="1:27" x14ac:dyDescent="0.25">
      <c r="A356" t="s">
        <v>1224</v>
      </c>
      <c r="B356">
        <v>1920</v>
      </c>
      <c r="C356" t="s">
        <v>1047</v>
      </c>
      <c r="I356" t="s">
        <v>1225</v>
      </c>
      <c r="J356" t="s">
        <v>1226</v>
      </c>
      <c r="O356" t="s">
        <v>28</v>
      </c>
      <c r="AA356">
        <f t="shared" si="35"/>
        <v>45</v>
      </c>
    </row>
    <row r="357" spans="1:27" x14ac:dyDescent="0.25">
      <c r="A357" t="s">
        <v>1227</v>
      </c>
      <c r="B357">
        <v>1920</v>
      </c>
      <c r="C357" t="s">
        <v>1228</v>
      </c>
      <c r="I357" t="s">
        <v>31</v>
      </c>
      <c r="J357" t="s">
        <v>1229</v>
      </c>
      <c r="AA357">
        <f t="shared" si="35"/>
        <v>59</v>
      </c>
    </row>
    <row r="358" spans="1:27" x14ac:dyDescent="0.25">
      <c r="A358" t="s">
        <v>1230</v>
      </c>
      <c r="B358">
        <v>1920</v>
      </c>
      <c r="C358" t="s">
        <v>1231</v>
      </c>
      <c r="I358" t="s">
        <v>1232</v>
      </c>
      <c r="J358" t="s">
        <v>1233</v>
      </c>
      <c r="U358" t="s">
        <v>28</v>
      </c>
      <c r="AA358">
        <f t="shared" si="35"/>
        <v>37</v>
      </c>
    </row>
    <row r="359" spans="1:27" x14ac:dyDescent="0.25">
      <c r="A359" t="s">
        <v>1234</v>
      </c>
      <c r="B359">
        <v>1921</v>
      </c>
      <c r="C359" t="s">
        <v>1235</v>
      </c>
      <c r="I359" t="s">
        <v>411</v>
      </c>
      <c r="J359" t="s">
        <v>1236</v>
      </c>
      <c r="O359" t="s">
        <v>28</v>
      </c>
      <c r="AA359">
        <f t="shared" si="35"/>
        <v>40</v>
      </c>
    </row>
    <row r="360" spans="1:27" x14ac:dyDescent="0.25">
      <c r="A360" t="s">
        <v>1237</v>
      </c>
      <c r="B360">
        <v>1921</v>
      </c>
      <c r="C360" t="s">
        <v>1238</v>
      </c>
      <c r="I360" t="s">
        <v>31</v>
      </c>
      <c r="J360" t="s">
        <v>1239</v>
      </c>
      <c r="O360" t="s">
        <v>28</v>
      </c>
      <c r="U360" t="s">
        <v>28</v>
      </c>
      <c r="AA360">
        <f t="shared" si="35"/>
        <v>46</v>
      </c>
    </row>
    <row r="361" spans="1:27" x14ac:dyDescent="0.25">
      <c r="A361" t="s">
        <v>1240</v>
      </c>
      <c r="B361">
        <v>1921</v>
      </c>
      <c r="C361" t="s">
        <v>1241</v>
      </c>
      <c r="I361" t="s">
        <v>1242</v>
      </c>
      <c r="J361" t="s">
        <v>1243</v>
      </c>
      <c r="AA361">
        <f t="shared" si="35"/>
        <v>37</v>
      </c>
    </row>
    <row r="362" spans="1:27" s="4" customFormat="1" x14ac:dyDescent="0.25">
      <c r="A362" s="4" t="s">
        <v>1244</v>
      </c>
      <c r="B362" s="4">
        <v>1921</v>
      </c>
      <c r="C362" s="4" t="s">
        <v>1245</v>
      </c>
      <c r="I362" s="4" t="s">
        <v>376</v>
      </c>
      <c r="J362" s="4" t="s">
        <v>1246</v>
      </c>
      <c r="AA362">
        <f t="shared" si="35"/>
        <v>34</v>
      </c>
    </row>
    <row r="363" spans="1:27" x14ac:dyDescent="0.25">
      <c r="A363" t="s">
        <v>1247</v>
      </c>
      <c r="B363">
        <v>1921</v>
      </c>
      <c r="C363" t="s">
        <v>1248</v>
      </c>
      <c r="I363" t="s">
        <v>411</v>
      </c>
      <c r="J363" t="s">
        <v>1248</v>
      </c>
      <c r="O363" t="s">
        <v>28</v>
      </c>
      <c r="U363" t="s">
        <v>28</v>
      </c>
      <c r="AA363">
        <f t="shared" si="35"/>
        <v>22</v>
      </c>
    </row>
    <row r="364" spans="1:27" x14ac:dyDescent="0.25">
      <c r="A364" t="s">
        <v>1249</v>
      </c>
      <c r="B364">
        <v>1921</v>
      </c>
      <c r="C364" t="s">
        <v>1250</v>
      </c>
      <c r="I364" t="s">
        <v>1251</v>
      </c>
      <c r="J364" t="s">
        <v>1252</v>
      </c>
      <c r="U364" t="s">
        <v>28</v>
      </c>
      <c r="AA364">
        <f t="shared" si="35"/>
        <v>27</v>
      </c>
    </row>
    <row r="365" spans="1:27" x14ac:dyDescent="0.25">
      <c r="A365" t="s">
        <v>1253</v>
      </c>
      <c r="B365">
        <v>1921</v>
      </c>
      <c r="C365" t="s">
        <v>1254</v>
      </c>
      <c r="I365" t="s">
        <v>547</v>
      </c>
      <c r="J365" t="s">
        <v>1255</v>
      </c>
      <c r="O365" t="s">
        <v>133</v>
      </c>
      <c r="AA365">
        <f t="shared" si="35"/>
        <v>44</v>
      </c>
    </row>
    <row r="366" spans="1:27" x14ac:dyDescent="0.25">
      <c r="A366" t="s">
        <v>1256</v>
      </c>
      <c r="B366">
        <v>1921</v>
      </c>
      <c r="C366" t="s">
        <v>1257</v>
      </c>
      <c r="D366" t="s">
        <v>19</v>
      </c>
      <c r="E366" t="s">
        <v>19</v>
      </c>
      <c r="F366" t="s">
        <v>19</v>
      </c>
      <c r="G366" t="s">
        <v>19</v>
      </c>
      <c r="H366" t="s">
        <v>19</v>
      </c>
      <c r="I366" t="s">
        <v>1258</v>
      </c>
      <c r="J366" t="s">
        <v>1259</v>
      </c>
      <c r="K366" t="s">
        <v>1258</v>
      </c>
      <c r="L366" t="s">
        <v>1260</v>
      </c>
      <c r="M366" t="s">
        <v>1261</v>
      </c>
      <c r="N366" t="s">
        <v>109</v>
      </c>
      <c r="O366" t="s">
        <v>68</v>
      </c>
      <c r="U366" t="s">
        <v>28</v>
      </c>
      <c r="V366" t="s">
        <v>28</v>
      </c>
      <c r="X366" t="s">
        <v>28</v>
      </c>
      <c r="Z366">
        <v>6</v>
      </c>
      <c r="AA366">
        <f t="shared" si="33"/>
        <v>39</v>
      </c>
    </row>
    <row r="367" spans="1:27" x14ac:dyDescent="0.25">
      <c r="A367" t="s">
        <v>1256</v>
      </c>
      <c r="B367">
        <v>1921</v>
      </c>
      <c r="C367" t="s">
        <v>1257</v>
      </c>
      <c r="D367" t="s">
        <v>19</v>
      </c>
      <c r="E367" t="s">
        <v>19</v>
      </c>
      <c r="F367" t="s">
        <v>19</v>
      </c>
      <c r="G367" t="s">
        <v>19</v>
      </c>
      <c r="H367" t="s">
        <v>19</v>
      </c>
      <c r="I367" t="s">
        <v>1258</v>
      </c>
      <c r="J367" t="s">
        <v>1259</v>
      </c>
      <c r="K367" t="s">
        <v>1262</v>
      </c>
      <c r="L367" t="s">
        <v>1263</v>
      </c>
      <c r="M367" t="s">
        <v>19</v>
      </c>
      <c r="N367" t="s">
        <v>212</v>
      </c>
      <c r="O367" t="s">
        <v>68</v>
      </c>
      <c r="U367" t="s">
        <v>28</v>
      </c>
      <c r="V367" t="s">
        <v>28</v>
      </c>
      <c r="Z367">
        <v>6</v>
      </c>
      <c r="AA367">
        <f t="shared" si="33"/>
        <v>39</v>
      </c>
    </row>
    <row r="368" spans="1:27" x14ac:dyDescent="0.25">
      <c r="A368" t="s">
        <v>1256</v>
      </c>
      <c r="B368">
        <v>1921</v>
      </c>
      <c r="C368" t="s">
        <v>1257</v>
      </c>
      <c r="D368" t="s">
        <v>19</v>
      </c>
      <c r="E368" t="s">
        <v>19</v>
      </c>
      <c r="F368" t="s">
        <v>19</v>
      </c>
      <c r="G368" t="s">
        <v>19</v>
      </c>
      <c r="H368" t="s">
        <v>19</v>
      </c>
      <c r="I368" t="s">
        <v>1258</v>
      </c>
      <c r="J368" t="s">
        <v>1259</v>
      </c>
      <c r="K368" t="s">
        <v>1264</v>
      </c>
      <c r="L368" t="s">
        <v>1265</v>
      </c>
      <c r="M368" t="s">
        <v>392</v>
      </c>
      <c r="N368" t="s">
        <v>109</v>
      </c>
      <c r="O368" t="s">
        <v>68</v>
      </c>
      <c r="U368" t="s">
        <v>28</v>
      </c>
      <c r="Z368">
        <v>6</v>
      </c>
      <c r="AA368">
        <f t="shared" si="33"/>
        <v>39</v>
      </c>
    </row>
    <row r="369" spans="1:27" x14ac:dyDescent="0.25">
      <c r="A369" t="s">
        <v>1256</v>
      </c>
      <c r="B369">
        <v>1921</v>
      </c>
      <c r="C369" t="s">
        <v>1257</v>
      </c>
      <c r="D369" t="s">
        <v>19</v>
      </c>
      <c r="E369" t="s">
        <v>19</v>
      </c>
      <c r="F369" t="s">
        <v>19</v>
      </c>
      <c r="G369" t="s">
        <v>19</v>
      </c>
      <c r="H369" t="s">
        <v>19</v>
      </c>
      <c r="I369" t="s">
        <v>1258</v>
      </c>
      <c r="J369" t="s">
        <v>1259</v>
      </c>
      <c r="K369" t="s">
        <v>1266</v>
      </c>
      <c r="L369" t="s">
        <v>94</v>
      </c>
      <c r="M369" t="s">
        <v>19</v>
      </c>
      <c r="N369" t="s">
        <v>109</v>
      </c>
      <c r="O369" t="s">
        <v>68</v>
      </c>
      <c r="U369" t="s">
        <v>28</v>
      </c>
      <c r="W369" t="s">
        <v>28</v>
      </c>
      <c r="Z369">
        <v>6</v>
      </c>
      <c r="AA369">
        <f t="shared" si="33"/>
        <v>39</v>
      </c>
    </row>
    <row r="370" spans="1:27" x14ac:dyDescent="0.25">
      <c r="A370" t="s">
        <v>1267</v>
      </c>
      <c r="B370">
        <v>1921</v>
      </c>
      <c r="C370" t="s">
        <v>1268</v>
      </c>
      <c r="I370" t="s">
        <v>87</v>
      </c>
      <c r="J370" t="s">
        <v>1269</v>
      </c>
      <c r="O370" s="5" t="s">
        <v>28</v>
      </c>
      <c r="P370" t="s">
        <v>28</v>
      </c>
      <c r="AA370">
        <f t="shared" ref="AA370:AA395" si="36">LEN(C370)+LEN(D370)+LEN(E370)+LEN(F370)+LEN(G370)+LEN(H370)+LEN(I370)+LEN(K370)+LEN(L370)+LEN(M370)+LEN(N370)</f>
        <v>35</v>
      </c>
    </row>
    <row r="371" spans="1:27" x14ac:dyDescent="0.25">
      <c r="A371" t="s">
        <v>1270</v>
      </c>
      <c r="B371">
        <v>1921</v>
      </c>
      <c r="C371" t="s">
        <v>1271</v>
      </c>
      <c r="I371" t="s">
        <v>31</v>
      </c>
      <c r="J371" t="s">
        <v>1272</v>
      </c>
      <c r="O371" t="s">
        <v>28</v>
      </c>
      <c r="AA371">
        <f t="shared" si="36"/>
        <v>45</v>
      </c>
    </row>
    <row r="372" spans="1:27" x14ac:dyDescent="0.25">
      <c r="A372" t="s">
        <v>1273</v>
      </c>
      <c r="B372">
        <v>1921</v>
      </c>
      <c r="C372" t="s">
        <v>1274</v>
      </c>
      <c r="I372" t="s">
        <v>120</v>
      </c>
      <c r="J372" t="s">
        <v>1275</v>
      </c>
      <c r="K372" t="s">
        <v>1276</v>
      </c>
      <c r="L372" t="s">
        <v>566</v>
      </c>
      <c r="N372" t="s">
        <v>109</v>
      </c>
      <c r="O372" s="5" t="s">
        <v>28</v>
      </c>
      <c r="AA372">
        <f t="shared" si="36"/>
        <v>43</v>
      </c>
    </row>
    <row r="373" spans="1:27" x14ac:dyDescent="0.25">
      <c r="A373" t="s">
        <v>1273</v>
      </c>
      <c r="B373">
        <v>1921</v>
      </c>
      <c r="C373" t="s">
        <v>1274</v>
      </c>
      <c r="I373" t="s">
        <v>120</v>
      </c>
      <c r="J373" t="s">
        <v>1275</v>
      </c>
      <c r="K373" t="s">
        <v>1277</v>
      </c>
      <c r="L373" t="s">
        <v>392</v>
      </c>
      <c r="M373" t="s">
        <v>878</v>
      </c>
      <c r="N373" t="s">
        <v>109</v>
      </c>
      <c r="O373" s="5" t="s">
        <v>28</v>
      </c>
      <c r="V373" t="s">
        <v>28</v>
      </c>
      <c r="X373" t="s">
        <v>28</v>
      </c>
      <c r="AA373">
        <f t="shared" si="36"/>
        <v>40</v>
      </c>
    </row>
    <row r="374" spans="1:27" x14ac:dyDescent="0.25">
      <c r="A374" t="s">
        <v>1278</v>
      </c>
      <c r="B374">
        <v>1921</v>
      </c>
      <c r="C374" t="s">
        <v>1279</v>
      </c>
      <c r="I374" t="s">
        <v>547</v>
      </c>
      <c r="J374" t="s">
        <v>1280</v>
      </c>
      <c r="V374" t="s">
        <v>28</v>
      </c>
      <c r="AA374">
        <f t="shared" si="36"/>
        <v>34</v>
      </c>
    </row>
    <row r="375" spans="1:27" x14ac:dyDescent="0.25">
      <c r="A375" t="s">
        <v>1281</v>
      </c>
      <c r="B375">
        <v>1921</v>
      </c>
      <c r="C375" t="s">
        <v>1282</v>
      </c>
      <c r="I375" t="s">
        <v>1283</v>
      </c>
      <c r="J375" t="s">
        <v>1284</v>
      </c>
      <c r="O375" t="s">
        <v>28</v>
      </c>
      <c r="AA375">
        <f t="shared" si="36"/>
        <v>29</v>
      </c>
    </row>
    <row r="376" spans="1:27" x14ac:dyDescent="0.25">
      <c r="A376" t="s">
        <v>1285</v>
      </c>
      <c r="B376">
        <v>1921</v>
      </c>
      <c r="C376" t="s">
        <v>1286</v>
      </c>
      <c r="I376" t="s">
        <v>31</v>
      </c>
      <c r="J376" t="s">
        <v>1287</v>
      </c>
      <c r="AA376">
        <f t="shared" si="36"/>
        <v>24</v>
      </c>
    </row>
    <row r="377" spans="1:27" x14ac:dyDescent="0.25">
      <c r="A377" t="s">
        <v>1288</v>
      </c>
      <c r="B377">
        <v>1921</v>
      </c>
      <c r="C377" t="s">
        <v>1289</v>
      </c>
      <c r="I377" t="s">
        <v>1251</v>
      </c>
      <c r="J377" t="s">
        <v>1290</v>
      </c>
      <c r="O377" t="s">
        <v>28</v>
      </c>
      <c r="U377" t="s">
        <v>28</v>
      </c>
      <c r="AA377">
        <f t="shared" si="36"/>
        <v>31</v>
      </c>
    </row>
    <row r="378" spans="1:27" x14ac:dyDescent="0.25">
      <c r="A378" t="s">
        <v>1291</v>
      </c>
      <c r="B378">
        <v>1921</v>
      </c>
      <c r="C378" t="s">
        <v>1292</v>
      </c>
      <c r="I378" t="s">
        <v>31</v>
      </c>
      <c r="J378" t="s">
        <v>1293</v>
      </c>
      <c r="O378" t="s">
        <v>28</v>
      </c>
      <c r="AA378">
        <f t="shared" si="36"/>
        <v>35</v>
      </c>
    </row>
    <row r="379" spans="1:27" x14ac:dyDescent="0.25">
      <c r="A379" t="s">
        <v>1294</v>
      </c>
      <c r="B379">
        <v>1922</v>
      </c>
      <c r="C379" t="s">
        <v>826</v>
      </c>
      <c r="D379">
        <v>13286094</v>
      </c>
      <c r="I379" t="s">
        <v>31</v>
      </c>
      <c r="J379" t="s">
        <v>1295</v>
      </c>
      <c r="O379" s="5" t="s">
        <v>28</v>
      </c>
      <c r="AA379">
        <f t="shared" si="36"/>
        <v>50</v>
      </c>
    </row>
    <row r="380" spans="1:27" s="4" customFormat="1" x14ac:dyDescent="0.25">
      <c r="A380" s="4" t="s">
        <v>1296</v>
      </c>
      <c r="B380" s="4">
        <v>1922</v>
      </c>
      <c r="C380" s="4" t="s">
        <v>1297</v>
      </c>
      <c r="I380" s="4" t="s">
        <v>580</v>
      </c>
      <c r="J380" s="4" t="s">
        <v>1298</v>
      </c>
      <c r="AA380">
        <f t="shared" si="36"/>
        <v>42</v>
      </c>
    </row>
    <row r="381" spans="1:27" x14ac:dyDescent="0.25">
      <c r="A381" t="s">
        <v>1299</v>
      </c>
      <c r="B381">
        <v>1922</v>
      </c>
      <c r="C381" t="s">
        <v>1300</v>
      </c>
      <c r="I381" t="s">
        <v>1301</v>
      </c>
      <c r="J381" t="s">
        <v>1302</v>
      </c>
      <c r="K381" t="s">
        <v>1303</v>
      </c>
      <c r="L381" t="s">
        <v>1301</v>
      </c>
      <c r="N381" t="s">
        <v>109</v>
      </c>
      <c r="O381" t="s">
        <v>28</v>
      </c>
      <c r="V381" t="s">
        <v>28</v>
      </c>
      <c r="W381" t="s">
        <v>28</v>
      </c>
      <c r="Y381" t="s">
        <v>28</v>
      </c>
      <c r="AA381">
        <f t="shared" si="36"/>
        <v>44</v>
      </c>
    </row>
    <row r="382" spans="1:27" x14ac:dyDescent="0.25">
      <c r="A382" t="s">
        <v>1304</v>
      </c>
      <c r="B382">
        <v>1922</v>
      </c>
      <c r="C382" t="s">
        <v>1305</v>
      </c>
      <c r="I382" t="s">
        <v>31</v>
      </c>
      <c r="J382" t="s">
        <v>1306</v>
      </c>
      <c r="AA382">
        <f t="shared" si="36"/>
        <v>25</v>
      </c>
    </row>
    <row r="383" spans="1:27" x14ac:dyDescent="0.25">
      <c r="A383" t="s">
        <v>1307</v>
      </c>
      <c r="B383">
        <v>1922</v>
      </c>
      <c r="C383" t="s">
        <v>1308</v>
      </c>
      <c r="I383" t="s">
        <v>31</v>
      </c>
      <c r="J383" t="s">
        <v>1309</v>
      </c>
      <c r="O383" t="s">
        <v>28</v>
      </c>
      <c r="AA383">
        <f t="shared" si="36"/>
        <v>19</v>
      </c>
    </row>
    <row r="384" spans="1:27" x14ac:dyDescent="0.25">
      <c r="A384" t="s">
        <v>1310</v>
      </c>
      <c r="B384">
        <v>1922</v>
      </c>
      <c r="C384" t="s">
        <v>1311</v>
      </c>
      <c r="I384" t="s">
        <v>175</v>
      </c>
      <c r="J384" t="s">
        <v>1312</v>
      </c>
      <c r="O384" t="s">
        <v>28</v>
      </c>
      <c r="AA384">
        <f t="shared" si="36"/>
        <v>41</v>
      </c>
    </row>
    <row r="385" spans="1:27" x14ac:dyDescent="0.25">
      <c r="A385" t="s">
        <v>1313</v>
      </c>
      <c r="B385">
        <v>1922</v>
      </c>
      <c r="C385" t="s">
        <v>1314</v>
      </c>
      <c r="I385" t="s">
        <v>557</v>
      </c>
      <c r="J385" t="s">
        <v>1315</v>
      </c>
      <c r="O385" t="s">
        <v>28</v>
      </c>
      <c r="R385" t="s">
        <v>28</v>
      </c>
      <c r="AA385">
        <f t="shared" si="36"/>
        <v>29</v>
      </c>
    </row>
    <row r="386" spans="1:27" x14ac:dyDescent="0.25">
      <c r="A386" t="s">
        <v>1316</v>
      </c>
      <c r="B386">
        <v>1922</v>
      </c>
      <c r="C386" t="s">
        <v>1317</v>
      </c>
      <c r="I386" t="s">
        <v>983</v>
      </c>
      <c r="J386" t="s">
        <v>1318</v>
      </c>
      <c r="O386" s="5" t="s">
        <v>28</v>
      </c>
      <c r="AA386">
        <f t="shared" si="36"/>
        <v>38</v>
      </c>
    </row>
    <row r="387" spans="1:27" x14ac:dyDescent="0.25">
      <c r="A387" t="s">
        <v>1319</v>
      </c>
      <c r="B387">
        <v>1922</v>
      </c>
      <c r="C387" t="s">
        <v>1320</v>
      </c>
      <c r="I387" t="s">
        <v>31</v>
      </c>
      <c r="J387" t="s">
        <v>1321</v>
      </c>
      <c r="O387" t="s">
        <v>28</v>
      </c>
      <c r="AA387">
        <f t="shared" si="36"/>
        <v>21</v>
      </c>
    </row>
    <row r="388" spans="1:27" s="4" customFormat="1" x14ac:dyDescent="0.25">
      <c r="A388" s="4" t="s">
        <v>1322</v>
      </c>
      <c r="B388" s="4">
        <v>1922</v>
      </c>
      <c r="C388" s="4" t="s">
        <v>1323</v>
      </c>
      <c r="I388" s="4" t="s">
        <v>359</v>
      </c>
      <c r="J388" s="4" t="s">
        <v>1324</v>
      </c>
      <c r="AA388">
        <f t="shared" si="36"/>
        <v>32</v>
      </c>
    </row>
    <row r="389" spans="1:27" x14ac:dyDescent="0.25">
      <c r="A389" t="s">
        <v>1325</v>
      </c>
      <c r="B389">
        <v>1922</v>
      </c>
      <c r="C389" t="s">
        <v>1326</v>
      </c>
      <c r="I389" t="s">
        <v>1327</v>
      </c>
      <c r="J389" t="s">
        <v>1328</v>
      </c>
      <c r="AA389">
        <f t="shared" si="36"/>
        <v>50</v>
      </c>
    </row>
    <row r="390" spans="1:27" s="4" customFormat="1" x14ac:dyDescent="0.25">
      <c r="A390" s="4" t="s">
        <v>1329</v>
      </c>
      <c r="B390" s="4">
        <v>1922</v>
      </c>
      <c r="C390" s="4" t="s">
        <v>1330</v>
      </c>
      <c r="I390" s="4" t="s">
        <v>473</v>
      </c>
      <c r="J390" s="4" t="s">
        <v>1331</v>
      </c>
      <c r="AA390">
        <f t="shared" si="36"/>
        <v>46</v>
      </c>
    </row>
    <row r="391" spans="1:27" x14ac:dyDescent="0.25">
      <c r="A391" t="s">
        <v>1332</v>
      </c>
      <c r="B391">
        <v>1922</v>
      </c>
      <c r="C391" t="s">
        <v>1333</v>
      </c>
      <c r="I391" t="s">
        <v>144</v>
      </c>
      <c r="J391" t="s">
        <v>1334</v>
      </c>
      <c r="K391" t="s">
        <v>1335</v>
      </c>
      <c r="L391" t="s">
        <v>392</v>
      </c>
      <c r="M391" t="s">
        <v>391</v>
      </c>
      <c r="N391" t="s">
        <v>109</v>
      </c>
      <c r="V391" t="s">
        <v>28</v>
      </c>
      <c r="AA391">
        <f t="shared" si="36"/>
        <v>57</v>
      </c>
    </row>
    <row r="392" spans="1:27" x14ac:dyDescent="0.25">
      <c r="A392" t="s">
        <v>1332</v>
      </c>
      <c r="B392">
        <v>1922</v>
      </c>
      <c r="C392" t="s">
        <v>1333</v>
      </c>
      <c r="I392" t="s">
        <v>144</v>
      </c>
      <c r="J392" t="s">
        <v>1334</v>
      </c>
      <c r="K392" t="s">
        <v>497</v>
      </c>
      <c r="L392" t="s">
        <v>23</v>
      </c>
      <c r="N392" t="s">
        <v>212</v>
      </c>
      <c r="X392" t="s">
        <v>28</v>
      </c>
      <c r="AA392">
        <f t="shared" si="36"/>
        <v>55</v>
      </c>
    </row>
    <row r="393" spans="1:27" x14ac:dyDescent="0.25">
      <c r="A393" t="s">
        <v>1336</v>
      </c>
      <c r="B393">
        <v>1922</v>
      </c>
      <c r="C393" t="s">
        <v>1337</v>
      </c>
      <c r="I393" t="s">
        <v>547</v>
      </c>
      <c r="J393" t="s">
        <v>1338</v>
      </c>
      <c r="O393" t="s">
        <v>28</v>
      </c>
      <c r="U393" t="s">
        <v>28</v>
      </c>
      <c r="AA393">
        <f t="shared" si="36"/>
        <v>38</v>
      </c>
    </row>
    <row r="394" spans="1:27" x14ac:dyDescent="0.25">
      <c r="A394" t="s">
        <v>1339</v>
      </c>
      <c r="B394">
        <v>1922</v>
      </c>
      <c r="C394" t="s">
        <v>1231</v>
      </c>
      <c r="G394" t="s">
        <v>1340</v>
      </c>
      <c r="I394" t="s">
        <v>1340</v>
      </c>
      <c r="J394" t="s">
        <v>1341</v>
      </c>
      <c r="O394" t="s">
        <v>28</v>
      </c>
      <c r="S394" t="s">
        <v>28</v>
      </c>
      <c r="U394" t="s">
        <v>28</v>
      </c>
      <c r="AA394">
        <f t="shared" si="36"/>
        <v>52</v>
      </c>
    </row>
    <row r="395" spans="1:27" x14ac:dyDescent="0.25">
      <c r="A395" t="s">
        <v>1342</v>
      </c>
      <c r="B395">
        <v>1923</v>
      </c>
      <c r="C395" t="s">
        <v>1343</v>
      </c>
      <c r="I395" t="s">
        <v>31</v>
      </c>
      <c r="J395" t="s">
        <v>1344</v>
      </c>
      <c r="AA395">
        <f t="shared" si="36"/>
        <v>36</v>
      </c>
    </row>
    <row r="396" spans="1:27" x14ac:dyDescent="0.25">
      <c r="A396" t="s">
        <v>1345</v>
      </c>
      <c r="B396">
        <v>1923</v>
      </c>
      <c r="C396" t="s">
        <v>1346</v>
      </c>
      <c r="D396" t="s">
        <v>19</v>
      </c>
      <c r="E396" t="s">
        <v>19</v>
      </c>
      <c r="F396" t="s">
        <v>19</v>
      </c>
      <c r="G396" t="s">
        <v>19</v>
      </c>
      <c r="H396" t="s">
        <v>19</v>
      </c>
      <c r="I396" t="s">
        <v>983</v>
      </c>
      <c r="J396" t="s">
        <v>1347</v>
      </c>
      <c r="K396" t="s">
        <v>19</v>
      </c>
      <c r="L396" t="s">
        <v>19</v>
      </c>
      <c r="M396" t="s">
        <v>19</v>
      </c>
      <c r="N396" t="s">
        <v>19</v>
      </c>
      <c r="O396" t="s">
        <v>68</v>
      </c>
      <c r="U396" t="s">
        <v>28</v>
      </c>
      <c r="Z396">
        <v>2</v>
      </c>
      <c r="AA396">
        <f t="shared" ref="AA396:AA399" si="37">LEN(C396)</f>
        <v>28</v>
      </c>
    </row>
    <row r="397" spans="1:27" x14ac:dyDescent="0.25">
      <c r="A397" t="s">
        <v>1348</v>
      </c>
      <c r="B397">
        <v>1923</v>
      </c>
      <c r="C397" t="s">
        <v>826</v>
      </c>
      <c r="I397" t="s">
        <v>144</v>
      </c>
      <c r="J397" t="s">
        <v>1349</v>
      </c>
      <c r="O397" s="5" t="s">
        <v>28</v>
      </c>
      <c r="AA397">
        <f t="shared" ref="AA397:AA398" si="38">LEN(C397)+LEN(D397)+LEN(E397)+LEN(F397)+LEN(G397)+LEN(H397)+LEN(I397)+LEN(K397)+LEN(L397)+LEN(M397)+LEN(N397)</f>
        <v>45</v>
      </c>
    </row>
    <row r="398" spans="1:27" x14ac:dyDescent="0.25">
      <c r="A398" t="s">
        <v>1350</v>
      </c>
      <c r="B398">
        <v>1923</v>
      </c>
      <c r="C398" t="s">
        <v>1351</v>
      </c>
      <c r="I398" t="s">
        <v>31</v>
      </c>
      <c r="J398" t="s">
        <v>1352</v>
      </c>
      <c r="K398" t="s">
        <v>1353</v>
      </c>
      <c r="L398" t="s">
        <v>1354</v>
      </c>
      <c r="N398" t="s">
        <v>1355</v>
      </c>
      <c r="O398" t="s">
        <v>28</v>
      </c>
      <c r="V398" t="s">
        <v>28</v>
      </c>
      <c r="X398" t="s">
        <v>28</v>
      </c>
      <c r="AA398">
        <f t="shared" si="38"/>
        <v>56</v>
      </c>
    </row>
    <row r="399" spans="1:27" x14ac:dyDescent="0.25">
      <c r="A399" t="s">
        <v>1356</v>
      </c>
      <c r="B399">
        <v>1923</v>
      </c>
      <c r="C399" t="s">
        <v>417</v>
      </c>
      <c r="D399" t="s">
        <v>19</v>
      </c>
      <c r="E399" t="s">
        <v>19</v>
      </c>
      <c r="F399" t="s">
        <v>19</v>
      </c>
      <c r="G399" t="s">
        <v>19</v>
      </c>
      <c r="H399" t="s">
        <v>19</v>
      </c>
      <c r="I399" t="s">
        <v>31</v>
      </c>
      <c r="J399" t="s">
        <v>1357</v>
      </c>
      <c r="K399" t="s">
        <v>19</v>
      </c>
      <c r="L399" t="s">
        <v>19</v>
      </c>
      <c r="M399" t="s">
        <v>19</v>
      </c>
      <c r="N399" t="s">
        <v>19</v>
      </c>
      <c r="O399" t="s">
        <v>68</v>
      </c>
      <c r="Z399">
        <v>1</v>
      </c>
      <c r="AA399">
        <f t="shared" si="37"/>
        <v>56</v>
      </c>
    </row>
    <row r="400" spans="1:27" x14ac:dyDescent="0.25">
      <c r="A400" t="s">
        <v>1358</v>
      </c>
      <c r="B400">
        <v>1923</v>
      </c>
      <c r="C400" t="s">
        <v>1359</v>
      </c>
      <c r="I400" t="s">
        <v>116</v>
      </c>
      <c r="J400" t="s">
        <v>1360</v>
      </c>
      <c r="O400" t="s">
        <v>28</v>
      </c>
      <c r="AA400">
        <f t="shared" ref="AA400:AA410" si="39">LEN(C400)+LEN(D400)+LEN(E400)+LEN(F400)+LEN(G400)+LEN(H400)+LEN(I400)+LEN(K400)+LEN(L400)+LEN(M400)+LEN(N400)</f>
        <v>45</v>
      </c>
    </row>
    <row r="401" spans="1:27" x14ac:dyDescent="0.25">
      <c r="A401" t="s">
        <v>1361</v>
      </c>
      <c r="B401">
        <v>1923</v>
      </c>
      <c r="C401" t="s">
        <v>1362</v>
      </c>
      <c r="I401" t="s">
        <v>91</v>
      </c>
      <c r="J401" t="s">
        <v>1363</v>
      </c>
      <c r="O401" s="5" t="s">
        <v>133</v>
      </c>
      <c r="AA401">
        <f t="shared" si="39"/>
        <v>34</v>
      </c>
    </row>
    <row r="402" spans="1:27" x14ac:dyDescent="0.25">
      <c r="A402" t="s">
        <v>1364</v>
      </c>
      <c r="B402">
        <v>1923</v>
      </c>
      <c r="C402" t="s">
        <v>1365</v>
      </c>
      <c r="I402" t="s">
        <v>31</v>
      </c>
      <c r="J402" t="s">
        <v>1366</v>
      </c>
      <c r="O402" t="s">
        <v>28</v>
      </c>
      <c r="AA402">
        <f t="shared" si="39"/>
        <v>47</v>
      </c>
    </row>
    <row r="403" spans="1:27" x14ac:dyDescent="0.25">
      <c r="A403" t="s">
        <v>1367</v>
      </c>
      <c r="B403">
        <v>1923</v>
      </c>
      <c r="C403" t="s">
        <v>1368</v>
      </c>
      <c r="I403" t="s">
        <v>31</v>
      </c>
      <c r="J403" t="s">
        <v>1369</v>
      </c>
      <c r="O403" t="s">
        <v>133</v>
      </c>
      <c r="AA403">
        <f t="shared" si="39"/>
        <v>27</v>
      </c>
    </row>
    <row r="404" spans="1:27" x14ac:dyDescent="0.25">
      <c r="A404" t="s">
        <v>1370</v>
      </c>
      <c r="B404">
        <v>1923</v>
      </c>
      <c r="C404" t="s">
        <v>1371</v>
      </c>
      <c r="I404" t="s">
        <v>580</v>
      </c>
      <c r="J404" t="s">
        <v>1372</v>
      </c>
      <c r="AA404">
        <f t="shared" si="39"/>
        <v>28</v>
      </c>
    </row>
    <row r="405" spans="1:27" x14ac:dyDescent="0.25">
      <c r="A405" t="s">
        <v>1373</v>
      </c>
      <c r="B405">
        <v>1923</v>
      </c>
      <c r="C405" t="s">
        <v>1374</v>
      </c>
      <c r="I405" t="s">
        <v>433</v>
      </c>
      <c r="J405" t="s">
        <v>1375</v>
      </c>
      <c r="AA405">
        <f t="shared" si="39"/>
        <v>23</v>
      </c>
    </row>
    <row r="406" spans="1:27" x14ac:dyDescent="0.25">
      <c r="A406" t="s">
        <v>1376</v>
      </c>
      <c r="B406">
        <v>1923</v>
      </c>
      <c r="C406" t="s">
        <v>1377</v>
      </c>
      <c r="I406" t="s">
        <v>39</v>
      </c>
      <c r="J406" t="s">
        <v>1378</v>
      </c>
      <c r="O406" t="s">
        <v>28</v>
      </c>
      <c r="AA406">
        <f t="shared" si="39"/>
        <v>50</v>
      </c>
    </row>
    <row r="407" spans="1:27" s="4" customFormat="1" x14ac:dyDescent="0.25">
      <c r="A407" s="4" t="s">
        <v>1379</v>
      </c>
      <c r="B407" s="4">
        <v>1923</v>
      </c>
      <c r="C407" s="4" t="s">
        <v>1380</v>
      </c>
      <c r="I407" s="4" t="s">
        <v>1381</v>
      </c>
      <c r="J407" s="4" t="s">
        <v>1382</v>
      </c>
      <c r="AA407">
        <f t="shared" si="39"/>
        <v>25</v>
      </c>
    </row>
    <row r="408" spans="1:27" x14ac:dyDescent="0.25">
      <c r="A408" t="s">
        <v>1383</v>
      </c>
      <c r="B408">
        <v>1923</v>
      </c>
      <c r="C408" t="s">
        <v>1043</v>
      </c>
      <c r="I408" t="s">
        <v>31</v>
      </c>
      <c r="J408" t="s">
        <v>1384</v>
      </c>
      <c r="O408" t="s">
        <v>28</v>
      </c>
      <c r="AA408">
        <f t="shared" si="39"/>
        <v>45</v>
      </c>
    </row>
    <row r="409" spans="1:27" x14ac:dyDescent="0.25">
      <c r="A409" t="s">
        <v>1385</v>
      </c>
      <c r="B409">
        <v>1923</v>
      </c>
      <c r="C409" t="s">
        <v>1386</v>
      </c>
      <c r="I409" t="s">
        <v>116</v>
      </c>
      <c r="J409" t="s">
        <v>1387</v>
      </c>
      <c r="K409" t="s">
        <v>1388</v>
      </c>
      <c r="L409" t="s">
        <v>1389</v>
      </c>
      <c r="M409" t="s">
        <v>1390</v>
      </c>
      <c r="N409" t="s">
        <v>880</v>
      </c>
      <c r="O409" t="s">
        <v>28</v>
      </c>
      <c r="U409" t="s">
        <v>28</v>
      </c>
      <c r="V409" t="s">
        <v>28</v>
      </c>
      <c r="X409" t="s">
        <v>28</v>
      </c>
      <c r="AA409">
        <f t="shared" si="39"/>
        <v>56</v>
      </c>
    </row>
    <row r="410" spans="1:27" x14ac:dyDescent="0.25">
      <c r="A410" t="s">
        <v>1391</v>
      </c>
      <c r="B410">
        <v>1923</v>
      </c>
      <c r="C410" t="s">
        <v>1392</v>
      </c>
      <c r="I410" t="s">
        <v>31</v>
      </c>
      <c r="J410" t="s">
        <v>1393</v>
      </c>
      <c r="O410" t="s">
        <v>28</v>
      </c>
      <c r="AA410">
        <f t="shared" si="39"/>
        <v>42</v>
      </c>
    </row>
    <row r="411" spans="1:27" x14ac:dyDescent="0.25">
      <c r="O411">
        <f>COUNTIF(O2:O410, "f") + COUNTIF(O2:O410, "a") + COUNTIF(O2:O410, "b") + COUNTIF(O2:O410, "a/b")</f>
        <v>230</v>
      </c>
      <c r="P411">
        <f t="shared" ref="P411:Y411" si="40">COUNTIF(P2:P410, "f") + COUNTIF(P2:P410, "a") + COUNTIF(P2:P410, "b") + COUNTIF(P2:P410, "a/b")</f>
        <v>3</v>
      </c>
      <c r="Q411">
        <f t="shared" si="40"/>
        <v>7</v>
      </c>
      <c r="R411">
        <f t="shared" si="40"/>
        <v>3</v>
      </c>
      <c r="S411">
        <f t="shared" si="40"/>
        <v>1</v>
      </c>
      <c r="T411">
        <f t="shared" si="40"/>
        <v>0</v>
      </c>
      <c r="U411">
        <f t="shared" si="40"/>
        <v>99</v>
      </c>
      <c r="V411">
        <f t="shared" si="40"/>
        <v>46</v>
      </c>
      <c r="W411">
        <f t="shared" si="40"/>
        <v>24</v>
      </c>
      <c r="X411">
        <f t="shared" si="40"/>
        <v>34</v>
      </c>
      <c r="Y411">
        <f t="shared" si="40"/>
        <v>14</v>
      </c>
      <c r="Z411">
        <v>217</v>
      </c>
      <c r="AA411">
        <f>SUM(AA2:AA410)</f>
        <v>15603</v>
      </c>
    </row>
    <row r="412" spans="1:27" x14ac:dyDescent="0.25">
      <c r="O412">
        <f>1-(O411/409)</f>
        <v>0.43765281173594128</v>
      </c>
      <c r="P412">
        <f t="shared" ref="P412:Y412" si="41">1-(P411/409)</f>
        <v>0.99266503667481665</v>
      </c>
      <c r="Q412">
        <f t="shared" si="41"/>
        <v>0.9828850855745721</v>
      </c>
      <c r="R412">
        <f t="shared" si="41"/>
        <v>0.99266503667481665</v>
      </c>
      <c r="S412">
        <f t="shared" si="41"/>
        <v>0.99755501222493892</v>
      </c>
      <c r="T412">
        <f t="shared" si="41"/>
        <v>1</v>
      </c>
      <c r="U412">
        <f t="shared" si="41"/>
        <v>0.75794621026894871</v>
      </c>
      <c r="V412">
        <f t="shared" si="41"/>
        <v>0.8875305623471883</v>
      </c>
      <c r="W412">
        <f t="shared" si="41"/>
        <v>0.94132029339853296</v>
      </c>
      <c r="X412">
        <f t="shared" si="41"/>
        <v>0.91687041564792171</v>
      </c>
      <c r="Y412">
        <f t="shared" si="41"/>
        <v>0.96577017114914421</v>
      </c>
      <c r="Z412" s="11">
        <f>Z411/AA411</f>
        <v>1.3907581875280395E-2</v>
      </c>
    </row>
  </sheetData>
  <mergeCells count="2">
    <mergeCell ref="AB15:AC15"/>
    <mergeCell ref="AB16:AC16"/>
  </mergeCells>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84AB3-A021-4CC4-8BA9-01078654C502}">
  <dimension ref="A1:AC387"/>
  <sheetViews>
    <sheetView topLeftCell="B1" zoomScale="85" zoomScaleNormal="85" workbookViewId="0">
      <pane ySplit="1" topLeftCell="A353" activePane="bottomLeft" state="frozen"/>
      <selection activeCell="B1" sqref="B1"/>
      <selection pane="bottomLeft" activeCell="G13" sqref="G13"/>
    </sheetView>
  </sheetViews>
  <sheetFormatPr defaultRowHeight="15" x14ac:dyDescent="0.25"/>
  <sheetData>
    <row r="1" spans="1:29" x14ac:dyDescent="0.25">
      <c r="A1" t="s">
        <v>0</v>
      </c>
      <c r="B1" t="s">
        <v>1</v>
      </c>
      <c r="C1" t="s">
        <v>2</v>
      </c>
      <c r="D1" t="s">
        <v>1394</v>
      </c>
      <c r="E1" t="s">
        <v>4</v>
      </c>
      <c r="F1" t="s">
        <v>1395</v>
      </c>
      <c r="G1" t="s">
        <v>1396</v>
      </c>
      <c r="H1" t="s">
        <v>8</v>
      </c>
      <c r="I1" t="s">
        <v>9</v>
      </c>
      <c r="J1" t="s">
        <v>10</v>
      </c>
      <c r="K1" t="s">
        <v>11</v>
      </c>
      <c r="L1" t="s">
        <v>12</v>
      </c>
      <c r="M1" t="s">
        <v>13</v>
      </c>
      <c r="N1" t="s">
        <v>2</v>
      </c>
      <c r="O1" t="s">
        <v>1394</v>
      </c>
      <c r="P1" t="s">
        <v>4</v>
      </c>
      <c r="Q1" t="s">
        <v>1395</v>
      </c>
      <c r="R1" t="s">
        <v>1396</v>
      </c>
      <c r="S1" t="s">
        <v>8</v>
      </c>
      <c r="T1" t="s">
        <v>9</v>
      </c>
      <c r="U1" t="s">
        <v>10</v>
      </c>
      <c r="V1" t="s">
        <v>11</v>
      </c>
      <c r="W1" t="s">
        <v>12</v>
      </c>
      <c r="X1" t="s">
        <v>13</v>
      </c>
      <c r="Y1" t="s">
        <v>6906</v>
      </c>
      <c r="Z1" t="s">
        <v>6909</v>
      </c>
      <c r="AA1" t="s">
        <v>14</v>
      </c>
      <c r="AB1" t="s">
        <v>15</v>
      </c>
      <c r="AC1" t="s">
        <v>16</v>
      </c>
    </row>
    <row r="2" spans="1:29" x14ac:dyDescent="0.25">
      <c r="A2" t="s">
        <v>1397</v>
      </c>
      <c r="B2">
        <v>1907</v>
      </c>
      <c r="C2" t="s">
        <v>1398</v>
      </c>
      <c r="E2" t="s">
        <v>1399</v>
      </c>
      <c r="H2" t="s">
        <v>1400</v>
      </c>
      <c r="I2" t="s">
        <v>1401</v>
      </c>
      <c r="J2" t="s">
        <v>1402</v>
      </c>
      <c r="K2" t="s">
        <v>952</v>
      </c>
      <c r="L2" t="s">
        <v>1403</v>
      </c>
      <c r="M2" t="s">
        <v>1404</v>
      </c>
      <c r="Z2">
        <f>LEN(C2)+LEN(D2)+LEN(E2)+LEN(F2)+LEN(G2)+LEN(H2)+LEN(J2)+LEN(K2)+LEN(L2)+LEN(M2)</f>
        <v>87</v>
      </c>
      <c r="AA2" t="s">
        <v>15</v>
      </c>
      <c r="AB2" t="s">
        <v>22</v>
      </c>
      <c r="AC2" t="s">
        <v>23</v>
      </c>
    </row>
    <row r="3" spans="1:29" x14ac:dyDescent="0.25">
      <c r="A3" t="s">
        <v>1405</v>
      </c>
      <c r="B3">
        <v>1907</v>
      </c>
      <c r="C3" t="s">
        <v>1406</v>
      </c>
      <c r="H3" t="s">
        <v>1407</v>
      </c>
      <c r="I3" t="s">
        <v>1408</v>
      </c>
      <c r="P3" t="s">
        <v>28</v>
      </c>
      <c r="Z3">
        <f t="shared" ref="Z3:Z66" si="0">LEN(C3)+LEN(D3)+LEN(E3)+LEN(F3)+LEN(G3)+LEN(H3)+LEN(J3)+LEN(K3)+LEN(L3)+LEN(M3)</f>
        <v>56</v>
      </c>
      <c r="AA3" t="s">
        <v>16</v>
      </c>
      <c r="AB3" t="s">
        <v>23</v>
      </c>
      <c r="AC3" t="s">
        <v>22</v>
      </c>
    </row>
    <row r="4" spans="1:29" x14ac:dyDescent="0.25">
      <c r="A4" t="s">
        <v>1409</v>
      </c>
      <c r="B4">
        <v>1907</v>
      </c>
      <c r="C4" t="s">
        <v>1410</v>
      </c>
      <c r="I4" t="s">
        <v>1410</v>
      </c>
      <c r="Z4">
        <f t="shared" si="0"/>
        <v>28</v>
      </c>
    </row>
    <row r="5" spans="1:29" x14ac:dyDescent="0.25">
      <c r="A5" t="s">
        <v>1411</v>
      </c>
      <c r="B5">
        <v>1907</v>
      </c>
      <c r="C5" t="s">
        <v>1412</v>
      </c>
      <c r="I5" t="s">
        <v>1413</v>
      </c>
      <c r="N5" t="s">
        <v>28</v>
      </c>
      <c r="Z5">
        <f t="shared" si="0"/>
        <v>37</v>
      </c>
      <c r="AA5" t="s">
        <v>36</v>
      </c>
    </row>
    <row r="6" spans="1:29" x14ac:dyDescent="0.25">
      <c r="A6" t="s">
        <v>1414</v>
      </c>
      <c r="B6">
        <v>1907</v>
      </c>
      <c r="C6" t="s">
        <v>1415</v>
      </c>
      <c r="I6" t="s">
        <v>1416</v>
      </c>
      <c r="N6" t="s">
        <v>28</v>
      </c>
      <c r="Z6">
        <f t="shared" si="0"/>
        <v>49</v>
      </c>
      <c r="AA6" t="s">
        <v>14</v>
      </c>
      <c r="AB6" t="s">
        <v>15</v>
      </c>
      <c r="AC6" t="s">
        <v>16</v>
      </c>
    </row>
    <row r="7" spans="1:29" x14ac:dyDescent="0.25">
      <c r="A7" t="s">
        <v>1417</v>
      </c>
      <c r="B7">
        <v>1907</v>
      </c>
      <c r="C7" t="s">
        <v>1418</v>
      </c>
      <c r="I7" t="s">
        <v>1419</v>
      </c>
      <c r="N7" s="5" t="s">
        <v>28</v>
      </c>
      <c r="Z7">
        <f t="shared" si="0"/>
        <v>40</v>
      </c>
      <c r="AA7" t="s">
        <v>15</v>
      </c>
      <c r="AC7" t="s">
        <v>23</v>
      </c>
    </row>
    <row r="8" spans="1:29" x14ac:dyDescent="0.25">
      <c r="A8" t="s">
        <v>1420</v>
      </c>
      <c r="B8">
        <v>1907</v>
      </c>
      <c r="C8" t="s">
        <v>1421</v>
      </c>
      <c r="I8" t="s">
        <v>1421</v>
      </c>
      <c r="Z8">
        <f t="shared" si="0"/>
        <v>47</v>
      </c>
      <c r="AA8" t="s">
        <v>16</v>
      </c>
      <c r="AB8" t="s">
        <v>23</v>
      </c>
    </row>
    <row r="9" spans="1:29" x14ac:dyDescent="0.25">
      <c r="A9" t="s">
        <v>1422</v>
      </c>
      <c r="B9">
        <v>1907</v>
      </c>
      <c r="C9" t="s">
        <v>1423</v>
      </c>
      <c r="I9" t="s">
        <v>1423</v>
      </c>
      <c r="Z9">
        <f t="shared" si="0"/>
        <v>54</v>
      </c>
    </row>
    <row r="10" spans="1:29" x14ac:dyDescent="0.25">
      <c r="A10" t="s">
        <v>1424</v>
      </c>
      <c r="B10">
        <v>1907</v>
      </c>
      <c r="C10" t="s">
        <v>1425</v>
      </c>
      <c r="I10" t="s">
        <v>1426</v>
      </c>
      <c r="Z10">
        <f t="shared" si="0"/>
        <v>48</v>
      </c>
      <c r="AA10" t="s">
        <v>57</v>
      </c>
    </row>
    <row r="11" spans="1:29" x14ac:dyDescent="0.25">
      <c r="A11" t="s">
        <v>1427</v>
      </c>
      <c r="B11">
        <v>1907</v>
      </c>
      <c r="C11" t="s">
        <v>1428</v>
      </c>
      <c r="I11" t="s">
        <v>1429</v>
      </c>
      <c r="J11" t="s">
        <v>1430</v>
      </c>
      <c r="K11" t="s">
        <v>68</v>
      </c>
      <c r="L11" t="s">
        <v>878</v>
      </c>
      <c r="M11" t="s">
        <v>1431</v>
      </c>
      <c r="U11" t="s">
        <v>28</v>
      </c>
      <c r="V11" t="s">
        <v>28</v>
      </c>
      <c r="W11" t="s">
        <v>28</v>
      </c>
      <c r="Z11">
        <f t="shared" si="0"/>
        <v>42</v>
      </c>
      <c r="AA11" t="s">
        <v>62</v>
      </c>
    </row>
    <row r="12" spans="1:29" x14ac:dyDescent="0.25">
      <c r="A12" t="s">
        <v>1432</v>
      </c>
      <c r="B12">
        <v>1907</v>
      </c>
      <c r="C12" t="s">
        <v>1433</v>
      </c>
      <c r="I12" t="s">
        <v>1434</v>
      </c>
      <c r="J12" t="s">
        <v>1435</v>
      </c>
      <c r="K12" t="s">
        <v>68</v>
      </c>
      <c r="M12" t="s">
        <v>1436</v>
      </c>
      <c r="U12" t="s">
        <v>28</v>
      </c>
      <c r="W12" t="s">
        <v>28</v>
      </c>
      <c r="Z12">
        <f t="shared" si="0"/>
        <v>44</v>
      </c>
      <c r="AA12" t="s">
        <v>1437</v>
      </c>
      <c r="AB12" t="s">
        <v>68</v>
      </c>
    </row>
    <row r="13" spans="1:29" x14ac:dyDescent="0.25">
      <c r="A13" t="s">
        <v>1438</v>
      </c>
      <c r="B13">
        <v>1907</v>
      </c>
      <c r="C13" t="s">
        <v>1439</v>
      </c>
      <c r="I13" t="s">
        <v>1440</v>
      </c>
      <c r="N13" t="s">
        <v>28</v>
      </c>
      <c r="Z13">
        <f t="shared" si="0"/>
        <v>48</v>
      </c>
      <c r="AA13" t="s">
        <v>1441</v>
      </c>
      <c r="AB13" t="s">
        <v>28</v>
      </c>
    </row>
    <row r="14" spans="1:29" x14ac:dyDescent="0.25">
      <c r="A14" t="s">
        <v>1442</v>
      </c>
      <c r="B14">
        <v>1907</v>
      </c>
      <c r="C14" t="s">
        <v>1443</v>
      </c>
      <c r="I14" t="s">
        <v>1443</v>
      </c>
      <c r="Z14">
        <f t="shared" si="0"/>
        <v>25</v>
      </c>
    </row>
    <row r="15" spans="1:29" x14ac:dyDescent="0.25">
      <c r="A15" t="s">
        <v>1444</v>
      </c>
      <c r="B15">
        <v>1907</v>
      </c>
      <c r="C15" t="s">
        <v>1445</v>
      </c>
      <c r="H15" t="s">
        <v>1446</v>
      </c>
      <c r="I15" t="s">
        <v>1445</v>
      </c>
      <c r="Z15">
        <f t="shared" si="0"/>
        <v>61</v>
      </c>
    </row>
    <row r="16" spans="1:29" x14ac:dyDescent="0.25">
      <c r="A16" t="s">
        <v>1447</v>
      </c>
      <c r="B16">
        <v>1907</v>
      </c>
      <c r="C16" t="s">
        <v>1448</v>
      </c>
      <c r="I16" t="s">
        <v>1449</v>
      </c>
      <c r="Z16">
        <f t="shared" si="0"/>
        <v>38</v>
      </c>
    </row>
    <row r="17" spans="1:26" x14ac:dyDescent="0.25">
      <c r="A17" t="s">
        <v>1450</v>
      </c>
      <c r="B17">
        <v>1907</v>
      </c>
      <c r="C17" t="s">
        <v>1451</v>
      </c>
      <c r="H17" t="s">
        <v>1452</v>
      </c>
      <c r="I17" t="s">
        <v>1453</v>
      </c>
      <c r="N17" s="5" t="s">
        <v>28</v>
      </c>
      <c r="Z17">
        <f t="shared" si="0"/>
        <v>52</v>
      </c>
    </row>
    <row r="18" spans="1:26" x14ac:dyDescent="0.25">
      <c r="A18" t="s">
        <v>1454</v>
      </c>
      <c r="B18">
        <v>1907</v>
      </c>
      <c r="C18" t="s">
        <v>1455</v>
      </c>
      <c r="H18" t="s">
        <v>1456</v>
      </c>
      <c r="I18" t="s">
        <v>1457</v>
      </c>
      <c r="N18" t="s">
        <v>28</v>
      </c>
      <c r="Z18">
        <f t="shared" si="0"/>
        <v>50</v>
      </c>
    </row>
    <row r="19" spans="1:26" x14ac:dyDescent="0.25">
      <c r="A19" t="s">
        <v>1458</v>
      </c>
      <c r="B19">
        <v>1907</v>
      </c>
      <c r="C19" t="s">
        <v>1459</v>
      </c>
      <c r="I19" t="s">
        <v>1460</v>
      </c>
      <c r="N19" t="s">
        <v>28</v>
      </c>
      <c r="Z19">
        <f t="shared" si="0"/>
        <v>21</v>
      </c>
    </row>
    <row r="20" spans="1:26" x14ac:dyDescent="0.25">
      <c r="A20" t="s">
        <v>1461</v>
      </c>
      <c r="B20">
        <v>1907</v>
      </c>
      <c r="C20" t="s">
        <v>1462</v>
      </c>
      <c r="H20" t="s">
        <v>1463</v>
      </c>
      <c r="I20" t="s">
        <v>1464</v>
      </c>
      <c r="N20" t="s">
        <v>28</v>
      </c>
      <c r="S20" t="s">
        <v>28</v>
      </c>
      <c r="Z20">
        <f t="shared" si="0"/>
        <v>104</v>
      </c>
    </row>
    <row r="21" spans="1:26" x14ac:dyDescent="0.25">
      <c r="A21" t="s">
        <v>1465</v>
      </c>
      <c r="B21">
        <v>1907</v>
      </c>
      <c r="C21" t="s">
        <v>1466</v>
      </c>
      <c r="E21" t="s">
        <v>1467</v>
      </c>
      <c r="H21" t="s">
        <v>1468</v>
      </c>
      <c r="I21" t="s">
        <v>1469</v>
      </c>
      <c r="J21" t="s">
        <v>445</v>
      </c>
      <c r="K21" t="s">
        <v>1470</v>
      </c>
      <c r="M21" t="s">
        <v>1431</v>
      </c>
      <c r="W21" t="s">
        <v>28</v>
      </c>
      <c r="Z21">
        <f t="shared" si="0"/>
        <v>75</v>
      </c>
    </row>
    <row r="22" spans="1:26" x14ac:dyDescent="0.25">
      <c r="A22" t="s">
        <v>1471</v>
      </c>
      <c r="B22">
        <v>1907</v>
      </c>
      <c r="C22" t="s">
        <v>1472</v>
      </c>
      <c r="I22" t="s">
        <v>1472</v>
      </c>
      <c r="Z22">
        <f t="shared" si="0"/>
        <v>37</v>
      </c>
    </row>
    <row r="23" spans="1:26" x14ac:dyDescent="0.25">
      <c r="A23" t="s">
        <v>1473</v>
      </c>
      <c r="B23">
        <v>1907</v>
      </c>
      <c r="C23" t="s">
        <v>1474</v>
      </c>
      <c r="I23" t="s">
        <v>1475</v>
      </c>
      <c r="J23" t="s">
        <v>1476</v>
      </c>
      <c r="K23" t="s">
        <v>1477</v>
      </c>
      <c r="M23" t="s">
        <v>1436</v>
      </c>
      <c r="W23" t="s">
        <v>28</v>
      </c>
      <c r="X23" t="s">
        <v>28</v>
      </c>
      <c r="Z23">
        <f t="shared" si="0"/>
        <v>68</v>
      </c>
    </row>
    <row r="24" spans="1:26" x14ac:dyDescent="0.25">
      <c r="A24" t="s">
        <v>1478</v>
      </c>
      <c r="B24">
        <v>1907</v>
      </c>
      <c r="C24" t="s">
        <v>1479</v>
      </c>
      <c r="I24" t="s">
        <v>1480</v>
      </c>
      <c r="N24" t="s">
        <v>28</v>
      </c>
      <c r="Z24">
        <f t="shared" si="0"/>
        <v>67</v>
      </c>
    </row>
    <row r="25" spans="1:26" x14ac:dyDescent="0.25">
      <c r="A25" t="s">
        <v>1481</v>
      </c>
      <c r="B25">
        <v>1907</v>
      </c>
      <c r="C25" t="s">
        <v>1482</v>
      </c>
      <c r="I25" t="s">
        <v>1482</v>
      </c>
      <c r="Z25">
        <f t="shared" si="0"/>
        <v>36</v>
      </c>
    </row>
    <row r="26" spans="1:26" x14ac:dyDescent="0.25">
      <c r="A26" t="s">
        <v>1483</v>
      </c>
      <c r="B26">
        <v>1907</v>
      </c>
      <c r="C26" t="s">
        <v>1484</v>
      </c>
      <c r="I26" t="s">
        <v>1485</v>
      </c>
      <c r="Z26">
        <f t="shared" si="0"/>
        <v>44</v>
      </c>
    </row>
    <row r="27" spans="1:26" x14ac:dyDescent="0.25">
      <c r="A27" t="s">
        <v>1486</v>
      </c>
      <c r="B27">
        <v>1907</v>
      </c>
      <c r="C27" t="s">
        <v>1487</v>
      </c>
      <c r="E27" t="s">
        <v>1488</v>
      </c>
      <c r="H27" t="s">
        <v>1489</v>
      </c>
      <c r="I27" t="s">
        <v>1490</v>
      </c>
      <c r="J27" t="s">
        <v>1491</v>
      </c>
      <c r="K27" t="s">
        <v>1265</v>
      </c>
      <c r="L27" t="s">
        <v>960</v>
      </c>
      <c r="M27" t="s">
        <v>1436</v>
      </c>
      <c r="U27" t="s">
        <v>28</v>
      </c>
      <c r="X27" t="s">
        <v>28</v>
      </c>
      <c r="Z27">
        <f t="shared" si="0"/>
        <v>63</v>
      </c>
    </row>
    <row r="28" spans="1:26" x14ac:dyDescent="0.25">
      <c r="A28" t="s">
        <v>1492</v>
      </c>
      <c r="B28">
        <v>1907</v>
      </c>
      <c r="C28" t="s">
        <v>1493</v>
      </c>
      <c r="I28" t="s">
        <v>1494</v>
      </c>
      <c r="J28" t="s">
        <v>1495</v>
      </c>
      <c r="K28" t="s">
        <v>68</v>
      </c>
      <c r="L28" t="s">
        <v>23</v>
      </c>
      <c r="M28" t="s">
        <v>1436</v>
      </c>
      <c r="U28" t="s">
        <v>28</v>
      </c>
      <c r="Z28">
        <f t="shared" si="0"/>
        <v>35</v>
      </c>
    </row>
    <row r="29" spans="1:26" x14ac:dyDescent="0.25">
      <c r="A29" t="s">
        <v>1496</v>
      </c>
      <c r="B29">
        <v>1907</v>
      </c>
      <c r="C29" t="s">
        <v>1497</v>
      </c>
      <c r="I29" t="s">
        <v>1498</v>
      </c>
      <c r="Z29">
        <f t="shared" si="0"/>
        <v>50</v>
      </c>
    </row>
    <row r="30" spans="1:26" x14ac:dyDescent="0.25">
      <c r="A30" t="s">
        <v>1499</v>
      </c>
      <c r="B30">
        <v>1907</v>
      </c>
      <c r="C30" t="s">
        <v>1500</v>
      </c>
      <c r="I30" t="s">
        <v>1501</v>
      </c>
      <c r="J30" t="s">
        <v>1276</v>
      </c>
      <c r="K30" t="s">
        <v>1502</v>
      </c>
      <c r="L30" t="s">
        <v>1503</v>
      </c>
      <c r="M30" t="s">
        <v>1436</v>
      </c>
      <c r="U30" t="s">
        <v>28</v>
      </c>
      <c r="W30" t="s">
        <v>28</v>
      </c>
      <c r="Z30">
        <f t="shared" si="0"/>
        <v>55</v>
      </c>
    </row>
    <row r="31" spans="1:26" x14ac:dyDescent="0.25">
      <c r="A31" t="s">
        <v>1504</v>
      </c>
      <c r="B31">
        <v>1907</v>
      </c>
      <c r="C31" t="s">
        <v>1505</v>
      </c>
      <c r="I31" t="s">
        <v>1506</v>
      </c>
      <c r="N31" t="s">
        <v>28</v>
      </c>
      <c r="Z31">
        <f t="shared" si="0"/>
        <v>61</v>
      </c>
    </row>
    <row r="32" spans="1:26" x14ac:dyDescent="0.25">
      <c r="A32" t="s">
        <v>1507</v>
      </c>
      <c r="B32">
        <v>1907</v>
      </c>
      <c r="C32" t="s">
        <v>1508</v>
      </c>
      <c r="I32" t="s">
        <v>1509</v>
      </c>
      <c r="N32" t="s">
        <v>28</v>
      </c>
      <c r="Z32">
        <f t="shared" si="0"/>
        <v>16</v>
      </c>
    </row>
    <row r="33" spans="1:26" x14ac:dyDescent="0.25">
      <c r="A33" t="s">
        <v>1510</v>
      </c>
      <c r="B33">
        <v>1907</v>
      </c>
      <c r="C33" t="s">
        <v>1511</v>
      </c>
      <c r="E33" t="s">
        <v>1512</v>
      </c>
      <c r="H33" t="s">
        <v>1407</v>
      </c>
      <c r="I33" t="s">
        <v>1513</v>
      </c>
      <c r="J33" t="s">
        <v>1514</v>
      </c>
      <c r="K33" t="s">
        <v>322</v>
      </c>
      <c r="M33" t="s">
        <v>1436</v>
      </c>
      <c r="W33" t="s">
        <v>28</v>
      </c>
      <c r="Z33">
        <f t="shared" si="0"/>
        <v>97</v>
      </c>
    </row>
    <row r="34" spans="1:26" x14ac:dyDescent="0.25">
      <c r="A34" t="s">
        <v>1515</v>
      </c>
      <c r="B34">
        <v>1907</v>
      </c>
      <c r="C34" t="s">
        <v>1516</v>
      </c>
      <c r="I34" t="s">
        <v>1517</v>
      </c>
      <c r="N34" t="s">
        <v>28</v>
      </c>
      <c r="Z34">
        <f t="shared" si="0"/>
        <v>39</v>
      </c>
    </row>
    <row r="35" spans="1:26" x14ac:dyDescent="0.25">
      <c r="A35" t="s">
        <v>1518</v>
      </c>
      <c r="B35">
        <v>1907</v>
      </c>
      <c r="C35" t="s">
        <v>1516</v>
      </c>
      <c r="I35" t="s">
        <v>1517</v>
      </c>
      <c r="N35" t="s">
        <v>28</v>
      </c>
      <c r="Z35">
        <f t="shared" si="0"/>
        <v>39</v>
      </c>
    </row>
    <row r="36" spans="1:26" x14ac:dyDescent="0.25">
      <c r="A36" t="s">
        <v>1519</v>
      </c>
      <c r="B36">
        <v>1907</v>
      </c>
      <c r="C36" t="s">
        <v>1520</v>
      </c>
      <c r="I36" t="s">
        <v>1520</v>
      </c>
      <c r="Z36">
        <f t="shared" si="0"/>
        <v>40</v>
      </c>
    </row>
    <row r="37" spans="1:26" x14ac:dyDescent="0.25">
      <c r="A37" t="s">
        <v>1521</v>
      </c>
      <c r="B37">
        <v>1907</v>
      </c>
      <c r="C37" t="s">
        <v>1522</v>
      </c>
      <c r="I37" t="s">
        <v>1523</v>
      </c>
      <c r="J37" t="s">
        <v>1524</v>
      </c>
      <c r="K37" t="s">
        <v>1260</v>
      </c>
      <c r="M37" t="s">
        <v>1525</v>
      </c>
      <c r="N37" t="s">
        <v>28</v>
      </c>
      <c r="U37" t="s">
        <v>28</v>
      </c>
      <c r="Z37">
        <f t="shared" si="0"/>
        <v>64</v>
      </c>
    </row>
    <row r="38" spans="1:26" x14ac:dyDescent="0.25">
      <c r="A38" t="s">
        <v>1526</v>
      </c>
      <c r="B38">
        <v>1907</v>
      </c>
      <c r="C38" t="s">
        <v>1527</v>
      </c>
      <c r="I38" t="s">
        <v>1528</v>
      </c>
      <c r="J38" t="s">
        <v>1529</v>
      </c>
      <c r="K38" t="s">
        <v>1530</v>
      </c>
      <c r="L38" t="s">
        <v>879</v>
      </c>
      <c r="M38" t="s">
        <v>1431</v>
      </c>
      <c r="N38" t="s">
        <v>28</v>
      </c>
      <c r="U38" t="s">
        <v>28</v>
      </c>
      <c r="Z38">
        <f t="shared" si="0"/>
        <v>70</v>
      </c>
    </row>
    <row r="39" spans="1:26" x14ac:dyDescent="0.25">
      <c r="A39" t="s">
        <v>1531</v>
      </c>
      <c r="B39">
        <v>1907</v>
      </c>
      <c r="C39" t="s">
        <v>1532</v>
      </c>
      <c r="I39" t="s">
        <v>1532</v>
      </c>
      <c r="Z39">
        <f t="shared" si="0"/>
        <v>32</v>
      </c>
    </row>
    <row r="40" spans="1:26" x14ac:dyDescent="0.25">
      <c r="A40" t="s">
        <v>1533</v>
      </c>
      <c r="B40">
        <v>1907</v>
      </c>
      <c r="C40" t="s">
        <v>1534</v>
      </c>
      <c r="I40" t="s">
        <v>1534</v>
      </c>
      <c r="Z40">
        <f t="shared" si="0"/>
        <v>37</v>
      </c>
    </row>
    <row r="41" spans="1:26" x14ac:dyDescent="0.25">
      <c r="A41" t="s">
        <v>1535</v>
      </c>
      <c r="B41">
        <v>1907</v>
      </c>
      <c r="C41" t="s">
        <v>1536</v>
      </c>
      <c r="I41" t="s">
        <v>1536</v>
      </c>
      <c r="Z41">
        <f t="shared" si="0"/>
        <v>33</v>
      </c>
    </row>
    <row r="42" spans="1:26" x14ac:dyDescent="0.25">
      <c r="A42" t="s">
        <v>1537</v>
      </c>
      <c r="B42">
        <v>1907</v>
      </c>
      <c r="C42" t="s">
        <v>1538</v>
      </c>
      <c r="I42" t="s">
        <v>1539</v>
      </c>
      <c r="N42" t="s">
        <v>28</v>
      </c>
      <c r="Z42">
        <f t="shared" si="0"/>
        <v>66</v>
      </c>
    </row>
    <row r="43" spans="1:26" x14ac:dyDescent="0.25">
      <c r="A43" t="s">
        <v>1540</v>
      </c>
      <c r="B43">
        <v>1907</v>
      </c>
      <c r="C43" t="s">
        <v>1541</v>
      </c>
      <c r="E43" t="s">
        <v>1512</v>
      </c>
      <c r="H43" t="s">
        <v>1407</v>
      </c>
      <c r="I43" t="s">
        <v>1542</v>
      </c>
      <c r="J43" t="s">
        <v>1543</v>
      </c>
      <c r="K43" t="s">
        <v>384</v>
      </c>
      <c r="L43" t="s">
        <v>68</v>
      </c>
      <c r="M43" t="s">
        <v>1431</v>
      </c>
      <c r="U43" t="s">
        <v>68</v>
      </c>
      <c r="Y43">
        <v>1</v>
      </c>
      <c r="Z43">
        <f t="shared" si="0"/>
        <v>79</v>
      </c>
    </row>
    <row r="44" spans="1:26" x14ac:dyDescent="0.25">
      <c r="A44" t="s">
        <v>1544</v>
      </c>
      <c r="B44">
        <v>1907</v>
      </c>
      <c r="C44" t="s">
        <v>1545</v>
      </c>
      <c r="I44" t="s">
        <v>1546</v>
      </c>
      <c r="Z44">
        <f t="shared" si="0"/>
        <v>40</v>
      </c>
    </row>
    <row r="45" spans="1:26" x14ac:dyDescent="0.25">
      <c r="A45" t="s">
        <v>1547</v>
      </c>
      <c r="B45">
        <v>1907</v>
      </c>
      <c r="C45" t="s">
        <v>1548</v>
      </c>
      <c r="I45" t="s">
        <v>1549</v>
      </c>
      <c r="N45" t="s">
        <v>28</v>
      </c>
      <c r="Z45">
        <f t="shared" si="0"/>
        <v>48</v>
      </c>
    </row>
    <row r="46" spans="1:26" x14ac:dyDescent="0.25">
      <c r="A46" t="s">
        <v>1550</v>
      </c>
      <c r="B46">
        <v>1907</v>
      </c>
      <c r="C46" t="s">
        <v>1551</v>
      </c>
      <c r="H46" t="s">
        <v>1552</v>
      </c>
      <c r="I46" t="s">
        <v>1551</v>
      </c>
      <c r="Z46">
        <f t="shared" si="0"/>
        <v>68</v>
      </c>
    </row>
    <row r="47" spans="1:26" x14ac:dyDescent="0.25">
      <c r="A47" t="s">
        <v>1553</v>
      </c>
      <c r="B47">
        <v>1907</v>
      </c>
      <c r="C47" t="s">
        <v>1554</v>
      </c>
      <c r="I47" t="s">
        <v>1555</v>
      </c>
      <c r="Z47">
        <f t="shared" si="0"/>
        <v>34</v>
      </c>
    </row>
    <row r="48" spans="1:26" x14ac:dyDescent="0.25">
      <c r="A48" t="s">
        <v>1556</v>
      </c>
      <c r="B48">
        <v>1907</v>
      </c>
      <c r="C48" t="s">
        <v>1557</v>
      </c>
      <c r="H48" t="s">
        <v>1558</v>
      </c>
      <c r="I48" t="s">
        <v>1557</v>
      </c>
      <c r="J48" t="s">
        <v>1559</v>
      </c>
      <c r="K48" t="s">
        <v>1560</v>
      </c>
      <c r="M48" t="s">
        <v>1431</v>
      </c>
      <c r="U48" t="s">
        <v>28</v>
      </c>
      <c r="W48" t="s">
        <v>28</v>
      </c>
      <c r="Z48">
        <f t="shared" si="0"/>
        <v>118</v>
      </c>
    </row>
    <row r="49" spans="1:26" x14ac:dyDescent="0.25">
      <c r="A49" t="s">
        <v>1561</v>
      </c>
      <c r="B49">
        <v>1907</v>
      </c>
      <c r="C49" t="s">
        <v>1562</v>
      </c>
      <c r="I49" t="s">
        <v>1563</v>
      </c>
      <c r="N49" t="s">
        <v>28</v>
      </c>
      <c r="Z49">
        <f t="shared" si="0"/>
        <v>31</v>
      </c>
    </row>
    <row r="50" spans="1:26" x14ac:dyDescent="0.25">
      <c r="A50" t="s">
        <v>1564</v>
      </c>
      <c r="B50">
        <v>1907</v>
      </c>
      <c r="C50" t="s">
        <v>1565</v>
      </c>
      <c r="E50" t="s">
        <v>1566</v>
      </c>
      <c r="I50" t="s">
        <v>1567</v>
      </c>
      <c r="J50" t="s">
        <v>1568</v>
      </c>
      <c r="K50" t="s">
        <v>1265</v>
      </c>
      <c r="L50" t="s">
        <v>23</v>
      </c>
      <c r="M50" t="s">
        <v>1431</v>
      </c>
      <c r="U50" t="s">
        <v>68</v>
      </c>
      <c r="Y50">
        <v>1</v>
      </c>
      <c r="Z50">
        <f t="shared" si="0"/>
        <v>69</v>
      </c>
    </row>
    <row r="51" spans="1:26" x14ac:dyDescent="0.25">
      <c r="A51" t="s">
        <v>1569</v>
      </c>
      <c r="B51">
        <v>1907</v>
      </c>
      <c r="C51" t="s">
        <v>1570</v>
      </c>
      <c r="I51" t="s">
        <v>1571</v>
      </c>
      <c r="N51" t="s">
        <v>28</v>
      </c>
      <c r="Z51">
        <f t="shared" si="0"/>
        <v>51</v>
      </c>
    </row>
    <row r="52" spans="1:26" x14ac:dyDescent="0.25">
      <c r="A52" t="s">
        <v>1572</v>
      </c>
      <c r="B52">
        <v>1907</v>
      </c>
      <c r="C52" t="s">
        <v>1573</v>
      </c>
      <c r="I52" t="s">
        <v>1574</v>
      </c>
      <c r="N52" t="s">
        <v>28</v>
      </c>
      <c r="Z52">
        <f t="shared" si="0"/>
        <v>24</v>
      </c>
    </row>
    <row r="53" spans="1:26" x14ac:dyDescent="0.25">
      <c r="A53" t="s">
        <v>1575</v>
      </c>
      <c r="B53">
        <v>1907</v>
      </c>
      <c r="C53" t="s">
        <v>1576</v>
      </c>
      <c r="I53" t="s">
        <v>1577</v>
      </c>
      <c r="J53" t="s">
        <v>1578</v>
      </c>
      <c r="K53" t="s">
        <v>94</v>
      </c>
      <c r="M53" t="s">
        <v>1431</v>
      </c>
      <c r="N53" t="s">
        <v>28</v>
      </c>
      <c r="U53" t="s">
        <v>28</v>
      </c>
      <c r="Z53">
        <f t="shared" si="0"/>
        <v>86</v>
      </c>
    </row>
    <row r="54" spans="1:26" x14ac:dyDescent="0.25">
      <c r="A54" t="s">
        <v>1579</v>
      </c>
      <c r="B54">
        <v>1907</v>
      </c>
      <c r="C54" t="s">
        <v>1580</v>
      </c>
      <c r="H54" t="s">
        <v>1581</v>
      </c>
      <c r="I54" t="s">
        <v>1580</v>
      </c>
      <c r="Z54">
        <f t="shared" si="0"/>
        <v>54</v>
      </c>
    </row>
    <row r="55" spans="1:26" x14ac:dyDescent="0.25">
      <c r="A55" t="s">
        <v>1582</v>
      </c>
      <c r="B55">
        <v>1907</v>
      </c>
      <c r="C55" t="s">
        <v>1583</v>
      </c>
      <c r="H55" t="s">
        <v>1584</v>
      </c>
      <c r="I55" t="s">
        <v>1583</v>
      </c>
      <c r="N55" t="s">
        <v>28</v>
      </c>
      <c r="S55" t="s">
        <v>28</v>
      </c>
      <c r="Z55">
        <f t="shared" si="0"/>
        <v>57</v>
      </c>
    </row>
    <row r="56" spans="1:26" x14ac:dyDescent="0.25">
      <c r="A56" t="s">
        <v>1585</v>
      </c>
      <c r="B56">
        <v>1911</v>
      </c>
      <c r="C56" t="s">
        <v>1586</v>
      </c>
      <c r="I56" t="s">
        <v>1587</v>
      </c>
      <c r="J56" t="s">
        <v>1588</v>
      </c>
      <c r="K56" t="s">
        <v>1589</v>
      </c>
      <c r="L56" t="s">
        <v>1590</v>
      </c>
      <c r="M56" t="s">
        <v>1591</v>
      </c>
      <c r="Z56">
        <f t="shared" si="0"/>
        <v>62</v>
      </c>
    </row>
    <row r="57" spans="1:26" x14ac:dyDescent="0.25">
      <c r="A57" t="s">
        <v>1592</v>
      </c>
      <c r="B57">
        <v>1911</v>
      </c>
      <c r="C57" t="s">
        <v>1593</v>
      </c>
      <c r="I57" t="s">
        <v>1594</v>
      </c>
      <c r="J57" t="s">
        <v>1595</v>
      </c>
      <c r="K57" t="s">
        <v>1596</v>
      </c>
      <c r="M57" t="s">
        <v>1436</v>
      </c>
      <c r="U57" t="s">
        <v>28</v>
      </c>
      <c r="Z57">
        <f t="shared" si="0"/>
        <v>69</v>
      </c>
    </row>
    <row r="58" spans="1:26" x14ac:dyDescent="0.25">
      <c r="A58" t="s">
        <v>1597</v>
      </c>
      <c r="B58">
        <v>1911</v>
      </c>
      <c r="C58" t="s">
        <v>1598</v>
      </c>
      <c r="I58" t="s">
        <v>1598</v>
      </c>
      <c r="Z58">
        <f t="shared" si="0"/>
        <v>53</v>
      </c>
    </row>
    <row r="59" spans="1:26" x14ac:dyDescent="0.25">
      <c r="A59" t="s">
        <v>1599</v>
      </c>
      <c r="B59">
        <v>1911</v>
      </c>
      <c r="C59" t="s">
        <v>1600</v>
      </c>
      <c r="E59" t="s">
        <v>1601</v>
      </c>
      <c r="H59" t="s">
        <v>1602</v>
      </c>
      <c r="I59" t="s">
        <v>1603</v>
      </c>
      <c r="J59" t="s">
        <v>1604</v>
      </c>
      <c r="K59" t="s">
        <v>1605</v>
      </c>
      <c r="L59" t="s">
        <v>879</v>
      </c>
      <c r="M59" t="s">
        <v>1591</v>
      </c>
      <c r="U59" t="s">
        <v>28</v>
      </c>
      <c r="Z59">
        <f t="shared" si="0"/>
        <v>101</v>
      </c>
    </row>
    <row r="60" spans="1:26" x14ac:dyDescent="0.25">
      <c r="A60" t="s">
        <v>1606</v>
      </c>
      <c r="B60">
        <v>1911</v>
      </c>
      <c r="C60" t="s">
        <v>1607</v>
      </c>
      <c r="I60" t="s">
        <v>1607</v>
      </c>
      <c r="Z60">
        <f t="shared" si="0"/>
        <v>55</v>
      </c>
    </row>
    <row r="61" spans="1:26" x14ac:dyDescent="0.25">
      <c r="A61" t="s">
        <v>1608</v>
      </c>
      <c r="B61">
        <v>1911</v>
      </c>
      <c r="C61" t="s">
        <v>1609</v>
      </c>
      <c r="H61" t="s">
        <v>1610</v>
      </c>
      <c r="I61" t="s">
        <v>1609</v>
      </c>
      <c r="Z61">
        <f t="shared" si="0"/>
        <v>51</v>
      </c>
    </row>
    <row r="62" spans="1:26" x14ac:dyDescent="0.25">
      <c r="A62" t="s">
        <v>1611</v>
      </c>
      <c r="B62">
        <v>1911</v>
      </c>
      <c r="C62" t="s">
        <v>1612</v>
      </c>
      <c r="I62" t="s">
        <v>1613</v>
      </c>
      <c r="Z62">
        <f t="shared" si="0"/>
        <v>53</v>
      </c>
    </row>
    <row r="63" spans="1:26" x14ac:dyDescent="0.25">
      <c r="A63" t="s">
        <v>1614</v>
      </c>
      <c r="B63">
        <v>1911</v>
      </c>
      <c r="C63" t="s">
        <v>1615</v>
      </c>
      <c r="H63" t="s">
        <v>1616</v>
      </c>
      <c r="I63" t="s">
        <v>1615</v>
      </c>
      <c r="Z63">
        <f t="shared" si="0"/>
        <v>52</v>
      </c>
    </row>
    <row r="64" spans="1:26" x14ac:dyDescent="0.25">
      <c r="A64" t="s">
        <v>1617</v>
      </c>
      <c r="B64">
        <v>1911</v>
      </c>
      <c r="C64" t="s">
        <v>1618</v>
      </c>
      <c r="I64" t="s">
        <v>1619</v>
      </c>
      <c r="J64" t="s">
        <v>1620</v>
      </c>
      <c r="K64" t="s">
        <v>1621</v>
      </c>
      <c r="M64" t="s">
        <v>1622</v>
      </c>
      <c r="U64" t="s">
        <v>28</v>
      </c>
      <c r="V64" t="s">
        <v>28</v>
      </c>
      <c r="Z64">
        <f t="shared" si="0"/>
        <v>62</v>
      </c>
    </row>
    <row r="65" spans="1:26" x14ac:dyDescent="0.25">
      <c r="A65" t="s">
        <v>1623</v>
      </c>
      <c r="B65">
        <v>1911</v>
      </c>
      <c r="C65" t="s">
        <v>1624</v>
      </c>
      <c r="H65" t="s">
        <v>1625</v>
      </c>
      <c r="I65" t="s">
        <v>1624</v>
      </c>
      <c r="Z65">
        <f t="shared" si="0"/>
        <v>62</v>
      </c>
    </row>
    <row r="66" spans="1:26" x14ac:dyDescent="0.25">
      <c r="A66" t="s">
        <v>1626</v>
      </c>
      <c r="B66">
        <v>1911</v>
      </c>
      <c r="C66" t="s">
        <v>1627</v>
      </c>
      <c r="E66" t="s">
        <v>1628</v>
      </c>
      <c r="I66" t="s">
        <v>1629</v>
      </c>
      <c r="J66" t="s">
        <v>1630</v>
      </c>
      <c r="K66" t="s">
        <v>1631</v>
      </c>
      <c r="M66" t="s">
        <v>1591</v>
      </c>
      <c r="U66" t="s">
        <v>28</v>
      </c>
      <c r="W66" t="s">
        <v>28</v>
      </c>
      <c r="Z66">
        <f t="shared" si="0"/>
        <v>75</v>
      </c>
    </row>
    <row r="67" spans="1:26" x14ac:dyDescent="0.25">
      <c r="A67" t="s">
        <v>1632</v>
      </c>
      <c r="B67">
        <v>1911</v>
      </c>
      <c r="C67" t="s">
        <v>1633</v>
      </c>
      <c r="I67">
        <v>129</v>
      </c>
      <c r="N67" t="s">
        <v>28</v>
      </c>
      <c r="Z67">
        <f t="shared" ref="Z67:Z130" si="1">LEN(C67)+LEN(D67)+LEN(E67)+LEN(F67)+LEN(G67)+LEN(H67)+LEN(J67)+LEN(K67)+LEN(L67)+LEN(M67)</f>
        <v>40</v>
      </c>
    </row>
    <row r="68" spans="1:26" x14ac:dyDescent="0.25">
      <c r="A68" t="s">
        <v>1634</v>
      </c>
      <c r="B68">
        <v>1911</v>
      </c>
      <c r="C68" t="s">
        <v>1635</v>
      </c>
      <c r="H68" t="s">
        <v>1636</v>
      </c>
      <c r="I68" t="s">
        <v>1637</v>
      </c>
      <c r="N68" s="5" t="s">
        <v>28</v>
      </c>
      <c r="Z68">
        <f t="shared" si="1"/>
        <v>65</v>
      </c>
    </row>
    <row r="69" spans="1:26" x14ac:dyDescent="0.25">
      <c r="A69" t="s">
        <v>1638</v>
      </c>
      <c r="B69">
        <v>1911</v>
      </c>
      <c r="C69" t="s">
        <v>1639</v>
      </c>
      <c r="H69" t="s">
        <v>1640</v>
      </c>
      <c r="I69" t="s">
        <v>1641</v>
      </c>
      <c r="J69" t="s">
        <v>1642</v>
      </c>
      <c r="K69" t="s">
        <v>1643</v>
      </c>
      <c r="M69" t="s">
        <v>1591</v>
      </c>
      <c r="S69" t="s">
        <v>28</v>
      </c>
      <c r="Z69">
        <f t="shared" si="1"/>
        <v>83</v>
      </c>
    </row>
    <row r="70" spans="1:26" x14ac:dyDescent="0.25">
      <c r="A70" t="s">
        <v>1644</v>
      </c>
      <c r="B70">
        <v>1911</v>
      </c>
      <c r="C70" t="s">
        <v>1645</v>
      </c>
      <c r="H70" t="s">
        <v>1646</v>
      </c>
      <c r="I70" t="s">
        <v>1647</v>
      </c>
      <c r="J70" t="s">
        <v>1648</v>
      </c>
      <c r="K70" t="s">
        <v>1265</v>
      </c>
      <c r="M70" t="s">
        <v>1591</v>
      </c>
      <c r="S70" t="s">
        <v>28</v>
      </c>
      <c r="W70" t="s">
        <v>28</v>
      </c>
      <c r="Z70">
        <f t="shared" si="1"/>
        <v>79</v>
      </c>
    </row>
    <row r="71" spans="1:26" x14ac:dyDescent="0.25">
      <c r="A71" t="s">
        <v>1649</v>
      </c>
      <c r="B71">
        <v>1911</v>
      </c>
      <c r="C71" t="s">
        <v>1650</v>
      </c>
      <c r="H71" t="s">
        <v>1651</v>
      </c>
      <c r="I71" t="s">
        <v>1650</v>
      </c>
      <c r="Z71">
        <f t="shared" si="1"/>
        <v>66</v>
      </c>
    </row>
    <row r="72" spans="1:26" x14ac:dyDescent="0.25">
      <c r="A72" t="s">
        <v>1652</v>
      </c>
      <c r="B72">
        <v>1911</v>
      </c>
      <c r="C72" t="s">
        <v>1653</v>
      </c>
      <c r="I72" t="s">
        <v>1654</v>
      </c>
      <c r="J72" t="s">
        <v>1655</v>
      </c>
      <c r="K72" t="s">
        <v>1560</v>
      </c>
      <c r="M72" t="s">
        <v>1591</v>
      </c>
      <c r="W72" t="s">
        <v>28</v>
      </c>
      <c r="Z72">
        <f t="shared" si="1"/>
        <v>68</v>
      </c>
    </row>
    <row r="73" spans="1:26" x14ac:dyDescent="0.25">
      <c r="A73" t="s">
        <v>1656</v>
      </c>
      <c r="B73">
        <v>1911</v>
      </c>
      <c r="C73" t="s">
        <v>1657</v>
      </c>
      <c r="H73" t="s">
        <v>1658</v>
      </c>
      <c r="I73" t="s">
        <v>1657</v>
      </c>
      <c r="Z73">
        <f t="shared" si="1"/>
        <v>46</v>
      </c>
    </row>
    <row r="74" spans="1:26" x14ac:dyDescent="0.25">
      <c r="A74" t="s">
        <v>1659</v>
      </c>
      <c r="B74">
        <v>1911</v>
      </c>
      <c r="C74" t="s">
        <v>1660</v>
      </c>
      <c r="I74" t="s">
        <v>1660</v>
      </c>
      <c r="Z74">
        <f t="shared" si="1"/>
        <v>41</v>
      </c>
    </row>
    <row r="75" spans="1:26" x14ac:dyDescent="0.25">
      <c r="A75" t="s">
        <v>1661</v>
      </c>
      <c r="B75">
        <v>1911</v>
      </c>
      <c r="C75" t="s">
        <v>1662</v>
      </c>
      <c r="I75" t="s">
        <v>1663</v>
      </c>
      <c r="N75" t="s">
        <v>28</v>
      </c>
      <c r="Z75">
        <f t="shared" si="1"/>
        <v>58</v>
      </c>
    </row>
    <row r="76" spans="1:26" x14ac:dyDescent="0.25">
      <c r="A76" t="s">
        <v>1664</v>
      </c>
      <c r="B76">
        <v>1911</v>
      </c>
      <c r="C76" t="s">
        <v>1665</v>
      </c>
      <c r="I76" t="s">
        <v>1666</v>
      </c>
      <c r="J76" t="s">
        <v>731</v>
      </c>
      <c r="K76" t="s">
        <v>1667</v>
      </c>
      <c r="M76" t="s">
        <v>1591</v>
      </c>
      <c r="W76" t="s">
        <v>28</v>
      </c>
      <c r="Z76">
        <f t="shared" si="1"/>
        <v>71</v>
      </c>
    </row>
    <row r="77" spans="1:26" x14ac:dyDescent="0.25">
      <c r="A77" t="s">
        <v>1668</v>
      </c>
      <c r="B77">
        <v>1911</v>
      </c>
      <c r="C77" t="s">
        <v>1669</v>
      </c>
      <c r="I77" t="s">
        <v>1670</v>
      </c>
      <c r="Z77">
        <f t="shared" si="1"/>
        <v>59</v>
      </c>
    </row>
    <row r="78" spans="1:26" x14ac:dyDescent="0.25">
      <c r="A78" t="s">
        <v>1671</v>
      </c>
      <c r="B78">
        <v>1911</v>
      </c>
      <c r="C78" t="s">
        <v>1672</v>
      </c>
      <c r="I78" t="s">
        <v>1673</v>
      </c>
      <c r="Z78">
        <f t="shared" si="1"/>
        <v>54</v>
      </c>
    </row>
    <row r="79" spans="1:26" x14ac:dyDescent="0.25">
      <c r="A79" t="s">
        <v>1674</v>
      </c>
      <c r="B79">
        <v>1911</v>
      </c>
      <c r="C79" t="s">
        <v>1675</v>
      </c>
      <c r="I79" t="s">
        <v>1676</v>
      </c>
      <c r="J79" t="s">
        <v>1677</v>
      </c>
      <c r="K79" t="s">
        <v>1678</v>
      </c>
      <c r="M79" t="s">
        <v>1679</v>
      </c>
      <c r="X79" t="s">
        <v>28</v>
      </c>
      <c r="Z79">
        <f t="shared" si="1"/>
        <v>78</v>
      </c>
    </row>
    <row r="80" spans="1:26" x14ac:dyDescent="0.25">
      <c r="A80" t="s">
        <v>1680</v>
      </c>
      <c r="B80">
        <v>1911</v>
      </c>
      <c r="C80" t="s">
        <v>1681</v>
      </c>
      <c r="I80" t="s">
        <v>1682</v>
      </c>
      <c r="Z80">
        <f t="shared" si="1"/>
        <v>52</v>
      </c>
    </row>
    <row r="81" spans="1:26" x14ac:dyDescent="0.25">
      <c r="A81" t="s">
        <v>1683</v>
      </c>
      <c r="B81">
        <v>1911</v>
      </c>
      <c r="C81" t="s">
        <v>1684</v>
      </c>
      <c r="I81" t="s">
        <v>1685</v>
      </c>
      <c r="Z81">
        <f t="shared" si="1"/>
        <v>56</v>
      </c>
    </row>
    <row r="82" spans="1:26" x14ac:dyDescent="0.25">
      <c r="A82" t="s">
        <v>1686</v>
      </c>
      <c r="B82">
        <v>1911</v>
      </c>
      <c r="C82" t="s">
        <v>1687</v>
      </c>
      <c r="I82" t="s">
        <v>1688</v>
      </c>
      <c r="J82" t="s">
        <v>1689</v>
      </c>
      <c r="K82" t="s">
        <v>1678</v>
      </c>
      <c r="M82" t="s">
        <v>1591</v>
      </c>
      <c r="U82" t="s">
        <v>28</v>
      </c>
      <c r="Z82">
        <f t="shared" si="1"/>
        <v>77</v>
      </c>
    </row>
    <row r="83" spans="1:26" x14ac:dyDescent="0.25">
      <c r="A83" t="s">
        <v>1690</v>
      </c>
      <c r="B83">
        <v>1911</v>
      </c>
      <c r="C83" t="s">
        <v>1691</v>
      </c>
      <c r="I83" t="s">
        <v>1691</v>
      </c>
      <c r="Z83">
        <f t="shared" si="1"/>
        <v>34</v>
      </c>
    </row>
    <row r="84" spans="1:26" x14ac:dyDescent="0.25">
      <c r="A84" t="s">
        <v>1692</v>
      </c>
      <c r="B84">
        <v>1911</v>
      </c>
      <c r="C84" t="s">
        <v>1693</v>
      </c>
      <c r="I84" t="s">
        <v>1694</v>
      </c>
      <c r="J84" t="s">
        <v>1695</v>
      </c>
      <c r="K84" t="s">
        <v>960</v>
      </c>
      <c r="L84" t="s">
        <v>879</v>
      </c>
      <c r="M84" t="s">
        <v>1436</v>
      </c>
      <c r="W84" t="s">
        <v>28</v>
      </c>
      <c r="Z84">
        <f t="shared" si="1"/>
        <v>64</v>
      </c>
    </row>
    <row r="85" spans="1:26" x14ac:dyDescent="0.25">
      <c r="A85" t="s">
        <v>1696</v>
      </c>
      <c r="B85">
        <v>1911</v>
      </c>
      <c r="C85" t="s">
        <v>1697</v>
      </c>
      <c r="I85" t="s">
        <v>1698</v>
      </c>
      <c r="N85" t="s">
        <v>28</v>
      </c>
      <c r="Z85">
        <f t="shared" si="1"/>
        <v>45</v>
      </c>
    </row>
    <row r="86" spans="1:26" x14ac:dyDescent="0.25">
      <c r="A86" t="s">
        <v>1699</v>
      </c>
      <c r="B86">
        <v>1911</v>
      </c>
      <c r="C86" t="s">
        <v>1700</v>
      </c>
      <c r="E86" t="s">
        <v>1512</v>
      </c>
      <c r="H86" t="s">
        <v>1407</v>
      </c>
      <c r="I86" t="s">
        <v>1701</v>
      </c>
      <c r="J86" t="s">
        <v>1702</v>
      </c>
      <c r="K86" t="s">
        <v>1703</v>
      </c>
      <c r="L86" t="s">
        <v>1631</v>
      </c>
      <c r="M86" t="s">
        <v>1591</v>
      </c>
      <c r="U86" t="s">
        <v>28</v>
      </c>
      <c r="Z86">
        <f t="shared" si="1"/>
        <v>94</v>
      </c>
    </row>
    <row r="87" spans="1:26" x14ac:dyDescent="0.25">
      <c r="A87" t="s">
        <v>1704</v>
      </c>
      <c r="B87">
        <v>1911</v>
      </c>
      <c r="C87" t="s">
        <v>1705</v>
      </c>
      <c r="H87" t="s">
        <v>1706</v>
      </c>
      <c r="I87" t="s">
        <v>1705</v>
      </c>
      <c r="Z87">
        <f t="shared" si="1"/>
        <v>52</v>
      </c>
    </row>
    <row r="88" spans="1:26" x14ac:dyDescent="0.25">
      <c r="A88" t="s">
        <v>1707</v>
      </c>
      <c r="B88">
        <v>1911</v>
      </c>
      <c r="C88" t="s">
        <v>1708</v>
      </c>
      <c r="H88" t="s">
        <v>1706</v>
      </c>
      <c r="I88" t="s">
        <v>1708</v>
      </c>
      <c r="Z88">
        <f t="shared" si="1"/>
        <v>62</v>
      </c>
    </row>
    <row r="89" spans="1:26" x14ac:dyDescent="0.25">
      <c r="A89" t="s">
        <v>1709</v>
      </c>
      <c r="B89">
        <v>1911</v>
      </c>
      <c r="C89" t="s">
        <v>1710</v>
      </c>
      <c r="E89" t="s">
        <v>1711</v>
      </c>
      <c r="I89" t="s">
        <v>1712</v>
      </c>
      <c r="J89" t="s">
        <v>1713</v>
      </c>
      <c r="K89" t="s">
        <v>962</v>
      </c>
      <c r="M89" t="s">
        <v>1591</v>
      </c>
      <c r="P89" t="s">
        <v>28</v>
      </c>
      <c r="U89" t="s">
        <v>28</v>
      </c>
      <c r="W89" t="s">
        <v>28</v>
      </c>
      <c r="Z89">
        <f t="shared" si="1"/>
        <v>64</v>
      </c>
    </row>
    <row r="90" spans="1:26" x14ac:dyDescent="0.25">
      <c r="A90" t="s">
        <v>1714</v>
      </c>
      <c r="B90">
        <v>1911</v>
      </c>
      <c r="C90" t="s">
        <v>1715</v>
      </c>
      <c r="I90" t="s">
        <v>1716</v>
      </c>
      <c r="J90" t="s">
        <v>1717</v>
      </c>
      <c r="K90" t="s">
        <v>1265</v>
      </c>
      <c r="L90" t="s">
        <v>1403</v>
      </c>
      <c r="M90" t="s">
        <v>1591</v>
      </c>
      <c r="N90" t="s">
        <v>68</v>
      </c>
      <c r="U90" t="s">
        <v>68</v>
      </c>
      <c r="Y90">
        <v>30</v>
      </c>
      <c r="Z90">
        <f t="shared" si="1"/>
        <v>60</v>
      </c>
    </row>
    <row r="91" spans="1:26" x14ac:dyDescent="0.25">
      <c r="A91" t="s">
        <v>1718</v>
      </c>
      <c r="B91">
        <v>1911</v>
      </c>
      <c r="C91" t="s">
        <v>1719</v>
      </c>
      <c r="I91" t="s">
        <v>1719</v>
      </c>
      <c r="Z91">
        <f t="shared" si="1"/>
        <v>41</v>
      </c>
    </row>
    <row r="92" spans="1:26" x14ac:dyDescent="0.25">
      <c r="A92" t="s">
        <v>1720</v>
      </c>
      <c r="B92">
        <v>1911</v>
      </c>
      <c r="C92" t="s">
        <v>1721</v>
      </c>
      <c r="H92" t="s">
        <v>1400</v>
      </c>
      <c r="I92" t="s">
        <v>1722</v>
      </c>
      <c r="J92" t="s">
        <v>1723</v>
      </c>
      <c r="K92" t="s">
        <v>1724</v>
      </c>
      <c r="L92" t="s">
        <v>1389</v>
      </c>
      <c r="M92" t="s">
        <v>1725</v>
      </c>
      <c r="N92" t="s">
        <v>28</v>
      </c>
      <c r="U92" t="s">
        <v>28</v>
      </c>
      <c r="Z92">
        <f t="shared" si="1"/>
        <v>96</v>
      </c>
    </row>
    <row r="93" spans="1:26" x14ac:dyDescent="0.25">
      <c r="A93" t="s">
        <v>1726</v>
      </c>
      <c r="B93">
        <v>1911</v>
      </c>
      <c r="C93" t="s">
        <v>1727</v>
      </c>
      <c r="I93" t="s">
        <v>1728</v>
      </c>
      <c r="J93" t="s">
        <v>1729</v>
      </c>
      <c r="K93" t="s">
        <v>1730</v>
      </c>
      <c r="M93" t="s">
        <v>1436</v>
      </c>
      <c r="U93" t="s">
        <v>68</v>
      </c>
      <c r="Y93">
        <v>1</v>
      </c>
      <c r="Z93">
        <f t="shared" si="1"/>
        <v>53</v>
      </c>
    </row>
    <row r="94" spans="1:26" x14ac:dyDescent="0.25">
      <c r="A94" t="s">
        <v>1731</v>
      </c>
      <c r="B94">
        <v>1911</v>
      </c>
      <c r="C94" t="s">
        <v>1732</v>
      </c>
      <c r="I94" t="s">
        <v>1733</v>
      </c>
      <c r="J94" t="s">
        <v>1734</v>
      </c>
      <c r="K94" t="s">
        <v>321</v>
      </c>
      <c r="L94" t="s">
        <v>392</v>
      </c>
      <c r="M94" t="s">
        <v>1591</v>
      </c>
      <c r="W94" t="s">
        <v>28</v>
      </c>
      <c r="Z94">
        <f t="shared" si="1"/>
        <v>66</v>
      </c>
    </row>
    <row r="95" spans="1:26" x14ac:dyDescent="0.25">
      <c r="A95" t="s">
        <v>1735</v>
      </c>
      <c r="B95">
        <v>1911</v>
      </c>
      <c r="C95" t="s">
        <v>1736</v>
      </c>
      <c r="I95" t="s">
        <v>1737</v>
      </c>
      <c r="Z95">
        <f t="shared" si="1"/>
        <v>43</v>
      </c>
    </row>
    <row r="96" spans="1:26" x14ac:dyDescent="0.25">
      <c r="A96" t="s">
        <v>1738</v>
      </c>
      <c r="B96">
        <v>1911</v>
      </c>
      <c r="C96" t="s">
        <v>1739</v>
      </c>
      <c r="I96" t="s">
        <v>1740</v>
      </c>
      <c r="Z96">
        <f t="shared" si="1"/>
        <v>31</v>
      </c>
    </row>
    <row r="97" spans="1:26" x14ac:dyDescent="0.25">
      <c r="A97" t="s">
        <v>1741</v>
      </c>
      <c r="B97">
        <v>1911</v>
      </c>
      <c r="C97" t="s">
        <v>1742</v>
      </c>
      <c r="I97" t="s">
        <v>1743</v>
      </c>
      <c r="Z97">
        <f t="shared" si="1"/>
        <v>34</v>
      </c>
    </row>
    <row r="98" spans="1:26" x14ac:dyDescent="0.25">
      <c r="A98" t="s">
        <v>1744</v>
      </c>
      <c r="B98">
        <v>1911</v>
      </c>
      <c r="C98" t="s">
        <v>1745</v>
      </c>
      <c r="I98" t="s">
        <v>1746</v>
      </c>
      <c r="J98" t="s">
        <v>1747</v>
      </c>
      <c r="K98" t="s">
        <v>561</v>
      </c>
      <c r="M98" t="s">
        <v>1591</v>
      </c>
      <c r="U98" t="s">
        <v>28</v>
      </c>
      <c r="W98" t="s">
        <v>28</v>
      </c>
      <c r="Z98">
        <f t="shared" si="1"/>
        <v>53</v>
      </c>
    </row>
    <row r="99" spans="1:26" x14ac:dyDescent="0.25">
      <c r="A99" t="s">
        <v>1748</v>
      </c>
      <c r="B99">
        <v>1911</v>
      </c>
      <c r="C99" t="s">
        <v>1749</v>
      </c>
      <c r="I99" t="s">
        <v>1750</v>
      </c>
      <c r="J99" t="s">
        <v>1751</v>
      </c>
      <c r="K99" t="s">
        <v>1752</v>
      </c>
      <c r="M99" t="s">
        <v>1591</v>
      </c>
      <c r="U99" t="s">
        <v>28</v>
      </c>
      <c r="W99" t="s">
        <v>28</v>
      </c>
      <c r="X99" t="s">
        <v>28</v>
      </c>
      <c r="Z99">
        <f t="shared" si="1"/>
        <v>74</v>
      </c>
    </row>
    <row r="100" spans="1:26" x14ac:dyDescent="0.25">
      <c r="A100" t="s">
        <v>1753</v>
      </c>
      <c r="B100">
        <v>1911</v>
      </c>
      <c r="C100" t="s">
        <v>1754</v>
      </c>
      <c r="I100" t="s">
        <v>1754</v>
      </c>
      <c r="Z100">
        <f t="shared" si="1"/>
        <v>32</v>
      </c>
    </row>
    <row r="101" spans="1:26" x14ac:dyDescent="0.25">
      <c r="A101" t="s">
        <v>1755</v>
      </c>
      <c r="B101">
        <v>1911</v>
      </c>
      <c r="C101" t="s">
        <v>1756</v>
      </c>
      <c r="I101" t="s">
        <v>1756</v>
      </c>
      <c r="Z101">
        <f t="shared" si="1"/>
        <v>40</v>
      </c>
    </row>
    <row r="102" spans="1:26" x14ac:dyDescent="0.25">
      <c r="A102" t="s">
        <v>1757</v>
      </c>
      <c r="B102">
        <v>1911</v>
      </c>
      <c r="C102" t="s">
        <v>1758</v>
      </c>
      <c r="H102" t="s">
        <v>1759</v>
      </c>
      <c r="I102" t="s">
        <v>1760</v>
      </c>
      <c r="J102" t="s">
        <v>1761</v>
      </c>
      <c r="K102" t="s">
        <v>1762</v>
      </c>
      <c r="M102" t="s">
        <v>1763</v>
      </c>
      <c r="P102" t="s">
        <v>28</v>
      </c>
      <c r="W102" t="s">
        <v>28</v>
      </c>
      <c r="Z102">
        <f t="shared" si="1"/>
        <v>57</v>
      </c>
    </row>
    <row r="103" spans="1:26" x14ac:dyDescent="0.25">
      <c r="A103" t="s">
        <v>1764</v>
      </c>
      <c r="B103">
        <v>1911</v>
      </c>
      <c r="C103" t="s">
        <v>1765</v>
      </c>
      <c r="H103" t="s">
        <v>1766</v>
      </c>
      <c r="I103" t="s">
        <v>1765</v>
      </c>
      <c r="S103" t="s">
        <v>28</v>
      </c>
      <c r="Z103">
        <f t="shared" si="1"/>
        <v>48</v>
      </c>
    </row>
    <row r="104" spans="1:26" x14ac:dyDescent="0.25">
      <c r="A104" t="s">
        <v>1767</v>
      </c>
      <c r="B104">
        <v>1911</v>
      </c>
      <c r="C104" t="s">
        <v>1768</v>
      </c>
      <c r="I104" t="s">
        <v>1768</v>
      </c>
      <c r="Z104">
        <f t="shared" si="1"/>
        <v>34</v>
      </c>
    </row>
    <row r="105" spans="1:26" x14ac:dyDescent="0.25">
      <c r="A105" t="s">
        <v>1769</v>
      </c>
      <c r="B105">
        <v>1911</v>
      </c>
      <c r="C105" t="s">
        <v>1770</v>
      </c>
      <c r="I105" t="s">
        <v>1771</v>
      </c>
      <c r="Z105">
        <f t="shared" si="1"/>
        <v>44</v>
      </c>
    </row>
    <row r="106" spans="1:26" x14ac:dyDescent="0.25">
      <c r="A106" t="s">
        <v>1772</v>
      </c>
      <c r="B106">
        <v>1911</v>
      </c>
      <c r="C106" t="s">
        <v>1773</v>
      </c>
      <c r="I106" t="s">
        <v>1773</v>
      </c>
      <c r="Z106">
        <f t="shared" si="1"/>
        <v>39</v>
      </c>
    </row>
    <row r="107" spans="1:26" x14ac:dyDescent="0.25">
      <c r="A107" t="s">
        <v>1774</v>
      </c>
      <c r="B107">
        <v>1911</v>
      </c>
      <c r="C107" t="s">
        <v>1775</v>
      </c>
      <c r="H107" t="s">
        <v>1776</v>
      </c>
      <c r="I107" t="s">
        <v>1775</v>
      </c>
      <c r="S107" t="s">
        <v>28</v>
      </c>
      <c r="Z107">
        <f t="shared" si="1"/>
        <v>66</v>
      </c>
    </row>
    <row r="108" spans="1:26" x14ac:dyDescent="0.25">
      <c r="A108" t="s">
        <v>1777</v>
      </c>
      <c r="B108">
        <v>1911</v>
      </c>
      <c r="C108" t="s">
        <v>1778</v>
      </c>
      <c r="I108" t="s">
        <v>1779</v>
      </c>
      <c r="Z108">
        <f t="shared" si="1"/>
        <v>46</v>
      </c>
    </row>
    <row r="109" spans="1:26" x14ac:dyDescent="0.25">
      <c r="A109" t="s">
        <v>1780</v>
      </c>
      <c r="B109">
        <v>1911</v>
      </c>
      <c r="C109" t="s">
        <v>1781</v>
      </c>
      <c r="H109" t="s">
        <v>1782</v>
      </c>
      <c r="I109" t="s">
        <v>1783</v>
      </c>
      <c r="S109" t="s">
        <v>28</v>
      </c>
      <c r="Z109">
        <f t="shared" si="1"/>
        <v>53</v>
      </c>
    </row>
    <row r="110" spans="1:26" x14ac:dyDescent="0.25">
      <c r="A110" t="s">
        <v>1784</v>
      </c>
      <c r="B110">
        <v>1911</v>
      </c>
      <c r="C110" t="s">
        <v>1785</v>
      </c>
      <c r="I110" t="s">
        <v>1786</v>
      </c>
      <c r="Z110">
        <f t="shared" si="1"/>
        <v>57</v>
      </c>
    </row>
    <row r="111" spans="1:26" x14ac:dyDescent="0.25">
      <c r="A111" t="s">
        <v>1787</v>
      </c>
      <c r="B111">
        <v>1916</v>
      </c>
      <c r="C111" t="s">
        <v>1788</v>
      </c>
      <c r="H111" t="s">
        <v>1789</v>
      </c>
      <c r="I111" t="s">
        <v>1790</v>
      </c>
      <c r="N111" t="s">
        <v>28</v>
      </c>
      <c r="S111" t="s">
        <v>28</v>
      </c>
      <c r="Z111">
        <f t="shared" si="1"/>
        <v>59</v>
      </c>
    </row>
    <row r="112" spans="1:26" x14ac:dyDescent="0.25">
      <c r="A112" t="s">
        <v>1791</v>
      </c>
      <c r="B112">
        <v>1916</v>
      </c>
      <c r="C112" t="s">
        <v>1792</v>
      </c>
      <c r="I112" t="s">
        <v>1793</v>
      </c>
      <c r="Z112">
        <f t="shared" si="1"/>
        <v>35</v>
      </c>
    </row>
    <row r="113" spans="1:26" x14ac:dyDescent="0.25">
      <c r="A113" t="s">
        <v>1794</v>
      </c>
      <c r="B113">
        <v>1916</v>
      </c>
      <c r="C113" t="s">
        <v>1795</v>
      </c>
      <c r="I113" t="s">
        <v>1796</v>
      </c>
      <c r="J113" t="s">
        <v>1797</v>
      </c>
      <c r="K113" t="s">
        <v>392</v>
      </c>
      <c r="M113" t="s">
        <v>1798</v>
      </c>
      <c r="U113" t="s">
        <v>28</v>
      </c>
      <c r="W113" t="s">
        <v>28</v>
      </c>
      <c r="Z113">
        <f t="shared" si="1"/>
        <v>63</v>
      </c>
    </row>
    <row r="114" spans="1:26" x14ac:dyDescent="0.25">
      <c r="A114" t="s">
        <v>1799</v>
      </c>
      <c r="B114">
        <v>1916</v>
      </c>
      <c r="C114" t="s">
        <v>1800</v>
      </c>
      <c r="I114" t="s">
        <v>1801</v>
      </c>
      <c r="Z114">
        <f t="shared" si="1"/>
        <v>39</v>
      </c>
    </row>
    <row r="115" spans="1:26" x14ac:dyDescent="0.25">
      <c r="A115" t="s">
        <v>1802</v>
      </c>
      <c r="B115">
        <v>1916</v>
      </c>
      <c r="C115" t="s">
        <v>1803</v>
      </c>
      <c r="H115" t="s">
        <v>1804</v>
      </c>
      <c r="I115" t="s">
        <v>1803</v>
      </c>
      <c r="J115" t="s">
        <v>1805</v>
      </c>
      <c r="K115" t="s">
        <v>1806</v>
      </c>
      <c r="L115" t="s">
        <v>1560</v>
      </c>
      <c r="M115" t="s">
        <v>1436</v>
      </c>
      <c r="N115" t="s">
        <v>28</v>
      </c>
      <c r="U115" t="s">
        <v>28</v>
      </c>
      <c r="V115" t="s">
        <v>28</v>
      </c>
      <c r="W115" t="s">
        <v>28</v>
      </c>
      <c r="Z115">
        <f t="shared" si="1"/>
        <v>118</v>
      </c>
    </row>
    <row r="116" spans="1:26" x14ac:dyDescent="0.25">
      <c r="A116" t="s">
        <v>1807</v>
      </c>
      <c r="B116">
        <v>1916</v>
      </c>
      <c r="C116" t="s">
        <v>1808</v>
      </c>
      <c r="H116" t="s">
        <v>1809</v>
      </c>
      <c r="I116" t="s">
        <v>1808</v>
      </c>
      <c r="Z116">
        <f t="shared" si="1"/>
        <v>43</v>
      </c>
    </row>
    <row r="117" spans="1:26" x14ac:dyDescent="0.25">
      <c r="A117" t="s">
        <v>1810</v>
      </c>
      <c r="B117">
        <v>1916</v>
      </c>
      <c r="C117" t="s">
        <v>1811</v>
      </c>
      <c r="I117" t="s">
        <v>1812</v>
      </c>
      <c r="Z117">
        <f t="shared" si="1"/>
        <v>29</v>
      </c>
    </row>
    <row r="118" spans="1:26" x14ac:dyDescent="0.25">
      <c r="A118" t="s">
        <v>1813</v>
      </c>
      <c r="B118">
        <v>1916</v>
      </c>
      <c r="C118" t="s">
        <v>1814</v>
      </c>
      <c r="I118" t="s">
        <v>1815</v>
      </c>
      <c r="J118" t="s">
        <v>1816</v>
      </c>
      <c r="K118" t="s">
        <v>1596</v>
      </c>
      <c r="L118" t="s">
        <v>879</v>
      </c>
      <c r="M118" t="s">
        <v>1798</v>
      </c>
      <c r="U118" t="s">
        <v>28</v>
      </c>
      <c r="Z118">
        <f t="shared" si="1"/>
        <v>78</v>
      </c>
    </row>
    <row r="119" spans="1:26" x14ac:dyDescent="0.25">
      <c r="A119" t="s">
        <v>1817</v>
      </c>
      <c r="B119">
        <v>1916</v>
      </c>
      <c r="C119" t="s">
        <v>1818</v>
      </c>
      <c r="H119" t="s">
        <v>1819</v>
      </c>
      <c r="I119" t="s">
        <v>1818</v>
      </c>
      <c r="Z119">
        <f t="shared" si="1"/>
        <v>62</v>
      </c>
    </row>
    <row r="120" spans="1:26" x14ac:dyDescent="0.25">
      <c r="A120" t="s">
        <v>1820</v>
      </c>
      <c r="B120">
        <v>1916</v>
      </c>
      <c r="C120" t="s">
        <v>1821</v>
      </c>
      <c r="I120" t="s">
        <v>1821</v>
      </c>
      <c r="Z120">
        <f t="shared" si="1"/>
        <v>37</v>
      </c>
    </row>
    <row r="121" spans="1:26" x14ac:dyDescent="0.25">
      <c r="A121" t="s">
        <v>1822</v>
      </c>
      <c r="B121">
        <v>1916</v>
      </c>
      <c r="C121" t="s">
        <v>1823</v>
      </c>
      <c r="H121" t="s">
        <v>1824</v>
      </c>
      <c r="I121" t="s">
        <v>1823</v>
      </c>
      <c r="Z121">
        <f t="shared" si="1"/>
        <v>48</v>
      </c>
    </row>
    <row r="122" spans="1:26" x14ac:dyDescent="0.25">
      <c r="A122" t="s">
        <v>1825</v>
      </c>
      <c r="B122">
        <v>1916</v>
      </c>
      <c r="C122" t="s">
        <v>1826</v>
      </c>
      <c r="H122" t="s">
        <v>1827</v>
      </c>
      <c r="I122" t="s">
        <v>1826</v>
      </c>
      <c r="Z122">
        <f t="shared" si="1"/>
        <v>43</v>
      </c>
    </row>
    <row r="123" spans="1:26" x14ac:dyDescent="0.25">
      <c r="A123" t="s">
        <v>1828</v>
      </c>
      <c r="B123">
        <v>1916</v>
      </c>
      <c r="C123" t="s">
        <v>1829</v>
      </c>
      <c r="I123" t="s">
        <v>1830</v>
      </c>
      <c r="Z123">
        <f t="shared" si="1"/>
        <v>31</v>
      </c>
    </row>
    <row r="124" spans="1:26" x14ac:dyDescent="0.25">
      <c r="A124" t="s">
        <v>1831</v>
      </c>
      <c r="B124">
        <v>1916</v>
      </c>
      <c r="C124" t="s">
        <v>1832</v>
      </c>
      <c r="I124" t="s">
        <v>1833</v>
      </c>
      <c r="Z124">
        <f t="shared" si="1"/>
        <v>26</v>
      </c>
    </row>
    <row r="125" spans="1:26" x14ac:dyDescent="0.25">
      <c r="A125" t="s">
        <v>1834</v>
      </c>
      <c r="B125">
        <v>1916</v>
      </c>
      <c r="C125" t="s">
        <v>1835</v>
      </c>
      <c r="I125" t="s">
        <v>1836</v>
      </c>
      <c r="J125" t="s">
        <v>1837</v>
      </c>
      <c r="K125" t="s">
        <v>322</v>
      </c>
      <c r="L125" t="s">
        <v>1403</v>
      </c>
      <c r="M125" t="s">
        <v>1591</v>
      </c>
      <c r="Z125">
        <f t="shared" si="1"/>
        <v>58</v>
      </c>
    </row>
    <row r="126" spans="1:26" x14ac:dyDescent="0.25">
      <c r="A126" t="s">
        <v>1838</v>
      </c>
      <c r="B126">
        <v>1916</v>
      </c>
      <c r="C126" t="s">
        <v>1839</v>
      </c>
      <c r="I126" t="s">
        <v>1840</v>
      </c>
      <c r="N126" t="s">
        <v>28</v>
      </c>
      <c r="Z126">
        <f t="shared" si="1"/>
        <v>47</v>
      </c>
    </row>
    <row r="127" spans="1:26" x14ac:dyDescent="0.25">
      <c r="A127" t="s">
        <v>1841</v>
      </c>
      <c r="B127">
        <v>1916</v>
      </c>
      <c r="C127" t="s">
        <v>1842</v>
      </c>
      <c r="I127" t="s">
        <v>1843</v>
      </c>
      <c r="N127" t="s">
        <v>28</v>
      </c>
      <c r="Z127">
        <f t="shared" si="1"/>
        <v>40</v>
      </c>
    </row>
    <row r="128" spans="1:26" x14ac:dyDescent="0.25">
      <c r="A128" t="s">
        <v>1844</v>
      </c>
      <c r="B128">
        <v>1916</v>
      </c>
      <c r="C128" t="s">
        <v>1845</v>
      </c>
      <c r="H128" t="s">
        <v>1846</v>
      </c>
      <c r="I128" t="s">
        <v>1847</v>
      </c>
      <c r="Z128">
        <f t="shared" si="1"/>
        <v>68</v>
      </c>
    </row>
    <row r="129" spans="1:26" x14ac:dyDescent="0.25">
      <c r="A129" t="s">
        <v>1848</v>
      </c>
      <c r="B129">
        <v>1916</v>
      </c>
      <c r="C129" t="s">
        <v>1849</v>
      </c>
      <c r="H129" t="s">
        <v>1581</v>
      </c>
      <c r="I129" t="s">
        <v>1850</v>
      </c>
      <c r="N129" t="s">
        <v>28</v>
      </c>
      <c r="S129" t="s">
        <v>28</v>
      </c>
      <c r="Z129">
        <f t="shared" si="1"/>
        <v>31</v>
      </c>
    </row>
    <row r="130" spans="1:26" x14ac:dyDescent="0.25">
      <c r="A130" t="s">
        <v>1851</v>
      </c>
      <c r="B130">
        <v>1916</v>
      </c>
      <c r="C130" t="s">
        <v>1852</v>
      </c>
      <c r="H130" t="s">
        <v>1853</v>
      </c>
      <c r="I130" t="s">
        <v>1852</v>
      </c>
      <c r="Z130">
        <f t="shared" si="1"/>
        <v>40</v>
      </c>
    </row>
    <row r="131" spans="1:26" x14ac:dyDescent="0.25">
      <c r="A131" t="s">
        <v>1854</v>
      </c>
      <c r="B131">
        <v>1916</v>
      </c>
      <c r="C131" t="s">
        <v>1855</v>
      </c>
      <c r="I131" t="s">
        <v>1856</v>
      </c>
      <c r="Z131">
        <f t="shared" ref="Z131:Z194" si="2">LEN(C131)+LEN(D131)+LEN(E131)+LEN(F131)+LEN(G131)+LEN(H131)+LEN(J131)+LEN(K131)+LEN(L131)+LEN(M131)</f>
        <v>53</v>
      </c>
    </row>
    <row r="132" spans="1:26" x14ac:dyDescent="0.25">
      <c r="A132" t="s">
        <v>1857</v>
      </c>
      <c r="B132">
        <v>1916</v>
      </c>
      <c r="C132" t="s">
        <v>1858</v>
      </c>
      <c r="I132" t="s">
        <v>1859</v>
      </c>
      <c r="Z132">
        <f t="shared" si="2"/>
        <v>45</v>
      </c>
    </row>
    <row r="133" spans="1:26" x14ac:dyDescent="0.25">
      <c r="A133" t="s">
        <v>1860</v>
      </c>
      <c r="B133">
        <v>1916</v>
      </c>
      <c r="C133" t="s">
        <v>1861</v>
      </c>
      <c r="H133" t="s">
        <v>1862</v>
      </c>
      <c r="I133" t="s">
        <v>1863</v>
      </c>
      <c r="Z133">
        <f t="shared" si="2"/>
        <v>54</v>
      </c>
    </row>
    <row r="134" spans="1:26" x14ac:dyDescent="0.25">
      <c r="A134" t="s">
        <v>1864</v>
      </c>
      <c r="B134">
        <v>1916</v>
      </c>
      <c r="C134" t="s">
        <v>1865</v>
      </c>
      <c r="I134" t="s">
        <v>1865</v>
      </c>
      <c r="Z134">
        <f t="shared" si="2"/>
        <v>45</v>
      </c>
    </row>
    <row r="135" spans="1:26" x14ac:dyDescent="0.25">
      <c r="A135" t="s">
        <v>1866</v>
      </c>
      <c r="B135">
        <v>1916</v>
      </c>
      <c r="C135" t="s">
        <v>1867</v>
      </c>
      <c r="I135" t="s">
        <v>1868</v>
      </c>
      <c r="N135" t="s">
        <v>28</v>
      </c>
      <c r="Z135">
        <f t="shared" si="2"/>
        <v>58</v>
      </c>
    </row>
    <row r="136" spans="1:26" x14ac:dyDescent="0.25">
      <c r="A136" t="s">
        <v>1869</v>
      </c>
      <c r="B136">
        <v>1916</v>
      </c>
      <c r="C136" t="s">
        <v>1870</v>
      </c>
      <c r="I136" t="s">
        <v>1871</v>
      </c>
      <c r="J136" t="s">
        <v>1872</v>
      </c>
      <c r="K136" t="s">
        <v>321</v>
      </c>
      <c r="M136" t="s">
        <v>1798</v>
      </c>
      <c r="N136" t="s">
        <v>68</v>
      </c>
      <c r="U136" t="s">
        <v>28</v>
      </c>
      <c r="W136" t="s">
        <v>28</v>
      </c>
      <c r="Y136">
        <v>17</v>
      </c>
      <c r="Z136">
        <f t="shared" si="2"/>
        <v>78</v>
      </c>
    </row>
    <row r="137" spans="1:26" x14ac:dyDescent="0.25">
      <c r="A137" t="s">
        <v>1873</v>
      </c>
      <c r="B137">
        <v>1916</v>
      </c>
      <c r="C137" t="s">
        <v>1874</v>
      </c>
      <c r="I137" t="s">
        <v>1874</v>
      </c>
      <c r="Z137">
        <f t="shared" si="2"/>
        <v>30</v>
      </c>
    </row>
    <row r="138" spans="1:26" x14ac:dyDescent="0.25">
      <c r="A138" t="s">
        <v>1875</v>
      </c>
      <c r="B138">
        <v>1916</v>
      </c>
      <c r="C138" t="s">
        <v>1876</v>
      </c>
      <c r="I138" t="s">
        <v>1877</v>
      </c>
      <c r="J138" t="s">
        <v>1878</v>
      </c>
      <c r="K138" t="s">
        <v>1631</v>
      </c>
      <c r="L138" t="s">
        <v>392</v>
      </c>
      <c r="M138" t="s">
        <v>1879</v>
      </c>
      <c r="U138" t="s">
        <v>28</v>
      </c>
      <c r="Z138">
        <f t="shared" si="2"/>
        <v>56</v>
      </c>
    </row>
    <row r="139" spans="1:26" x14ac:dyDescent="0.25">
      <c r="A139" t="s">
        <v>1880</v>
      </c>
      <c r="B139">
        <v>1916</v>
      </c>
      <c r="C139" t="s">
        <v>1881</v>
      </c>
      <c r="H139" t="s">
        <v>1882</v>
      </c>
      <c r="I139" t="s">
        <v>1881</v>
      </c>
      <c r="Z139">
        <f t="shared" si="2"/>
        <v>52</v>
      </c>
    </row>
    <row r="140" spans="1:26" x14ac:dyDescent="0.25">
      <c r="A140" t="s">
        <v>1883</v>
      </c>
      <c r="B140">
        <v>1916</v>
      </c>
      <c r="C140" t="s">
        <v>1884</v>
      </c>
      <c r="H140" t="s">
        <v>1885</v>
      </c>
      <c r="I140" t="s">
        <v>1884</v>
      </c>
      <c r="N140" t="s">
        <v>68</v>
      </c>
      <c r="Y140">
        <v>14</v>
      </c>
      <c r="Z140">
        <f t="shared" si="2"/>
        <v>50</v>
      </c>
    </row>
    <row r="141" spans="1:26" x14ac:dyDescent="0.25">
      <c r="A141" t="s">
        <v>1886</v>
      </c>
      <c r="B141">
        <v>1916</v>
      </c>
      <c r="C141" t="s">
        <v>1887</v>
      </c>
      <c r="I141" t="s">
        <v>1887</v>
      </c>
      <c r="Z141">
        <f t="shared" si="2"/>
        <v>36</v>
      </c>
    </row>
    <row r="142" spans="1:26" x14ac:dyDescent="0.25">
      <c r="A142" t="s">
        <v>1888</v>
      </c>
      <c r="B142">
        <v>1916</v>
      </c>
      <c r="C142" t="s">
        <v>1889</v>
      </c>
      <c r="H142" t="s">
        <v>1602</v>
      </c>
      <c r="I142" t="s">
        <v>1890</v>
      </c>
      <c r="J142" t="s">
        <v>1891</v>
      </c>
      <c r="K142" t="s">
        <v>384</v>
      </c>
      <c r="L142" t="s">
        <v>1631</v>
      </c>
      <c r="M142" t="s">
        <v>1892</v>
      </c>
      <c r="N142" t="s">
        <v>28</v>
      </c>
      <c r="U142" t="s">
        <v>28</v>
      </c>
      <c r="Z142">
        <f t="shared" si="2"/>
        <v>90</v>
      </c>
    </row>
    <row r="143" spans="1:26" x14ac:dyDescent="0.25">
      <c r="A143" t="s">
        <v>1893</v>
      </c>
      <c r="B143">
        <v>1916</v>
      </c>
      <c r="C143" t="s">
        <v>1894</v>
      </c>
      <c r="H143" t="s">
        <v>1895</v>
      </c>
      <c r="I143" t="s">
        <v>1896</v>
      </c>
      <c r="Z143">
        <f t="shared" si="2"/>
        <v>46</v>
      </c>
    </row>
    <row r="144" spans="1:26" x14ac:dyDescent="0.25">
      <c r="A144" t="s">
        <v>1897</v>
      </c>
      <c r="B144">
        <v>1916</v>
      </c>
      <c r="C144" t="s">
        <v>1898</v>
      </c>
      <c r="I144" t="s">
        <v>1899</v>
      </c>
      <c r="Z144">
        <f t="shared" si="2"/>
        <v>38</v>
      </c>
    </row>
    <row r="145" spans="1:26" x14ac:dyDescent="0.25">
      <c r="A145" t="s">
        <v>1900</v>
      </c>
      <c r="B145">
        <v>1916</v>
      </c>
      <c r="C145" t="s">
        <v>1901</v>
      </c>
      <c r="I145" t="s">
        <v>1902</v>
      </c>
      <c r="Z145">
        <f t="shared" si="2"/>
        <v>39</v>
      </c>
    </row>
    <row r="146" spans="1:26" x14ac:dyDescent="0.25">
      <c r="A146" t="s">
        <v>1903</v>
      </c>
      <c r="B146">
        <v>1916</v>
      </c>
      <c r="C146" t="s">
        <v>1904</v>
      </c>
      <c r="I146" t="s">
        <v>1905</v>
      </c>
      <c r="Z146">
        <f t="shared" si="2"/>
        <v>21</v>
      </c>
    </row>
    <row r="147" spans="1:26" x14ac:dyDescent="0.25">
      <c r="A147" t="s">
        <v>1906</v>
      </c>
      <c r="B147">
        <v>1916</v>
      </c>
      <c r="C147" t="s">
        <v>1907</v>
      </c>
      <c r="I147" t="s">
        <v>1907</v>
      </c>
      <c r="Z147">
        <f t="shared" si="2"/>
        <v>48</v>
      </c>
    </row>
    <row r="148" spans="1:26" x14ac:dyDescent="0.25">
      <c r="A148" t="s">
        <v>1908</v>
      </c>
      <c r="B148">
        <v>1916</v>
      </c>
      <c r="C148" t="s">
        <v>1909</v>
      </c>
      <c r="I148" t="s">
        <v>1910</v>
      </c>
      <c r="Z148">
        <f t="shared" si="2"/>
        <v>47</v>
      </c>
    </row>
    <row r="149" spans="1:26" x14ac:dyDescent="0.25">
      <c r="A149" t="s">
        <v>1911</v>
      </c>
      <c r="B149">
        <v>1916</v>
      </c>
      <c r="C149" t="s">
        <v>1912</v>
      </c>
      <c r="H149" t="s">
        <v>1913</v>
      </c>
      <c r="I149" t="s">
        <v>1914</v>
      </c>
      <c r="J149" t="s">
        <v>1915</v>
      </c>
      <c r="K149" t="s">
        <v>1916</v>
      </c>
      <c r="L149" t="s">
        <v>1917</v>
      </c>
      <c r="M149" t="s">
        <v>1591</v>
      </c>
      <c r="S149" t="s">
        <v>28</v>
      </c>
      <c r="U149" t="s">
        <v>28</v>
      </c>
      <c r="V149" t="s">
        <v>28</v>
      </c>
      <c r="W149" t="s">
        <v>28</v>
      </c>
      <c r="Z149">
        <f t="shared" si="2"/>
        <v>56</v>
      </c>
    </row>
    <row r="150" spans="1:26" x14ac:dyDescent="0.25">
      <c r="A150" t="s">
        <v>1918</v>
      </c>
      <c r="B150">
        <v>1916</v>
      </c>
      <c r="C150" t="s">
        <v>1919</v>
      </c>
      <c r="I150" t="s">
        <v>1920</v>
      </c>
      <c r="J150" t="s">
        <v>1921</v>
      </c>
      <c r="K150" t="s">
        <v>1922</v>
      </c>
      <c r="M150" t="s">
        <v>1591</v>
      </c>
      <c r="U150" t="s">
        <v>28</v>
      </c>
      <c r="Z150">
        <f t="shared" si="2"/>
        <v>58</v>
      </c>
    </row>
    <row r="151" spans="1:26" x14ac:dyDescent="0.25">
      <c r="A151" t="s">
        <v>1923</v>
      </c>
      <c r="B151">
        <v>1916</v>
      </c>
      <c r="C151" t="s">
        <v>1924</v>
      </c>
      <c r="I151" t="s">
        <v>1925</v>
      </c>
      <c r="Z151">
        <f t="shared" si="2"/>
        <v>46</v>
      </c>
    </row>
    <row r="152" spans="1:26" x14ac:dyDescent="0.25">
      <c r="A152" t="s">
        <v>1926</v>
      </c>
      <c r="B152">
        <v>1916</v>
      </c>
      <c r="C152" t="s">
        <v>1927</v>
      </c>
      <c r="I152" t="s">
        <v>1928</v>
      </c>
      <c r="J152" t="s">
        <v>1929</v>
      </c>
      <c r="K152" t="s">
        <v>392</v>
      </c>
      <c r="M152" t="s">
        <v>1798</v>
      </c>
      <c r="U152" t="s">
        <v>28</v>
      </c>
      <c r="W152" t="s">
        <v>28</v>
      </c>
      <c r="Z152">
        <f t="shared" si="2"/>
        <v>54</v>
      </c>
    </row>
    <row r="153" spans="1:26" x14ac:dyDescent="0.25">
      <c r="A153" t="s">
        <v>1930</v>
      </c>
      <c r="B153">
        <v>1916</v>
      </c>
      <c r="C153" t="s">
        <v>1839</v>
      </c>
      <c r="H153" t="s">
        <v>1789</v>
      </c>
      <c r="I153" t="s">
        <v>1839</v>
      </c>
      <c r="N153" t="s">
        <v>28</v>
      </c>
      <c r="S153" t="s">
        <v>28</v>
      </c>
      <c r="Z153">
        <f t="shared" si="2"/>
        <v>55</v>
      </c>
    </row>
    <row r="154" spans="1:26" x14ac:dyDescent="0.25">
      <c r="A154" t="s">
        <v>1931</v>
      </c>
      <c r="B154">
        <v>1916</v>
      </c>
      <c r="C154" t="s">
        <v>1932</v>
      </c>
      <c r="H154" t="s">
        <v>1933</v>
      </c>
      <c r="I154" t="s">
        <v>1932</v>
      </c>
      <c r="Z154">
        <f t="shared" si="2"/>
        <v>53</v>
      </c>
    </row>
    <row r="155" spans="1:26" x14ac:dyDescent="0.25">
      <c r="A155" t="s">
        <v>1934</v>
      </c>
      <c r="B155">
        <v>1916</v>
      </c>
      <c r="C155" t="s">
        <v>1935</v>
      </c>
      <c r="I155" t="s">
        <v>1936</v>
      </c>
      <c r="J155" t="s">
        <v>1937</v>
      </c>
      <c r="K155" t="s">
        <v>1938</v>
      </c>
      <c r="M155" t="s">
        <v>1798</v>
      </c>
      <c r="U155" t="s">
        <v>28</v>
      </c>
      <c r="Z155">
        <f t="shared" si="2"/>
        <v>69</v>
      </c>
    </row>
    <row r="156" spans="1:26" x14ac:dyDescent="0.25">
      <c r="A156" t="s">
        <v>1939</v>
      </c>
      <c r="B156">
        <v>1916</v>
      </c>
      <c r="C156" t="s">
        <v>1940</v>
      </c>
      <c r="I156" t="s">
        <v>1941</v>
      </c>
      <c r="J156" t="s">
        <v>1942</v>
      </c>
      <c r="K156" t="s">
        <v>1724</v>
      </c>
      <c r="L156" t="s">
        <v>960</v>
      </c>
      <c r="M156" t="s">
        <v>1798</v>
      </c>
      <c r="U156" t="s">
        <v>28</v>
      </c>
      <c r="Z156">
        <f t="shared" si="2"/>
        <v>57</v>
      </c>
    </row>
    <row r="157" spans="1:26" x14ac:dyDescent="0.25">
      <c r="A157" t="s">
        <v>1943</v>
      </c>
      <c r="B157">
        <v>1916</v>
      </c>
      <c r="C157" t="s">
        <v>1944</v>
      </c>
      <c r="I157" t="s">
        <v>1945</v>
      </c>
      <c r="J157" t="s">
        <v>1946</v>
      </c>
      <c r="K157" t="s">
        <v>1389</v>
      </c>
      <c r="L157" t="s">
        <v>391</v>
      </c>
      <c r="M157" t="s">
        <v>1591</v>
      </c>
      <c r="U157" t="s">
        <v>28</v>
      </c>
      <c r="Z157">
        <f t="shared" si="2"/>
        <v>61</v>
      </c>
    </row>
    <row r="158" spans="1:26" x14ac:dyDescent="0.25">
      <c r="A158" t="s">
        <v>1947</v>
      </c>
      <c r="B158">
        <v>1916</v>
      </c>
      <c r="C158" t="s">
        <v>1948</v>
      </c>
      <c r="I158" t="s">
        <v>1949</v>
      </c>
      <c r="N158" s="5" t="s">
        <v>28</v>
      </c>
      <c r="Z158">
        <f t="shared" si="2"/>
        <v>36</v>
      </c>
    </row>
    <row r="159" spans="1:26" x14ac:dyDescent="0.25">
      <c r="A159" t="s">
        <v>1950</v>
      </c>
      <c r="B159">
        <v>1916</v>
      </c>
      <c r="C159" t="s">
        <v>1951</v>
      </c>
      <c r="I159" t="s">
        <v>1952</v>
      </c>
      <c r="J159" t="s">
        <v>1953</v>
      </c>
      <c r="K159" t="s">
        <v>383</v>
      </c>
      <c r="M159" t="s">
        <v>1591</v>
      </c>
      <c r="U159" t="s">
        <v>28</v>
      </c>
      <c r="Z159">
        <f t="shared" si="2"/>
        <v>57</v>
      </c>
    </row>
    <row r="160" spans="1:26" x14ac:dyDescent="0.25">
      <c r="A160" t="s">
        <v>1954</v>
      </c>
      <c r="B160">
        <v>1916</v>
      </c>
      <c r="C160" t="s">
        <v>1955</v>
      </c>
      <c r="I160" t="s">
        <v>1956</v>
      </c>
      <c r="U160" t="s">
        <v>28</v>
      </c>
      <c r="V160" t="s">
        <v>28</v>
      </c>
      <c r="W160" t="s">
        <v>28</v>
      </c>
      <c r="X160" t="s">
        <v>28</v>
      </c>
      <c r="Z160">
        <f t="shared" si="2"/>
        <v>38</v>
      </c>
    </row>
    <row r="161" spans="1:26" x14ac:dyDescent="0.25">
      <c r="A161" t="s">
        <v>1957</v>
      </c>
      <c r="B161">
        <v>1916</v>
      </c>
      <c r="C161" t="s">
        <v>1958</v>
      </c>
      <c r="H161" t="s">
        <v>1959</v>
      </c>
      <c r="I161" t="s">
        <v>1958</v>
      </c>
      <c r="Z161">
        <f t="shared" si="2"/>
        <v>72</v>
      </c>
    </row>
    <row r="162" spans="1:26" x14ac:dyDescent="0.25">
      <c r="A162" t="s">
        <v>1960</v>
      </c>
      <c r="B162">
        <v>1916</v>
      </c>
      <c r="C162" t="s">
        <v>1961</v>
      </c>
      <c r="I162" t="s">
        <v>1961</v>
      </c>
      <c r="Z162">
        <f t="shared" si="2"/>
        <v>32</v>
      </c>
    </row>
    <row r="163" spans="1:26" x14ac:dyDescent="0.25">
      <c r="A163" t="s">
        <v>1962</v>
      </c>
      <c r="B163">
        <v>1916</v>
      </c>
      <c r="C163" t="s">
        <v>1963</v>
      </c>
      <c r="I163" t="s">
        <v>1964</v>
      </c>
      <c r="Z163">
        <f t="shared" si="2"/>
        <v>28</v>
      </c>
    </row>
    <row r="164" spans="1:26" x14ac:dyDescent="0.25">
      <c r="A164" t="s">
        <v>1965</v>
      </c>
      <c r="B164">
        <v>1916</v>
      </c>
      <c r="C164" t="s">
        <v>1966</v>
      </c>
      <c r="I164" t="s">
        <v>1967</v>
      </c>
      <c r="Z164">
        <f t="shared" si="2"/>
        <v>42</v>
      </c>
    </row>
    <row r="165" spans="1:26" x14ac:dyDescent="0.25">
      <c r="A165" t="s">
        <v>1968</v>
      </c>
      <c r="B165">
        <v>1916</v>
      </c>
      <c r="C165" t="s">
        <v>1969</v>
      </c>
      <c r="H165" t="s">
        <v>1970</v>
      </c>
      <c r="I165" t="s">
        <v>1971</v>
      </c>
      <c r="P165" t="s">
        <v>28</v>
      </c>
      <c r="Z165">
        <f t="shared" si="2"/>
        <v>53</v>
      </c>
    </row>
    <row r="166" spans="1:26" x14ac:dyDescent="0.25">
      <c r="A166" t="s">
        <v>1972</v>
      </c>
      <c r="B166">
        <v>1916</v>
      </c>
      <c r="C166" t="s">
        <v>1973</v>
      </c>
      <c r="I166" t="s">
        <v>1973</v>
      </c>
      <c r="Z166">
        <f t="shared" si="2"/>
        <v>52</v>
      </c>
    </row>
    <row r="167" spans="1:26" x14ac:dyDescent="0.25">
      <c r="A167" t="s">
        <v>1974</v>
      </c>
      <c r="B167">
        <v>1919</v>
      </c>
      <c r="C167" t="s">
        <v>1975</v>
      </c>
      <c r="H167" t="s">
        <v>1976</v>
      </c>
      <c r="I167" t="s">
        <v>1977</v>
      </c>
      <c r="J167" t="s">
        <v>1978</v>
      </c>
      <c r="K167" t="s">
        <v>322</v>
      </c>
      <c r="M167" t="s">
        <v>1979</v>
      </c>
      <c r="W167" t="s">
        <v>28</v>
      </c>
      <c r="Z167">
        <f t="shared" si="2"/>
        <v>72</v>
      </c>
    </row>
    <row r="168" spans="1:26" x14ac:dyDescent="0.25">
      <c r="A168" t="s">
        <v>1980</v>
      </c>
      <c r="B168">
        <v>1919</v>
      </c>
      <c r="C168" t="s">
        <v>1981</v>
      </c>
      <c r="I168" t="s">
        <v>1981</v>
      </c>
      <c r="Z168">
        <f t="shared" si="2"/>
        <v>39</v>
      </c>
    </row>
    <row r="169" spans="1:26" x14ac:dyDescent="0.25">
      <c r="A169" t="s">
        <v>1982</v>
      </c>
      <c r="B169">
        <v>1919</v>
      </c>
      <c r="C169" t="s">
        <v>1983</v>
      </c>
      <c r="H169" t="s">
        <v>1984</v>
      </c>
      <c r="I169" t="s">
        <v>1985</v>
      </c>
      <c r="J169" t="s">
        <v>1986</v>
      </c>
      <c r="K169" t="s">
        <v>1389</v>
      </c>
      <c r="M169" t="s">
        <v>1979</v>
      </c>
      <c r="O169" t="s">
        <v>28</v>
      </c>
      <c r="V169" t="s">
        <v>28</v>
      </c>
      <c r="W169" t="s">
        <v>28</v>
      </c>
      <c r="Z169">
        <f t="shared" si="2"/>
        <v>82</v>
      </c>
    </row>
    <row r="170" spans="1:26" x14ac:dyDescent="0.25">
      <c r="A170" t="s">
        <v>1987</v>
      </c>
      <c r="B170">
        <v>1919</v>
      </c>
      <c r="C170" t="s">
        <v>1988</v>
      </c>
      <c r="H170" t="s">
        <v>1989</v>
      </c>
      <c r="I170" t="s">
        <v>1990</v>
      </c>
      <c r="J170" t="s">
        <v>1991</v>
      </c>
      <c r="K170" t="s">
        <v>1730</v>
      </c>
      <c r="L170" t="s">
        <v>1265</v>
      </c>
      <c r="M170" t="s">
        <v>1992</v>
      </c>
      <c r="Z170">
        <f t="shared" si="2"/>
        <v>87</v>
      </c>
    </row>
    <row r="171" spans="1:26" x14ac:dyDescent="0.25">
      <c r="A171" t="s">
        <v>1993</v>
      </c>
      <c r="B171">
        <v>1919</v>
      </c>
      <c r="C171" t="s">
        <v>1994</v>
      </c>
      <c r="I171" t="s">
        <v>1995</v>
      </c>
      <c r="N171" t="s">
        <v>28</v>
      </c>
      <c r="Z171">
        <f t="shared" si="2"/>
        <v>91</v>
      </c>
    </row>
    <row r="172" spans="1:26" x14ac:dyDescent="0.25">
      <c r="A172" t="s">
        <v>1996</v>
      </c>
      <c r="B172">
        <v>1919</v>
      </c>
      <c r="C172" t="s">
        <v>1997</v>
      </c>
      <c r="I172" t="s">
        <v>1998</v>
      </c>
      <c r="J172" t="s">
        <v>1999</v>
      </c>
      <c r="K172" t="s">
        <v>1730</v>
      </c>
      <c r="M172" t="s">
        <v>2000</v>
      </c>
      <c r="N172" t="s">
        <v>68</v>
      </c>
      <c r="U172" t="s">
        <v>28</v>
      </c>
      <c r="W172" t="s">
        <v>28</v>
      </c>
      <c r="Y172">
        <v>3</v>
      </c>
      <c r="Z172">
        <f t="shared" si="2"/>
        <v>71</v>
      </c>
    </row>
    <row r="173" spans="1:26" x14ac:dyDescent="0.25">
      <c r="A173" t="s">
        <v>2001</v>
      </c>
      <c r="B173">
        <v>1919</v>
      </c>
      <c r="C173" t="s">
        <v>2002</v>
      </c>
      <c r="H173" t="s">
        <v>2003</v>
      </c>
      <c r="I173" t="s">
        <v>2004</v>
      </c>
      <c r="N173" t="s">
        <v>28</v>
      </c>
      <c r="O173" t="s">
        <v>28</v>
      </c>
      <c r="Q173" t="s">
        <v>28</v>
      </c>
      <c r="Z173">
        <f t="shared" si="2"/>
        <v>59</v>
      </c>
    </row>
    <row r="174" spans="1:26" x14ac:dyDescent="0.25">
      <c r="A174" t="s">
        <v>2005</v>
      </c>
      <c r="B174">
        <v>1919</v>
      </c>
      <c r="C174" t="s">
        <v>2006</v>
      </c>
      <c r="I174" t="s">
        <v>2007</v>
      </c>
      <c r="J174" t="s">
        <v>2008</v>
      </c>
      <c r="K174" t="s">
        <v>392</v>
      </c>
      <c r="M174" t="s">
        <v>1591</v>
      </c>
      <c r="N174" t="s">
        <v>28</v>
      </c>
      <c r="U174" t="s">
        <v>28</v>
      </c>
      <c r="W174" t="s">
        <v>28</v>
      </c>
      <c r="Z174">
        <f t="shared" si="2"/>
        <v>65</v>
      </c>
    </row>
    <row r="175" spans="1:26" x14ac:dyDescent="0.25">
      <c r="A175" t="s">
        <v>2009</v>
      </c>
      <c r="B175">
        <v>1919</v>
      </c>
      <c r="C175" t="s">
        <v>2010</v>
      </c>
      <c r="D175">
        <v>150000</v>
      </c>
      <c r="I175" t="s">
        <v>2011</v>
      </c>
      <c r="Z175">
        <f t="shared" si="2"/>
        <v>53</v>
      </c>
    </row>
    <row r="176" spans="1:26" x14ac:dyDescent="0.25">
      <c r="A176" t="s">
        <v>2012</v>
      </c>
      <c r="B176">
        <v>1919</v>
      </c>
      <c r="C176" t="s">
        <v>2013</v>
      </c>
      <c r="I176" t="s">
        <v>2014</v>
      </c>
      <c r="J176" t="s">
        <v>2015</v>
      </c>
      <c r="K176" t="s">
        <v>2016</v>
      </c>
      <c r="M176" t="s">
        <v>1591</v>
      </c>
      <c r="Z176">
        <f t="shared" si="2"/>
        <v>57</v>
      </c>
    </row>
    <row r="177" spans="1:26" x14ac:dyDescent="0.25">
      <c r="A177" t="s">
        <v>2017</v>
      </c>
      <c r="B177">
        <v>1919</v>
      </c>
      <c r="C177" t="s">
        <v>2018</v>
      </c>
      <c r="I177" t="s">
        <v>2018</v>
      </c>
      <c r="N177" t="s">
        <v>28</v>
      </c>
      <c r="Z177">
        <f t="shared" si="2"/>
        <v>67</v>
      </c>
    </row>
    <row r="178" spans="1:26" x14ac:dyDescent="0.25">
      <c r="A178" t="s">
        <v>2019</v>
      </c>
      <c r="B178">
        <v>1919</v>
      </c>
      <c r="C178" t="s">
        <v>2020</v>
      </c>
      <c r="I178" t="s">
        <v>2021</v>
      </c>
      <c r="N178" t="s">
        <v>28</v>
      </c>
      <c r="Z178">
        <f t="shared" si="2"/>
        <v>42</v>
      </c>
    </row>
    <row r="179" spans="1:26" x14ac:dyDescent="0.25">
      <c r="A179" t="s">
        <v>2022</v>
      </c>
      <c r="B179">
        <v>1919</v>
      </c>
      <c r="C179" t="s">
        <v>2023</v>
      </c>
      <c r="I179" t="s">
        <v>2023</v>
      </c>
      <c r="Z179">
        <f t="shared" si="2"/>
        <v>27</v>
      </c>
    </row>
    <row r="180" spans="1:26" x14ac:dyDescent="0.25">
      <c r="A180" t="s">
        <v>2024</v>
      </c>
      <c r="B180">
        <v>1919</v>
      </c>
      <c r="C180" t="s">
        <v>2025</v>
      </c>
      <c r="I180" t="s">
        <v>2026</v>
      </c>
      <c r="J180" t="s">
        <v>2027</v>
      </c>
      <c r="K180" t="s">
        <v>2028</v>
      </c>
      <c r="L180" t="s">
        <v>383</v>
      </c>
      <c r="M180" t="s">
        <v>1879</v>
      </c>
      <c r="U180" t="s">
        <v>28</v>
      </c>
      <c r="V180" t="s">
        <v>28</v>
      </c>
      <c r="W180" t="s">
        <v>28</v>
      </c>
      <c r="Z180">
        <f t="shared" si="2"/>
        <v>54</v>
      </c>
    </row>
    <row r="181" spans="1:26" x14ac:dyDescent="0.25">
      <c r="A181" t="s">
        <v>2029</v>
      </c>
      <c r="B181">
        <v>1919</v>
      </c>
      <c r="C181" t="s">
        <v>2030</v>
      </c>
      <c r="I181" t="s">
        <v>2030</v>
      </c>
      <c r="N181" t="s">
        <v>28</v>
      </c>
      <c r="Z181">
        <f t="shared" si="2"/>
        <v>62</v>
      </c>
    </row>
    <row r="182" spans="1:26" x14ac:dyDescent="0.25">
      <c r="A182" t="s">
        <v>2031</v>
      </c>
      <c r="B182">
        <v>1919</v>
      </c>
      <c r="C182" t="s">
        <v>2032</v>
      </c>
      <c r="I182" t="s">
        <v>2033</v>
      </c>
      <c r="Z182">
        <f t="shared" si="2"/>
        <v>49</v>
      </c>
    </row>
    <row r="183" spans="1:26" x14ac:dyDescent="0.25">
      <c r="A183" t="s">
        <v>2034</v>
      </c>
      <c r="B183">
        <v>1919</v>
      </c>
      <c r="C183" t="s">
        <v>2035</v>
      </c>
      <c r="H183" t="s">
        <v>2036</v>
      </c>
      <c r="I183" t="s">
        <v>2037</v>
      </c>
      <c r="P183" t="s">
        <v>28</v>
      </c>
      <c r="Z183">
        <f t="shared" si="2"/>
        <v>50</v>
      </c>
    </row>
    <row r="184" spans="1:26" x14ac:dyDescent="0.25">
      <c r="A184" t="s">
        <v>2038</v>
      </c>
      <c r="B184">
        <v>1919</v>
      </c>
      <c r="C184" t="s">
        <v>2039</v>
      </c>
      <c r="H184" t="s">
        <v>2040</v>
      </c>
      <c r="I184" t="s">
        <v>2041</v>
      </c>
      <c r="O184" t="s">
        <v>28</v>
      </c>
      <c r="Z184">
        <f t="shared" si="2"/>
        <v>62</v>
      </c>
    </row>
    <row r="185" spans="1:26" x14ac:dyDescent="0.25">
      <c r="A185" t="s">
        <v>2042</v>
      </c>
      <c r="B185">
        <v>1919</v>
      </c>
      <c r="C185" t="s">
        <v>2043</v>
      </c>
      <c r="I185" t="s">
        <v>2044</v>
      </c>
      <c r="J185" t="s">
        <v>2045</v>
      </c>
      <c r="K185" t="s">
        <v>210</v>
      </c>
      <c r="L185" t="s">
        <v>952</v>
      </c>
      <c r="M185" t="s">
        <v>1892</v>
      </c>
      <c r="W185" t="s">
        <v>28</v>
      </c>
      <c r="Z185">
        <f t="shared" si="2"/>
        <v>73</v>
      </c>
    </row>
    <row r="186" spans="1:26" x14ac:dyDescent="0.25">
      <c r="A186" t="s">
        <v>2046</v>
      </c>
      <c r="B186">
        <v>1919</v>
      </c>
      <c r="C186" t="s">
        <v>2047</v>
      </c>
      <c r="I186" t="s">
        <v>2047</v>
      </c>
      <c r="Z186">
        <f t="shared" si="2"/>
        <v>50</v>
      </c>
    </row>
    <row r="187" spans="1:26" x14ac:dyDescent="0.25">
      <c r="A187" t="s">
        <v>2048</v>
      </c>
      <c r="B187">
        <v>1919</v>
      </c>
      <c r="C187" t="s">
        <v>2049</v>
      </c>
      <c r="H187" t="s">
        <v>2050</v>
      </c>
      <c r="I187" t="s">
        <v>2049</v>
      </c>
      <c r="Z187">
        <f t="shared" si="2"/>
        <v>55</v>
      </c>
    </row>
    <row r="188" spans="1:26" x14ac:dyDescent="0.25">
      <c r="A188" t="s">
        <v>2051</v>
      </c>
      <c r="B188">
        <v>1919</v>
      </c>
      <c r="C188" t="s">
        <v>2052</v>
      </c>
      <c r="I188" t="s">
        <v>2053</v>
      </c>
      <c r="Z188">
        <f t="shared" si="2"/>
        <v>45</v>
      </c>
    </row>
    <row r="189" spans="1:26" x14ac:dyDescent="0.25">
      <c r="A189" t="s">
        <v>2054</v>
      </c>
      <c r="B189">
        <v>1919</v>
      </c>
      <c r="C189" t="s">
        <v>2055</v>
      </c>
      <c r="I189" t="s">
        <v>2056</v>
      </c>
      <c r="Z189">
        <f t="shared" si="2"/>
        <v>54</v>
      </c>
    </row>
    <row r="190" spans="1:26" x14ac:dyDescent="0.25">
      <c r="A190" t="s">
        <v>2057</v>
      </c>
      <c r="B190">
        <v>1919</v>
      </c>
      <c r="C190" t="s">
        <v>2058</v>
      </c>
      <c r="E190" t="s">
        <v>2059</v>
      </c>
      <c r="H190" t="s">
        <v>2060</v>
      </c>
      <c r="I190" t="s">
        <v>2061</v>
      </c>
      <c r="Z190">
        <f t="shared" si="2"/>
        <v>81</v>
      </c>
    </row>
    <row r="191" spans="1:26" x14ac:dyDescent="0.25">
      <c r="A191" t="s">
        <v>2062</v>
      </c>
      <c r="B191">
        <v>1919</v>
      </c>
      <c r="C191" t="s">
        <v>2063</v>
      </c>
      <c r="I191" t="s">
        <v>2064</v>
      </c>
      <c r="Z191">
        <f t="shared" si="2"/>
        <v>47</v>
      </c>
    </row>
    <row r="192" spans="1:26" x14ac:dyDescent="0.25">
      <c r="A192" t="s">
        <v>2065</v>
      </c>
      <c r="B192">
        <v>1919</v>
      </c>
      <c r="C192" t="s">
        <v>2066</v>
      </c>
      <c r="I192" t="s">
        <v>2067</v>
      </c>
      <c r="J192" t="s">
        <v>2068</v>
      </c>
      <c r="K192" t="s">
        <v>383</v>
      </c>
      <c r="L192" t="s">
        <v>879</v>
      </c>
      <c r="M192" t="s">
        <v>1404</v>
      </c>
      <c r="U192" t="s">
        <v>28</v>
      </c>
      <c r="Z192">
        <f t="shared" si="2"/>
        <v>53</v>
      </c>
    </row>
    <row r="193" spans="1:26" x14ac:dyDescent="0.25">
      <c r="A193" t="s">
        <v>2069</v>
      </c>
      <c r="B193">
        <v>1919</v>
      </c>
      <c r="C193" t="s">
        <v>2070</v>
      </c>
      <c r="I193" t="s">
        <v>2070</v>
      </c>
      <c r="Z193">
        <f t="shared" si="2"/>
        <v>46</v>
      </c>
    </row>
    <row r="194" spans="1:26" x14ac:dyDescent="0.25">
      <c r="A194" t="s">
        <v>2071</v>
      </c>
      <c r="B194">
        <v>1919</v>
      </c>
      <c r="C194" t="s">
        <v>2072</v>
      </c>
      <c r="I194" t="s">
        <v>2073</v>
      </c>
      <c r="J194" t="s">
        <v>2074</v>
      </c>
      <c r="K194" t="s">
        <v>23</v>
      </c>
      <c r="L194" t="s">
        <v>1631</v>
      </c>
      <c r="M194" t="s">
        <v>1679</v>
      </c>
      <c r="U194" t="s">
        <v>28</v>
      </c>
      <c r="Z194">
        <f t="shared" si="2"/>
        <v>76</v>
      </c>
    </row>
    <row r="195" spans="1:26" x14ac:dyDescent="0.25">
      <c r="A195" t="s">
        <v>2075</v>
      </c>
      <c r="B195">
        <v>1919</v>
      </c>
      <c r="C195" t="s">
        <v>2076</v>
      </c>
      <c r="D195" s="1">
        <v>8000000</v>
      </c>
      <c r="G195" t="s">
        <v>2077</v>
      </c>
      <c r="I195" t="s">
        <v>2078</v>
      </c>
      <c r="Z195">
        <f t="shared" ref="Z195:Z258" si="3">LEN(C195)+LEN(D195)+LEN(E195)+LEN(F195)+LEN(G195)+LEN(H195)+LEN(J195)+LEN(K195)+LEN(L195)+LEN(M195)</f>
        <v>40</v>
      </c>
    </row>
    <row r="196" spans="1:26" x14ac:dyDescent="0.25">
      <c r="A196" t="s">
        <v>2079</v>
      </c>
      <c r="B196">
        <v>1919</v>
      </c>
      <c r="C196" t="s">
        <v>2080</v>
      </c>
      <c r="I196" t="s">
        <v>2080</v>
      </c>
      <c r="Z196">
        <f t="shared" si="3"/>
        <v>40</v>
      </c>
    </row>
    <row r="197" spans="1:26" x14ac:dyDescent="0.25">
      <c r="A197" t="s">
        <v>2081</v>
      </c>
      <c r="B197">
        <v>1919</v>
      </c>
      <c r="C197" t="s">
        <v>2082</v>
      </c>
      <c r="I197" t="s">
        <v>2083</v>
      </c>
      <c r="N197" t="s">
        <v>28</v>
      </c>
      <c r="Z197">
        <f t="shared" si="3"/>
        <v>52</v>
      </c>
    </row>
    <row r="198" spans="1:26" x14ac:dyDescent="0.25">
      <c r="A198" t="s">
        <v>2084</v>
      </c>
      <c r="B198">
        <v>1919</v>
      </c>
      <c r="C198" t="s">
        <v>2085</v>
      </c>
      <c r="I198" t="s">
        <v>2085</v>
      </c>
      <c r="Z198">
        <f t="shared" si="3"/>
        <v>36</v>
      </c>
    </row>
    <row r="199" spans="1:26" x14ac:dyDescent="0.25">
      <c r="A199" t="s">
        <v>2086</v>
      </c>
      <c r="B199">
        <v>1919</v>
      </c>
      <c r="C199" t="s">
        <v>2087</v>
      </c>
      <c r="I199" t="s">
        <v>2087</v>
      </c>
      <c r="Z199">
        <f t="shared" si="3"/>
        <v>31</v>
      </c>
    </row>
    <row r="200" spans="1:26" x14ac:dyDescent="0.25">
      <c r="A200" t="s">
        <v>2088</v>
      </c>
      <c r="B200">
        <v>1919</v>
      </c>
      <c r="C200" t="s">
        <v>2089</v>
      </c>
      <c r="H200" t="s">
        <v>1984</v>
      </c>
      <c r="I200" t="s">
        <v>2090</v>
      </c>
      <c r="O200" t="s">
        <v>28</v>
      </c>
      <c r="Z200">
        <f t="shared" si="3"/>
        <v>51</v>
      </c>
    </row>
    <row r="201" spans="1:26" x14ac:dyDescent="0.25">
      <c r="A201" t="s">
        <v>2091</v>
      </c>
      <c r="B201">
        <v>1919</v>
      </c>
      <c r="C201" t="s">
        <v>2092</v>
      </c>
      <c r="H201" t="s">
        <v>2093</v>
      </c>
      <c r="I201" t="s">
        <v>2094</v>
      </c>
      <c r="S201" t="s">
        <v>28</v>
      </c>
      <c r="Z201">
        <f t="shared" si="3"/>
        <v>54</v>
      </c>
    </row>
    <row r="202" spans="1:26" x14ac:dyDescent="0.25">
      <c r="A202" t="s">
        <v>2095</v>
      </c>
      <c r="B202">
        <v>1919</v>
      </c>
      <c r="C202" t="s">
        <v>2096</v>
      </c>
      <c r="H202" t="s">
        <v>1976</v>
      </c>
      <c r="I202" t="s">
        <v>2097</v>
      </c>
      <c r="J202" t="s">
        <v>2098</v>
      </c>
      <c r="K202" t="s">
        <v>2099</v>
      </c>
      <c r="M202" t="s">
        <v>2100</v>
      </c>
      <c r="N202" t="s">
        <v>68</v>
      </c>
      <c r="Y202">
        <v>1</v>
      </c>
      <c r="Z202">
        <f t="shared" si="3"/>
        <v>72</v>
      </c>
    </row>
    <row r="203" spans="1:26" x14ac:dyDescent="0.25">
      <c r="A203" t="s">
        <v>2101</v>
      </c>
      <c r="B203">
        <v>1919</v>
      </c>
      <c r="C203" t="s">
        <v>2102</v>
      </c>
      <c r="I203" t="s">
        <v>2103</v>
      </c>
      <c r="J203" t="s">
        <v>2104</v>
      </c>
      <c r="K203" t="s">
        <v>321</v>
      </c>
      <c r="M203" t="s">
        <v>1679</v>
      </c>
      <c r="N203" t="s">
        <v>28</v>
      </c>
      <c r="Z203">
        <f t="shared" si="3"/>
        <v>79</v>
      </c>
    </row>
    <row r="204" spans="1:26" x14ac:dyDescent="0.25">
      <c r="A204" t="s">
        <v>2105</v>
      </c>
      <c r="B204">
        <v>1919</v>
      </c>
      <c r="C204" t="s">
        <v>2106</v>
      </c>
      <c r="I204" t="s">
        <v>2107</v>
      </c>
      <c r="Z204">
        <f t="shared" si="3"/>
        <v>45</v>
      </c>
    </row>
    <row r="205" spans="1:26" x14ac:dyDescent="0.25">
      <c r="A205" t="s">
        <v>2108</v>
      </c>
      <c r="B205">
        <v>1919</v>
      </c>
      <c r="C205" t="s">
        <v>2109</v>
      </c>
      <c r="H205" t="s">
        <v>2110</v>
      </c>
      <c r="I205" t="s">
        <v>2111</v>
      </c>
      <c r="N205" t="s">
        <v>28</v>
      </c>
      <c r="O205" t="s">
        <v>28</v>
      </c>
      <c r="Z205">
        <f t="shared" si="3"/>
        <v>112</v>
      </c>
    </row>
    <row r="206" spans="1:26" x14ac:dyDescent="0.25">
      <c r="A206" t="s">
        <v>2112</v>
      </c>
      <c r="B206">
        <v>1919</v>
      </c>
      <c r="C206" t="s">
        <v>2113</v>
      </c>
      <c r="H206" t="s">
        <v>2114</v>
      </c>
      <c r="I206" t="s">
        <v>2115</v>
      </c>
      <c r="J206" t="s">
        <v>2116</v>
      </c>
      <c r="K206" t="s">
        <v>2117</v>
      </c>
      <c r="L206" t="s">
        <v>2118</v>
      </c>
      <c r="M206" t="s">
        <v>1679</v>
      </c>
      <c r="N206" t="s">
        <v>28</v>
      </c>
      <c r="S206" t="s">
        <v>28</v>
      </c>
      <c r="U206" t="s">
        <v>28</v>
      </c>
      <c r="W206" t="s">
        <v>28</v>
      </c>
      <c r="Z206">
        <f t="shared" si="3"/>
        <v>83</v>
      </c>
    </row>
    <row r="207" spans="1:26" x14ac:dyDescent="0.25">
      <c r="A207" t="s">
        <v>2119</v>
      </c>
      <c r="B207">
        <v>1919</v>
      </c>
      <c r="C207" t="s">
        <v>2120</v>
      </c>
      <c r="H207" t="s">
        <v>1759</v>
      </c>
      <c r="I207" t="s">
        <v>2121</v>
      </c>
      <c r="Z207">
        <f t="shared" si="3"/>
        <v>36</v>
      </c>
    </row>
    <row r="208" spans="1:26" x14ac:dyDescent="0.25">
      <c r="A208" t="s">
        <v>2122</v>
      </c>
      <c r="B208">
        <v>1919</v>
      </c>
      <c r="C208" t="s">
        <v>2123</v>
      </c>
      <c r="H208" t="s">
        <v>2124</v>
      </c>
      <c r="I208" t="s">
        <v>2123</v>
      </c>
      <c r="N208" t="s">
        <v>28</v>
      </c>
      <c r="S208" t="s">
        <v>28</v>
      </c>
      <c r="Z208">
        <f t="shared" si="3"/>
        <v>61</v>
      </c>
    </row>
    <row r="209" spans="1:26" x14ac:dyDescent="0.25">
      <c r="A209" t="s">
        <v>2125</v>
      </c>
      <c r="B209">
        <v>1919</v>
      </c>
      <c r="C209" t="s">
        <v>2126</v>
      </c>
      <c r="H209" t="s">
        <v>2127</v>
      </c>
      <c r="I209" t="s">
        <v>2126</v>
      </c>
      <c r="Z209">
        <f t="shared" si="3"/>
        <v>48</v>
      </c>
    </row>
    <row r="210" spans="1:26" x14ac:dyDescent="0.25">
      <c r="A210" t="s">
        <v>2128</v>
      </c>
      <c r="B210">
        <v>1919</v>
      </c>
      <c r="C210" t="s">
        <v>2129</v>
      </c>
      <c r="I210" t="s">
        <v>2129</v>
      </c>
      <c r="Z210">
        <f t="shared" si="3"/>
        <v>41</v>
      </c>
    </row>
    <row r="211" spans="1:26" x14ac:dyDescent="0.25">
      <c r="A211" t="s">
        <v>2130</v>
      </c>
      <c r="B211">
        <v>1919</v>
      </c>
      <c r="C211" t="s">
        <v>2131</v>
      </c>
      <c r="H211" t="s">
        <v>1976</v>
      </c>
      <c r="I211" t="s">
        <v>2132</v>
      </c>
      <c r="J211" t="s">
        <v>2133</v>
      </c>
      <c r="K211" t="s">
        <v>2134</v>
      </c>
      <c r="M211" t="s">
        <v>2135</v>
      </c>
      <c r="N211" t="s">
        <v>68</v>
      </c>
      <c r="U211" t="s">
        <v>28</v>
      </c>
      <c r="Y211">
        <v>17</v>
      </c>
      <c r="Z211">
        <f t="shared" si="3"/>
        <v>102</v>
      </c>
    </row>
    <row r="212" spans="1:26" x14ac:dyDescent="0.25">
      <c r="A212" t="s">
        <v>2136</v>
      </c>
      <c r="B212">
        <v>1919</v>
      </c>
      <c r="C212" t="s">
        <v>2137</v>
      </c>
      <c r="H212" t="s">
        <v>2138</v>
      </c>
      <c r="I212" t="s">
        <v>2137</v>
      </c>
      <c r="N212" t="s">
        <v>28</v>
      </c>
      <c r="Z212">
        <f t="shared" si="3"/>
        <v>68</v>
      </c>
    </row>
    <row r="213" spans="1:26" x14ac:dyDescent="0.25">
      <c r="A213" t="s">
        <v>2139</v>
      </c>
      <c r="B213">
        <v>1920</v>
      </c>
      <c r="C213" t="s">
        <v>2140</v>
      </c>
      <c r="I213" t="s">
        <v>2140</v>
      </c>
      <c r="Z213">
        <f t="shared" si="3"/>
        <v>26</v>
      </c>
    </row>
    <row r="214" spans="1:26" x14ac:dyDescent="0.25">
      <c r="A214" t="s">
        <v>2141</v>
      </c>
      <c r="B214">
        <v>1920</v>
      </c>
      <c r="C214" t="s">
        <v>2142</v>
      </c>
      <c r="H214" t="s">
        <v>2143</v>
      </c>
      <c r="I214" t="s">
        <v>2144</v>
      </c>
      <c r="S214" t="s">
        <v>28</v>
      </c>
      <c r="Z214">
        <f t="shared" si="3"/>
        <v>42</v>
      </c>
    </row>
    <row r="215" spans="1:26" x14ac:dyDescent="0.25">
      <c r="A215" t="s">
        <v>2145</v>
      </c>
      <c r="B215">
        <v>1920</v>
      </c>
      <c r="C215" t="s">
        <v>2146</v>
      </c>
      <c r="I215" t="s">
        <v>2147</v>
      </c>
      <c r="Z215">
        <f t="shared" si="3"/>
        <v>30</v>
      </c>
    </row>
    <row r="216" spans="1:26" x14ac:dyDescent="0.25">
      <c r="A216" t="s">
        <v>2148</v>
      </c>
      <c r="B216">
        <v>1920</v>
      </c>
      <c r="C216" t="s">
        <v>2149</v>
      </c>
      <c r="H216" t="s">
        <v>2150</v>
      </c>
      <c r="I216" t="s">
        <v>2149</v>
      </c>
      <c r="N216" t="s">
        <v>28</v>
      </c>
      <c r="S216" t="s">
        <v>28</v>
      </c>
      <c r="Z216">
        <f t="shared" si="3"/>
        <v>61</v>
      </c>
    </row>
    <row r="217" spans="1:26" x14ac:dyDescent="0.25">
      <c r="A217" t="s">
        <v>2151</v>
      </c>
      <c r="B217">
        <v>1920</v>
      </c>
      <c r="C217" t="s">
        <v>2152</v>
      </c>
      <c r="H217" t="s">
        <v>1759</v>
      </c>
      <c r="I217" t="s">
        <v>2153</v>
      </c>
      <c r="J217" t="s">
        <v>2154</v>
      </c>
      <c r="K217" t="s">
        <v>392</v>
      </c>
      <c r="L217" t="s">
        <v>878</v>
      </c>
      <c r="M217" t="s">
        <v>2155</v>
      </c>
      <c r="N217" t="s">
        <v>68</v>
      </c>
      <c r="U217" t="s">
        <v>28</v>
      </c>
      <c r="Y217">
        <v>1</v>
      </c>
      <c r="Z217">
        <f t="shared" si="3"/>
        <v>76</v>
      </c>
    </row>
    <row r="218" spans="1:26" x14ac:dyDescent="0.25">
      <c r="A218" t="s">
        <v>2156</v>
      </c>
      <c r="B218">
        <v>1920</v>
      </c>
      <c r="C218" t="s">
        <v>2157</v>
      </c>
      <c r="H218" t="s">
        <v>1400</v>
      </c>
      <c r="I218" t="s">
        <v>2158</v>
      </c>
      <c r="P218" t="s">
        <v>28</v>
      </c>
      <c r="Z218">
        <f t="shared" si="3"/>
        <v>48</v>
      </c>
    </row>
    <row r="219" spans="1:26" x14ac:dyDescent="0.25">
      <c r="A219" t="s">
        <v>2159</v>
      </c>
      <c r="B219">
        <v>1920</v>
      </c>
      <c r="C219" t="s">
        <v>2160</v>
      </c>
      <c r="I219" t="s">
        <v>2161</v>
      </c>
      <c r="J219" t="s">
        <v>2162</v>
      </c>
      <c r="K219" t="s">
        <v>322</v>
      </c>
      <c r="M219" t="s">
        <v>1404</v>
      </c>
      <c r="U219" t="s">
        <v>28</v>
      </c>
      <c r="X219" t="s">
        <v>28</v>
      </c>
      <c r="Z219">
        <f t="shared" si="3"/>
        <v>52</v>
      </c>
    </row>
    <row r="220" spans="1:26" x14ac:dyDescent="0.25">
      <c r="A220" t="s">
        <v>2163</v>
      </c>
      <c r="B220">
        <v>1920</v>
      </c>
      <c r="C220" t="s">
        <v>2164</v>
      </c>
      <c r="H220" t="s">
        <v>1552</v>
      </c>
      <c r="I220" t="s">
        <v>2165</v>
      </c>
      <c r="J220" t="s">
        <v>2166</v>
      </c>
      <c r="K220" t="s">
        <v>210</v>
      </c>
      <c r="M220" t="s">
        <v>1679</v>
      </c>
      <c r="U220" t="s">
        <v>28</v>
      </c>
      <c r="W220" t="s">
        <v>28</v>
      </c>
      <c r="Z220">
        <f t="shared" si="3"/>
        <v>67</v>
      </c>
    </row>
    <row r="221" spans="1:26" x14ac:dyDescent="0.25">
      <c r="A221" t="s">
        <v>2167</v>
      </c>
      <c r="B221">
        <v>1920</v>
      </c>
      <c r="C221" t="s">
        <v>2168</v>
      </c>
      <c r="H221" t="s">
        <v>1809</v>
      </c>
      <c r="I221" t="s">
        <v>2169</v>
      </c>
      <c r="J221" t="s">
        <v>2170</v>
      </c>
      <c r="K221" t="s">
        <v>383</v>
      </c>
      <c r="L221" t="s">
        <v>28</v>
      </c>
      <c r="M221" t="s">
        <v>1798</v>
      </c>
      <c r="U221" t="s">
        <v>28</v>
      </c>
      <c r="Z221">
        <f t="shared" si="3"/>
        <v>72</v>
      </c>
    </row>
    <row r="222" spans="1:26" x14ac:dyDescent="0.25">
      <c r="A222" t="s">
        <v>2171</v>
      </c>
      <c r="B222">
        <v>1920</v>
      </c>
      <c r="C222" t="s">
        <v>2172</v>
      </c>
      <c r="D222" s="1">
        <v>3000000</v>
      </c>
      <c r="G222" t="s">
        <v>2173</v>
      </c>
      <c r="H222" t="s">
        <v>1552</v>
      </c>
      <c r="I222" t="s">
        <v>2174</v>
      </c>
      <c r="Z222">
        <f t="shared" si="3"/>
        <v>68</v>
      </c>
    </row>
    <row r="223" spans="1:26" x14ac:dyDescent="0.25">
      <c r="A223" t="s">
        <v>2175</v>
      </c>
      <c r="B223">
        <v>1920</v>
      </c>
      <c r="C223" t="s">
        <v>2176</v>
      </c>
      <c r="H223" t="s">
        <v>1400</v>
      </c>
      <c r="I223" t="s">
        <v>2177</v>
      </c>
      <c r="J223" t="s">
        <v>2178</v>
      </c>
      <c r="K223" t="s">
        <v>1389</v>
      </c>
      <c r="M223" t="s">
        <v>1404</v>
      </c>
      <c r="U223" t="s">
        <v>28</v>
      </c>
      <c r="W223" t="s">
        <v>28</v>
      </c>
      <c r="Z223">
        <f t="shared" si="3"/>
        <v>55</v>
      </c>
    </row>
    <row r="224" spans="1:26" x14ac:dyDescent="0.25">
      <c r="A224" t="s">
        <v>2179</v>
      </c>
      <c r="B224">
        <v>1920</v>
      </c>
      <c r="C224" t="s">
        <v>2180</v>
      </c>
      <c r="H224" t="s">
        <v>2181</v>
      </c>
      <c r="I224" t="s">
        <v>2180</v>
      </c>
      <c r="Z224">
        <f t="shared" si="3"/>
        <v>57</v>
      </c>
    </row>
    <row r="225" spans="1:26" x14ac:dyDescent="0.25">
      <c r="A225" t="s">
        <v>2182</v>
      </c>
      <c r="B225">
        <v>1920</v>
      </c>
      <c r="C225" t="s">
        <v>2183</v>
      </c>
      <c r="H225" t="s">
        <v>2184</v>
      </c>
      <c r="I225" t="s">
        <v>2185</v>
      </c>
      <c r="J225" t="s">
        <v>2186</v>
      </c>
      <c r="K225" t="s">
        <v>2187</v>
      </c>
      <c r="M225" t="s">
        <v>1798</v>
      </c>
      <c r="W225" t="s">
        <v>28</v>
      </c>
      <c r="Z225">
        <f t="shared" si="3"/>
        <v>72</v>
      </c>
    </row>
    <row r="226" spans="1:26" x14ac:dyDescent="0.25">
      <c r="A226" t="s">
        <v>2188</v>
      </c>
      <c r="B226">
        <v>1920</v>
      </c>
      <c r="C226" t="s">
        <v>2189</v>
      </c>
      <c r="I226" t="s">
        <v>2190</v>
      </c>
      <c r="Z226">
        <f t="shared" si="3"/>
        <v>39</v>
      </c>
    </row>
    <row r="227" spans="1:26" x14ac:dyDescent="0.25">
      <c r="A227" t="s">
        <v>2191</v>
      </c>
      <c r="B227">
        <v>1920</v>
      </c>
      <c r="C227" t="s">
        <v>2192</v>
      </c>
      <c r="I227" t="s">
        <v>2193</v>
      </c>
      <c r="Z227">
        <f t="shared" si="3"/>
        <v>46</v>
      </c>
    </row>
    <row r="228" spans="1:26" x14ac:dyDescent="0.25">
      <c r="A228" t="s">
        <v>2194</v>
      </c>
      <c r="B228">
        <v>1920</v>
      </c>
      <c r="C228" t="s">
        <v>2195</v>
      </c>
      <c r="H228" t="s">
        <v>1581</v>
      </c>
      <c r="I228" t="s">
        <v>2196</v>
      </c>
      <c r="J228" t="s">
        <v>2197</v>
      </c>
      <c r="K228" t="s">
        <v>2198</v>
      </c>
      <c r="M228" t="s">
        <v>1798</v>
      </c>
      <c r="V228" t="s">
        <v>28</v>
      </c>
      <c r="W228" t="s">
        <v>28</v>
      </c>
      <c r="Z228">
        <f t="shared" si="3"/>
        <v>79</v>
      </c>
    </row>
    <row r="229" spans="1:26" x14ac:dyDescent="0.25">
      <c r="A229" t="s">
        <v>2199</v>
      </c>
      <c r="B229">
        <v>1920</v>
      </c>
      <c r="C229" t="s">
        <v>2200</v>
      </c>
      <c r="I229" t="s">
        <v>2201</v>
      </c>
      <c r="Z229">
        <f t="shared" si="3"/>
        <v>42</v>
      </c>
    </row>
    <row r="230" spans="1:26" x14ac:dyDescent="0.25">
      <c r="A230" t="s">
        <v>2202</v>
      </c>
      <c r="B230">
        <v>1920</v>
      </c>
      <c r="C230" t="s">
        <v>2203</v>
      </c>
      <c r="I230" t="s">
        <v>2204</v>
      </c>
      <c r="N230" t="s">
        <v>68</v>
      </c>
      <c r="Y230">
        <v>3</v>
      </c>
      <c r="Z230">
        <f t="shared" si="3"/>
        <v>44</v>
      </c>
    </row>
    <row r="231" spans="1:26" x14ac:dyDescent="0.25">
      <c r="A231" t="s">
        <v>2205</v>
      </c>
      <c r="B231">
        <v>1920</v>
      </c>
      <c r="C231" t="s">
        <v>2206</v>
      </c>
      <c r="I231" t="s">
        <v>2207</v>
      </c>
      <c r="N231" t="s">
        <v>68</v>
      </c>
      <c r="Y231">
        <v>2</v>
      </c>
      <c r="Z231">
        <f t="shared" si="3"/>
        <v>48</v>
      </c>
    </row>
    <row r="232" spans="1:26" x14ac:dyDescent="0.25">
      <c r="A232" t="s">
        <v>2208</v>
      </c>
      <c r="B232">
        <v>1920</v>
      </c>
      <c r="C232" t="s">
        <v>2209</v>
      </c>
      <c r="H232" t="s">
        <v>2210</v>
      </c>
      <c r="I232" t="s">
        <v>2211</v>
      </c>
      <c r="J232" t="s">
        <v>2212</v>
      </c>
      <c r="K232" t="s">
        <v>2213</v>
      </c>
      <c r="M232" t="s">
        <v>1404</v>
      </c>
      <c r="W232" t="s">
        <v>28</v>
      </c>
      <c r="Z232">
        <f t="shared" si="3"/>
        <v>53</v>
      </c>
    </row>
    <row r="233" spans="1:26" x14ac:dyDescent="0.25">
      <c r="A233" t="s">
        <v>2214</v>
      </c>
      <c r="B233">
        <v>1920</v>
      </c>
      <c r="C233" t="s">
        <v>2215</v>
      </c>
      <c r="I233" t="s">
        <v>2216</v>
      </c>
      <c r="Z233">
        <f t="shared" si="3"/>
        <v>49</v>
      </c>
    </row>
    <row r="234" spans="1:26" x14ac:dyDescent="0.25">
      <c r="A234" t="s">
        <v>2217</v>
      </c>
      <c r="B234">
        <v>1920</v>
      </c>
      <c r="C234" t="s">
        <v>2218</v>
      </c>
      <c r="H234" t="s">
        <v>1989</v>
      </c>
      <c r="I234" t="s">
        <v>2219</v>
      </c>
      <c r="N234" t="s">
        <v>28</v>
      </c>
      <c r="S234" t="s">
        <v>28</v>
      </c>
      <c r="Z234">
        <f t="shared" si="3"/>
        <v>63</v>
      </c>
    </row>
    <row r="235" spans="1:26" x14ac:dyDescent="0.25">
      <c r="A235" t="s">
        <v>2220</v>
      </c>
      <c r="B235">
        <v>1920</v>
      </c>
      <c r="C235" t="s">
        <v>2221</v>
      </c>
      <c r="I235" t="s">
        <v>2222</v>
      </c>
      <c r="Z235">
        <f t="shared" si="3"/>
        <v>29</v>
      </c>
    </row>
    <row r="236" spans="1:26" x14ac:dyDescent="0.25">
      <c r="A236" t="s">
        <v>2223</v>
      </c>
      <c r="B236">
        <v>1920</v>
      </c>
      <c r="C236" t="s">
        <v>2224</v>
      </c>
      <c r="E236" t="s">
        <v>2225</v>
      </c>
      <c r="I236" t="s">
        <v>2226</v>
      </c>
      <c r="N236" t="s">
        <v>68</v>
      </c>
      <c r="Y236">
        <v>2</v>
      </c>
      <c r="Z236">
        <f t="shared" si="3"/>
        <v>69</v>
      </c>
    </row>
    <row r="237" spans="1:26" x14ac:dyDescent="0.25">
      <c r="A237" t="s">
        <v>2227</v>
      </c>
      <c r="B237">
        <v>1920</v>
      </c>
      <c r="C237" t="s">
        <v>2228</v>
      </c>
      <c r="I237" t="s">
        <v>2229</v>
      </c>
      <c r="Z237">
        <f t="shared" si="3"/>
        <v>33</v>
      </c>
    </row>
    <row r="238" spans="1:26" x14ac:dyDescent="0.25">
      <c r="A238" t="s">
        <v>2230</v>
      </c>
      <c r="B238">
        <v>1920</v>
      </c>
      <c r="C238" t="s">
        <v>2231</v>
      </c>
      <c r="I238" t="s">
        <v>2231</v>
      </c>
      <c r="Z238">
        <f t="shared" si="3"/>
        <v>26</v>
      </c>
    </row>
    <row r="239" spans="1:26" x14ac:dyDescent="0.25">
      <c r="A239" t="s">
        <v>2232</v>
      </c>
      <c r="B239">
        <v>1920</v>
      </c>
      <c r="C239" t="s">
        <v>2233</v>
      </c>
      <c r="I239" t="s">
        <v>2233</v>
      </c>
      <c r="N239" t="s">
        <v>68</v>
      </c>
      <c r="Y239">
        <v>1</v>
      </c>
      <c r="Z239">
        <f t="shared" si="3"/>
        <v>37</v>
      </c>
    </row>
    <row r="240" spans="1:26" x14ac:dyDescent="0.25">
      <c r="A240" t="s">
        <v>2234</v>
      </c>
      <c r="B240">
        <v>1920</v>
      </c>
      <c r="C240" t="s">
        <v>2235</v>
      </c>
      <c r="I240" t="s">
        <v>2235</v>
      </c>
      <c r="Z240">
        <f t="shared" si="3"/>
        <v>39</v>
      </c>
    </row>
    <row r="241" spans="1:26" x14ac:dyDescent="0.25">
      <c r="A241" t="s">
        <v>2236</v>
      </c>
      <c r="B241">
        <v>1920</v>
      </c>
      <c r="C241" t="s">
        <v>2237</v>
      </c>
      <c r="I241" t="s">
        <v>2238</v>
      </c>
      <c r="N241" t="s">
        <v>28</v>
      </c>
      <c r="Z241">
        <f t="shared" si="3"/>
        <v>23</v>
      </c>
    </row>
    <row r="242" spans="1:26" x14ac:dyDescent="0.25">
      <c r="A242" t="s">
        <v>2239</v>
      </c>
      <c r="B242">
        <v>1920</v>
      </c>
      <c r="C242" t="s">
        <v>2240</v>
      </c>
      <c r="H242" t="s">
        <v>1446</v>
      </c>
      <c r="I242" t="s">
        <v>2241</v>
      </c>
      <c r="Z242">
        <f t="shared" si="3"/>
        <v>38</v>
      </c>
    </row>
    <row r="243" spans="1:26" x14ac:dyDescent="0.25">
      <c r="A243" t="s">
        <v>2242</v>
      </c>
      <c r="B243">
        <v>1920</v>
      </c>
      <c r="C243" t="s">
        <v>2243</v>
      </c>
      <c r="H243" t="s">
        <v>1400</v>
      </c>
      <c r="I243" t="s">
        <v>2244</v>
      </c>
      <c r="P243" t="s">
        <v>28</v>
      </c>
      <c r="Z243">
        <f t="shared" si="3"/>
        <v>50</v>
      </c>
    </row>
    <row r="244" spans="1:26" x14ac:dyDescent="0.25">
      <c r="A244" t="s">
        <v>2245</v>
      </c>
      <c r="B244">
        <v>1920</v>
      </c>
      <c r="C244" t="s">
        <v>2246</v>
      </c>
      <c r="H244" t="s">
        <v>1759</v>
      </c>
      <c r="I244" t="s">
        <v>2247</v>
      </c>
      <c r="P244" t="s">
        <v>28</v>
      </c>
      <c r="Z244">
        <f t="shared" si="3"/>
        <v>40</v>
      </c>
    </row>
    <row r="245" spans="1:26" x14ac:dyDescent="0.25">
      <c r="A245" t="s">
        <v>2248</v>
      </c>
      <c r="B245">
        <v>1920</v>
      </c>
      <c r="C245" t="s">
        <v>2249</v>
      </c>
      <c r="D245" s="1">
        <v>2000000</v>
      </c>
      <c r="G245" t="s">
        <v>2250</v>
      </c>
      <c r="H245" t="s">
        <v>1463</v>
      </c>
      <c r="I245" t="s">
        <v>2251</v>
      </c>
      <c r="N245" t="s">
        <v>28</v>
      </c>
      <c r="Z245">
        <f t="shared" si="3"/>
        <v>88</v>
      </c>
    </row>
    <row r="246" spans="1:26" x14ac:dyDescent="0.25">
      <c r="A246" t="s">
        <v>2252</v>
      </c>
      <c r="B246">
        <v>1920</v>
      </c>
      <c r="C246" t="s">
        <v>2253</v>
      </c>
      <c r="D246" s="1">
        <v>30000000</v>
      </c>
      <c r="H246" t="s">
        <v>2254</v>
      </c>
      <c r="I246" t="s">
        <v>2255</v>
      </c>
      <c r="Z246">
        <f t="shared" si="3"/>
        <v>47</v>
      </c>
    </row>
    <row r="247" spans="1:26" x14ac:dyDescent="0.25">
      <c r="A247" t="s">
        <v>2256</v>
      </c>
      <c r="B247">
        <v>1920</v>
      </c>
      <c r="C247" t="s">
        <v>2257</v>
      </c>
      <c r="I247" t="s">
        <v>2258</v>
      </c>
      <c r="Z247">
        <f t="shared" si="3"/>
        <v>31</v>
      </c>
    </row>
    <row r="248" spans="1:26" x14ac:dyDescent="0.25">
      <c r="A248" t="s">
        <v>2259</v>
      </c>
      <c r="B248">
        <v>1920</v>
      </c>
      <c r="C248" t="s">
        <v>2260</v>
      </c>
      <c r="H248" t="s">
        <v>2261</v>
      </c>
      <c r="I248" t="s">
        <v>2262</v>
      </c>
      <c r="J248" t="s">
        <v>2263</v>
      </c>
      <c r="K248" t="s">
        <v>23</v>
      </c>
      <c r="L248" t="s">
        <v>960</v>
      </c>
      <c r="M248" t="s">
        <v>2135</v>
      </c>
      <c r="Z248">
        <f t="shared" si="3"/>
        <v>55</v>
      </c>
    </row>
    <row r="249" spans="1:26" x14ac:dyDescent="0.25">
      <c r="A249" t="s">
        <v>2264</v>
      </c>
      <c r="B249">
        <v>1920</v>
      </c>
      <c r="C249" t="s">
        <v>2265</v>
      </c>
      <c r="I249" t="s">
        <v>2266</v>
      </c>
      <c r="N249" t="s">
        <v>28</v>
      </c>
      <c r="Z249">
        <f t="shared" si="3"/>
        <v>48</v>
      </c>
    </row>
    <row r="250" spans="1:26" x14ac:dyDescent="0.25">
      <c r="A250" t="s">
        <v>2267</v>
      </c>
      <c r="B250">
        <v>1920</v>
      </c>
      <c r="C250" t="s">
        <v>2268</v>
      </c>
      <c r="H250" t="s">
        <v>2269</v>
      </c>
      <c r="I250" t="s">
        <v>2270</v>
      </c>
      <c r="J250" t="s">
        <v>445</v>
      </c>
      <c r="K250" t="s">
        <v>1730</v>
      </c>
      <c r="L250" t="s">
        <v>2198</v>
      </c>
      <c r="M250" t="s">
        <v>1404</v>
      </c>
      <c r="W250" t="s">
        <v>28</v>
      </c>
      <c r="Z250">
        <f t="shared" si="3"/>
        <v>71</v>
      </c>
    </row>
    <row r="251" spans="1:26" x14ac:dyDescent="0.25">
      <c r="A251" t="s">
        <v>2271</v>
      </c>
      <c r="B251">
        <v>1920</v>
      </c>
      <c r="C251" t="s">
        <v>2272</v>
      </c>
      <c r="I251" t="s">
        <v>2273</v>
      </c>
      <c r="N251" t="s">
        <v>28</v>
      </c>
      <c r="Z251">
        <f t="shared" si="3"/>
        <v>103</v>
      </c>
    </row>
    <row r="252" spans="1:26" x14ac:dyDescent="0.25">
      <c r="A252" t="s">
        <v>2274</v>
      </c>
      <c r="B252">
        <v>1920</v>
      </c>
      <c r="C252" t="s">
        <v>2275</v>
      </c>
      <c r="I252" t="s">
        <v>2276</v>
      </c>
      <c r="N252" t="s">
        <v>28</v>
      </c>
      <c r="Z252">
        <f t="shared" si="3"/>
        <v>62</v>
      </c>
    </row>
    <row r="253" spans="1:26" x14ac:dyDescent="0.25">
      <c r="A253" t="s">
        <v>2277</v>
      </c>
      <c r="B253">
        <v>1920</v>
      </c>
      <c r="C253" t="s">
        <v>2275</v>
      </c>
      <c r="I253" t="s">
        <v>2278</v>
      </c>
      <c r="N253" t="s">
        <v>28</v>
      </c>
      <c r="Z253">
        <f t="shared" si="3"/>
        <v>62</v>
      </c>
    </row>
    <row r="254" spans="1:26" x14ac:dyDescent="0.25">
      <c r="A254" t="s">
        <v>2279</v>
      </c>
      <c r="B254">
        <v>1920</v>
      </c>
      <c r="C254" t="s">
        <v>2280</v>
      </c>
      <c r="H254" t="s">
        <v>2281</v>
      </c>
      <c r="I254" t="s">
        <v>2280</v>
      </c>
      <c r="N254" t="s">
        <v>28</v>
      </c>
      <c r="Z254">
        <f t="shared" si="3"/>
        <v>77</v>
      </c>
    </row>
    <row r="255" spans="1:26" x14ac:dyDescent="0.25">
      <c r="A255" t="s">
        <v>2282</v>
      </c>
      <c r="B255">
        <v>1920</v>
      </c>
      <c r="C255" t="s">
        <v>2283</v>
      </c>
      <c r="I255" t="s">
        <v>2283</v>
      </c>
      <c r="Z255">
        <f t="shared" si="3"/>
        <v>52</v>
      </c>
    </row>
    <row r="256" spans="1:26" x14ac:dyDescent="0.25">
      <c r="A256" t="s">
        <v>2284</v>
      </c>
      <c r="B256">
        <v>1920</v>
      </c>
      <c r="C256" t="s">
        <v>2285</v>
      </c>
      <c r="D256" s="1">
        <v>100000</v>
      </c>
      <c r="G256" t="s">
        <v>2286</v>
      </c>
      <c r="H256" t="s">
        <v>1759</v>
      </c>
      <c r="I256" t="s">
        <v>2287</v>
      </c>
      <c r="Z256">
        <f t="shared" si="3"/>
        <v>60</v>
      </c>
    </row>
    <row r="257" spans="1:26" x14ac:dyDescent="0.25">
      <c r="A257" t="s">
        <v>2288</v>
      </c>
      <c r="B257">
        <v>1920</v>
      </c>
      <c r="C257" t="s">
        <v>2289</v>
      </c>
      <c r="D257" s="1">
        <v>3000000</v>
      </c>
      <c r="G257" t="s">
        <v>2286</v>
      </c>
      <c r="H257" t="s">
        <v>1759</v>
      </c>
      <c r="I257" t="s">
        <v>2290</v>
      </c>
      <c r="Z257">
        <f t="shared" si="3"/>
        <v>70</v>
      </c>
    </row>
    <row r="258" spans="1:26" x14ac:dyDescent="0.25">
      <c r="A258" t="s">
        <v>2291</v>
      </c>
      <c r="B258">
        <v>1920</v>
      </c>
      <c r="C258" t="s">
        <v>2292</v>
      </c>
      <c r="H258" t="s">
        <v>2293</v>
      </c>
      <c r="I258" t="s">
        <v>2294</v>
      </c>
      <c r="J258" t="s">
        <v>2295</v>
      </c>
      <c r="K258" t="s">
        <v>68</v>
      </c>
      <c r="L258" t="s">
        <v>391</v>
      </c>
      <c r="M258" t="s">
        <v>1404</v>
      </c>
      <c r="U258" t="s">
        <v>28</v>
      </c>
      <c r="Z258">
        <f t="shared" si="3"/>
        <v>50</v>
      </c>
    </row>
    <row r="259" spans="1:26" x14ac:dyDescent="0.25">
      <c r="A259" t="s">
        <v>2296</v>
      </c>
      <c r="B259">
        <v>1920</v>
      </c>
      <c r="C259" t="s">
        <v>2297</v>
      </c>
      <c r="H259" t="s">
        <v>2298</v>
      </c>
      <c r="I259" t="s">
        <v>2299</v>
      </c>
      <c r="J259" t="s">
        <v>2300</v>
      </c>
      <c r="K259" t="s">
        <v>1724</v>
      </c>
      <c r="M259" t="s">
        <v>1798</v>
      </c>
      <c r="Z259">
        <f t="shared" ref="Z259:Z322" si="4">LEN(C259)+LEN(D259)+LEN(E259)+LEN(F259)+LEN(G259)+LEN(H259)+LEN(J259)+LEN(K259)+LEN(L259)+LEN(M259)</f>
        <v>73</v>
      </c>
    </row>
    <row r="260" spans="1:26" x14ac:dyDescent="0.25">
      <c r="A260" t="s">
        <v>2301</v>
      </c>
      <c r="B260">
        <v>1920</v>
      </c>
      <c r="C260" t="s">
        <v>2302</v>
      </c>
      <c r="I260" t="s">
        <v>2303</v>
      </c>
      <c r="Z260">
        <f t="shared" si="4"/>
        <v>34</v>
      </c>
    </row>
    <row r="261" spans="1:26" x14ac:dyDescent="0.25">
      <c r="A261" t="s">
        <v>2304</v>
      </c>
      <c r="B261">
        <v>1920</v>
      </c>
      <c r="C261" t="s">
        <v>2305</v>
      </c>
      <c r="I261" t="s">
        <v>2306</v>
      </c>
      <c r="N261" t="s">
        <v>28</v>
      </c>
      <c r="Z261">
        <f t="shared" si="4"/>
        <v>64</v>
      </c>
    </row>
    <row r="262" spans="1:26" x14ac:dyDescent="0.25">
      <c r="A262" t="s">
        <v>2307</v>
      </c>
      <c r="B262">
        <v>1920</v>
      </c>
      <c r="C262" t="s">
        <v>2308</v>
      </c>
      <c r="I262" t="s">
        <v>2309</v>
      </c>
      <c r="Z262">
        <f t="shared" si="4"/>
        <v>48</v>
      </c>
    </row>
    <row r="263" spans="1:26" x14ac:dyDescent="0.25">
      <c r="A263" t="s">
        <v>2310</v>
      </c>
      <c r="B263">
        <v>1920</v>
      </c>
      <c r="C263" t="s">
        <v>2311</v>
      </c>
      <c r="I263" t="s">
        <v>2311</v>
      </c>
      <c r="Z263">
        <f t="shared" si="4"/>
        <v>47</v>
      </c>
    </row>
    <row r="264" spans="1:26" x14ac:dyDescent="0.25">
      <c r="A264" t="s">
        <v>2312</v>
      </c>
      <c r="B264">
        <v>1920</v>
      </c>
      <c r="C264" t="s">
        <v>2313</v>
      </c>
      <c r="H264" t="s">
        <v>2314</v>
      </c>
      <c r="I264" t="s">
        <v>2315</v>
      </c>
      <c r="N264" t="s">
        <v>68</v>
      </c>
      <c r="S264" t="s">
        <v>28</v>
      </c>
      <c r="Y264">
        <v>1</v>
      </c>
      <c r="Z264">
        <f t="shared" si="4"/>
        <v>48</v>
      </c>
    </row>
    <row r="265" spans="1:26" x14ac:dyDescent="0.25">
      <c r="A265" t="s">
        <v>2316</v>
      </c>
      <c r="B265">
        <v>1920</v>
      </c>
      <c r="C265" t="s">
        <v>2317</v>
      </c>
      <c r="H265" t="s">
        <v>1658</v>
      </c>
      <c r="I265" t="s">
        <v>2317</v>
      </c>
      <c r="Z265">
        <f t="shared" si="4"/>
        <v>42</v>
      </c>
    </row>
    <row r="266" spans="1:26" x14ac:dyDescent="0.25">
      <c r="A266" t="s">
        <v>2318</v>
      </c>
      <c r="B266">
        <v>1920</v>
      </c>
      <c r="C266" t="s">
        <v>2319</v>
      </c>
      <c r="I266" t="s">
        <v>2320</v>
      </c>
      <c r="N266" t="s">
        <v>28</v>
      </c>
      <c r="Z266">
        <f t="shared" si="4"/>
        <v>38</v>
      </c>
    </row>
    <row r="267" spans="1:26" x14ac:dyDescent="0.25">
      <c r="A267" t="s">
        <v>2321</v>
      </c>
      <c r="B267">
        <v>1920</v>
      </c>
      <c r="C267" t="s">
        <v>2322</v>
      </c>
      <c r="I267" t="s">
        <v>2323</v>
      </c>
      <c r="J267" t="s">
        <v>2324</v>
      </c>
      <c r="K267" t="s">
        <v>879</v>
      </c>
      <c r="L267" t="s">
        <v>2325</v>
      </c>
      <c r="M267" t="s">
        <v>1404</v>
      </c>
      <c r="N267" s="5" t="s">
        <v>28</v>
      </c>
      <c r="U267" t="s">
        <v>28</v>
      </c>
      <c r="Z267">
        <f t="shared" si="4"/>
        <v>60</v>
      </c>
    </row>
    <row r="268" spans="1:26" x14ac:dyDescent="0.25">
      <c r="A268" t="s">
        <v>2326</v>
      </c>
      <c r="B268">
        <v>1920</v>
      </c>
      <c r="C268" t="s">
        <v>2327</v>
      </c>
      <c r="H268" t="s">
        <v>2138</v>
      </c>
      <c r="I268" t="s">
        <v>2328</v>
      </c>
      <c r="J268" t="s">
        <v>2329</v>
      </c>
      <c r="K268" t="s">
        <v>2330</v>
      </c>
      <c r="M268" t="s">
        <v>1404</v>
      </c>
      <c r="U268" t="s">
        <v>28</v>
      </c>
      <c r="W268" t="s">
        <v>28</v>
      </c>
      <c r="Z268">
        <f t="shared" si="4"/>
        <v>58</v>
      </c>
    </row>
    <row r="269" spans="1:26" x14ac:dyDescent="0.25">
      <c r="A269" t="s">
        <v>2331</v>
      </c>
      <c r="B269">
        <v>1920</v>
      </c>
      <c r="C269" t="s">
        <v>2332</v>
      </c>
      <c r="I269" t="s">
        <v>2333</v>
      </c>
      <c r="Z269">
        <f t="shared" si="4"/>
        <v>40</v>
      </c>
    </row>
    <row r="270" spans="1:26" x14ac:dyDescent="0.25">
      <c r="A270" t="s">
        <v>2334</v>
      </c>
      <c r="B270">
        <v>1920</v>
      </c>
      <c r="C270" t="s">
        <v>2335</v>
      </c>
      <c r="I270" t="s">
        <v>2336</v>
      </c>
      <c r="N270" t="s">
        <v>28</v>
      </c>
      <c r="Z270">
        <f t="shared" si="4"/>
        <v>38</v>
      </c>
    </row>
    <row r="271" spans="1:26" x14ac:dyDescent="0.25">
      <c r="A271" t="s">
        <v>2337</v>
      </c>
      <c r="B271">
        <v>1920</v>
      </c>
      <c r="C271" t="s">
        <v>2338</v>
      </c>
      <c r="I271" t="s">
        <v>2338</v>
      </c>
      <c r="Z271">
        <f t="shared" si="4"/>
        <v>42</v>
      </c>
    </row>
    <row r="272" spans="1:26" x14ac:dyDescent="0.25">
      <c r="A272" t="s">
        <v>2339</v>
      </c>
      <c r="B272">
        <v>1920</v>
      </c>
      <c r="C272" t="s">
        <v>2340</v>
      </c>
      <c r="I272" t="s">
        <v>2340</v>
      </c>
      <c r="Z272">
        <f t="shared" si="4"/>
        <v>46</v>
      </c>
    </row>
    <row r="273" spans="1:26" x14ac:dyDescent="0.25">
      <c r="A273" t="s">
        <v>2341</v>
      </c>
      <c r="B273">
        <v>1920</v>
      </c>
      <c r="C273" t="s">
        <v>2342</v>
      </c>
      <c r="I273" t="s">
        <v>2343</v>
      </c>
      <c r="Z273">
        <f t="shared" si="4"/>
        <v>45</v>
      </c>
    </row>
    <row r="274" spans="1:26" x14ac:dyDescent="0.25">
      <c r="A274" t="s">
        <v>2344</v>
      </c>
      <c r="B274">
        <v>1920</v>
      </c>
      <c r="C274" t="s">
        <v>2345</v>
      </c>
      <c r="I274" t="s">
        <v>2346</v>
      </c>
      <c r="Z274">
        <f t="shared" si="4"/>
        <v>42</v>
      </c>
    </row>
    <row r="275" spans="1:26" x14ac:dyDescent="0.25">
      <c r="A275" t="s">
        <v>2347</v>
      </c>
      <c r="B275">
        <v>1920</v>
      </c>
      <c r="C275" t="s">
        <v>2348</v>
      </c>
      <c r="I275" t="s">
        <v>2348</v>
      </c>
      <c r="N275" t="s">
        <v>28</v>
      </c>
      <c r="Z275">
        <f t="shared" si="4"/>
        <v>52</v>
      </c>
    </row>
    <row r="276" spans="1:26" x14ac:dyDescent="0.25">
      <c r="A276" t="s">
        <v>2349</v>
      </c>
      <c r="B276">
        <v>1920</v>
      </c>
      <c r="C276" t="s">
        <v>2350</v>
      </c>
      <c r="H276" t="s">
        <v>2351</v>
      </c>
      <c r="I276" t="s">
        <v>2352</v>
      </c>
      <c r="P276" t="s">
        <v>28</v>
      </c>
      <c r="Z276">
        <f t="shared" si="4"/>
        <v>50</v>
      </c>
    </row>
    <row r="277" spans="1:26" x14ac:dyDescent="0.25">
      <c r="A277" t="s">
        <v>2353</v>
      </c>
      <c r="B277">
        <v>1920</v>
      </c>
      <c r="C277" t="s">
        <v>2354</v>
      </c>
      <c r="I277" t="s">
        <v>2355</v>
      </c>
      <c r="J277" t="s">
        <v>2356</v>
      </c>
      <c r="K277" t="s">
        <v>1389</v>
      </c>
      <c r="L277" t="s">
        <v>878</v>
      </c>
      <c r="M277" t="s">
        <v>1798</v>
      </c>
      <c r="U277" t="s">
        <v>28</v>
      </c>
      <c r="Z277">
        <f t="shared" si="4"/>
        <v>75</v>
      </c>
    </row>
    <row r="278" spans="1:26" x14ac:dyDescent="0.25">
      <c r="A278" t="s">
        <v>2357</v>
      </c>
      <c r="B278">
        <v>1920</v>
      </c>
      <c r="C278" t="s">
        <v>2358</v>
      </c>
      <c r="I278" t="s">
        <v>2359</v>
      </c>
      <c r="Z278">
        <f t="shared" si="4"/>
        <v>49</v>
      </c>
    </row>
    <row r="279" spans="1:26" x14ac:dyDescent="0.25">
      <c r="A279" t="s">
        <v>2360</v>
      </c>
      <c r="B279">
        <v>1920</v>
      </c>
      <c r="C279" t="s">
        <v>2361</v>
      </c>
      <c r="I279" t="s">
        <v>2362</v>
      </c>
      <c r="N279" t="s">
        <v>28</v>
      </c>
      <c r="Z279">
        <f t="shared" si="4"/>
        <v>62</v>
      </c>
    </row>
    <row r="280" spans="1:26" x14ac:dyDescent="0.25">
      <c r="A280" t="s">
        <v>2363</v>
      </c>
      <c r="B280">
        <v>1920</v>
      </c>
      <c r="C280" t="s">
        <v>2364</v>
      </c>
      <c r="I280" t="s">
        <v>2364</v>
      </c>
      <c r="Z280">
        <f t="shared" si="4"/>
        <v>50</v>
      </c>
    </row>
    <row r="281" spans="1:26" x14ac:dyDescent="0.25">
      <c r="A281" t="s">
        <v>2365</v>
      </c>
      <c r="B281">
        <v>1920</v>
      </c>
      <c r="C281" t="s">
        <v>2366</v>
      </c>
      <c r="H281" t="s">
        <v>1913</v>
      </c>
      <c r="I281" t="s">
        <v>2367</v>
      </c>
      <c r="S281" t="s">
        <v>28</v>
      </c>
      <c r="Z281">
        <f t="shared" si="4"/>
        <v>51</v>
      </c>
    </row>
    <row r="282" spans="1:26" x14ac:dyDescent="0.25">
      <c r="A282" t="s">
        <v>2368</v>
      </c>
      <c r="B282">
        <v>1920</v>
      </c>
      <c r="C282" t="s">
        <v>2369</v>
      </c>
      <c r="I282" t="s">
        <v>2370</v>
      </c>
      <c r="Z282">
        <f t="shared" si="4"/>
        <v>47</v>
      </c>
    </row>
    <row r="283" spans="1:26" x14ac:dyDescent="0.25">
      <c r="A283" t="s">
        <v>2371</v>
      </c>
      <c r="B283">
        <v>1920</v>
      </c>
      <c r="C283" t="s">
        <v>2372</v>
      </c>
      <c r="H283" t="s">
        <v>2373</v>
      </c>
      <c r="I283" t="s">
        <v>2374</v>
      </c>
      <c r="J283" t="s">
        <v>629</v>
      </c>
      <c r="K283" t="s">
        <v>1596</v>
      </c>
      <c r="M283" t="s">
        <v>1798</v>
      </c>
      <c r="N283" t="s">
        <v>28</v>
      </c>
      <c r="W283" t="s">
        <v>28</v>
      </c>
      <c r="Z283">
        <f t="shared" si="4"/>
        <v>95</v>
      </c>
    </row>
    <row r="284" spans="1:26" x14ac:dyDescent="0.25">
      <c r="A284" t="s">
        <v>2375</v>
      </c>
      <c r="B284">
        <v>1920</v>
      </c>
      <c r="C284" t="s">
        <v>2376</v>
      </c>
      <c r="H284" t="s">
        <v>2377</v>
      </c>
      <c r="I284" t="s">
        <v>2378</v>
      </c>
      <c r="J284" t="s">
        <v>2379</v>
      </c>
      <c r="K284" t="s">
        <v>384</v>
      </c>
      <c r="M284" t="s">
        <v>2380</v>
      </c>
      <c r="U284" t="s">
        <v>28</v>
      </c>
      <c r="Z284">
        <f t="shared" si="4"/>
        <v>63</v>
      </c>
    </row>
    <row r="285" spans="1:26" x14ac:dyDescent="0.25">
      <c r="A285" t="s">
        <v>2381</v>
      </c>
      <c r="B285">
        <v>1920</v>
      </c>
      <c r="C285" t="s">
        <v>2382</v>
      </c>
      <c r="I285" t="s">
        <v>2383</v>
      </c>
      <c r="Z285">
        <f t="shared" si="4"/>
        <v>35</v>
      </c>
    </row>
    <row r="286" spans="1:26" x14ac:dyDescent="0.25">
      <c r="A286" t="s">
        <v>2384</v>
      </c>
      <c r="B286">
        <v>1920</v>
      </c>
      <c r="C286" t="s">
        <v>2385</v>
      </c>
      <c r="H286" t="s">
        <v>2386</v>
      </c>
      <c r="I286" t="s">
        <v>2387</v>
      </c>
      <c r="Z286">
        <f t="shared" si="4"/>
        <v>59</v>
      </c>
    </row>
    <row r="287" spans="1:26" x14ac:dyDescent="0.25">
      <c r="A287" t="s">
        <v>2388</v>
      </c>
      <c r="B287">
        <v>1922</v>
      </c>
      <c r="C287" t="s">
        <v>2389</v>
      </c>
      <c r="H287" t="s">
        <v>2150</v>
      </c>
      <c r="I287" t="s">
        <v>2390</v>
      </c>
      <c r="Z287">
        <f t="shared" si="4"/>
        <v>43</v>
      </c>
    </row>
    <row r="288" spans="1:26" x14ac:dyDescent="0.25">
      <c r="A288" t="s">
        <v>2391</v>
      </c>
      <c r="B288">
        <v>1922</v>
      </c>
      <c r="C288" t="s">
        <v>2392</v>
      </c>
      <c r="D288" s="1">
        <v>100000</v>
      </c>
      <c r="E288" t="s">
        <v>2393</v>
      </c>
      <c r="I288" t="s">
        <v>2394</v>
      </c>
      <c r="P288" t="s">
        <v>28</v>
      </c>
      <c r="Z288">
        <f t="shared" si="4"/>
        <v>52</v>
      </c>
    </row>
    <row r="289" spans="1:26" x14ac:dyDescent="0.25">
      <c r="A289" t="s">
        <v>2395</v>
      </c>
      <c r="B289">
        <v>1922</v>
      </c>
      <c r="C289" t="s">
        <v>2396</v>
      </c>
      <c r="I289" t="s">
        <v>2397</v>
      </c>
      <c r="N289" t="s">
        <v>28</v>
      </c>
      <c r="Z289">
        <f t="shared" si="4"/>
        <v>41</v>
      </c>
    </row>
    <row r="290" spans="1:26" x14ac:dyDescent="0.25">
      <c r="A290" t="s">
        <v>2398</v>
      </c>
      <c r="B290">
        <v>1922</v>
      </c>
      <c r="C290" t="s">
        <v>2399</v>
      </c>
      <c r="I290" t="s">
        <v>2399</v>
      </c>
      <c r="Z290">
        <f t="shared" si="4"/>
        <v>31</v>
      </c>
    </row>
    <row r="291" spans="1:26" x14ac:dyDescent="0.25">
      <c r="A291" t="s">
        <v>2400</v>
      </c>
      <c r="B291">
        <v>1922</v>
      </c>
      <c r="C291" t="s">
        <v>2401</v>
      </c>
      <c r="I291" t="s">
        <v>2401</v>
      </c>
      <c r="Z291">
        <f t="shared" si="4"/>
        <v>41</v>
      </c>
    </row>
    <row r="292" spans="1:26" x14ac:dyDescent="0.25">
      <c r="A292" t="s">
        <v>2402</v>
      </c>
      <c r="B292">
        <v>1922</v>
      </c>
      <c r="C292" t="s">
        <v>2403</v>
      </c>
      <c r="D292" s="1">
        <v>4000000</v>
      </c>
      <c r="G292" t="s">
        <v>2173</v>
      </c>
      <c r="H292" t="s">
        <v>1552</v>
      </c>
      <c r="I292" t="s">
        <v>2404</v>
      </c>
      <c r="J292" t="s">
        <v>2405</v>
      </c>
      <c r="K292" t="s">
        <v>962</v>
      </c>
      <c r="M292" t="s">
        <v>1404</v>
      </c>
      <c r="N292" t="s">
        <v>68</v>
      </c>
      <c r="W292" t="s">
        <v>28</v>
      </c>
      <c r="Y292">
        <v>1</v>
      </c>
      <c r="Z292">
        <f t="shared" si="4"/>
        <v>78</v>
      </c>
    </row>
    <row r="293" spans="1:26" x14ac:dyDescent="0.25">
      <c r="A293" t="s">
        <v>2406</v>
      </c>
      <c r="B293">
        <v>1922</v>
      </c>
      <c r="C293" t="s">
        <v>2407</v>
      </c>
      <c r="H293" t="s">
        <v>1552</v>
      </c>
      <c r="I293" t="s">
        <v>2408</v>
      </c>
      <c r="N293" t="s">
        <v>28</v>
      </c>
      <c r="Z293">
        <f t="shared" si="4"/>
        <v>72</v>
      </c>
    </row>
    <row r="294" spans="1:26" x14ac:dyDescent="0.25">
      <c r="A294" t="s">
        <v>2409</v>
      </c>
      <c r="B294">
        <v>1922</v>
      </c>
      <c r="C294" t="s">
        <v>2410</v>
      </c>
      <c r="H294" t="s">
        <v>1552</v>
      </c>
      <c r="I294" t="s">
        <v>2411</v>
      </c>
      <c r="J294" t="s">
        <v>559</v>
      </c>
      <c r="K294" t="s">
        <v>2412</v>
      </c>
      <c r="M294" t="s">
        <v>1798</v>
      </c>
      <c r="N294" t="s">
        <v>28</v>
      </c>
      <c r="W294" t="s">
        <v>28</v>
      </c>
      <c r="Z294">
        <f t="shared" si="4"/>
        <v>60</v>
      </c>
    </row>
    <row r="295" spans="1:26" x14ac:dyDescent="0.25">
      <c r="A295" t="s">
        <v>2413</v>
      </c>
      <c r="B295">
        <v>1922</v>
      </c>
      <c r="C295" t="s">
        <v>2414</v>
      </c>
      <c r="I295" t="s">
        <v>2415</v>
      </c>
      <c r="J295" t="s">
        <v>2416</v>
      </c>
      <c r="K295" t="s">
        <v>2417</v>
      </c>
      <c r="M295" t="s">
        <v>1404</v>
      </c>
      <c r="U295" t="s">
        <v>28</v>
      </c>
      <c r="Z295">
        <f t="shared" si="4"/>
        <v>65</v>
      </c>
    </row>
    <row r="296" spans="1:26" x14ac:dyDescent="0.25">
      <c r="A296" t="s">
        <v>2418</v>
      </c>
      <c r="B296">
        <v>1922</v>
      </c>
      <c r="C296" t="s">
        <v>2419</v>
      </c>
      <c r="I296" t="s">
        <v>1840</v>
      </c>
      <c r="N296" t="s">
        <v>28</v>
      </c>
      <c r="Z296">
        <f t="shared" si="4"/>
        <v>44</v>
      </c>
    </row>
    <row r="297" spans="1:26" x14ac:dyDescent="0.25">
      <c r="A297" t="s">
        <v>2420</v>
      </c>
      <c r="B297">
        <v>1922</v>
      </c>
      <c r="C297" t="s">
        <v>2421</v>
      </c>
      <c r="I297" t="s">
        <v>2422</v>
      </c>
      <c r="Z297">
        <f t="shared" si="4"/>
        <v>50</v>
      </c>
    </row>
    <row r="298" spans="1:26" x14ac:dyDescent="0.25">
      <c r="A298" t="s">
        <v>2423</v>
      </c>
      <c r="B298">
        <v>1922</v>
      </c>
      <c r="C298" t="s">
        <v>2424</v>
      </c>
      <c r="I298" t="s">
        <v>2424</v>
      </c>
      <c r="N298" t="s">
        <v>68</v>
      </c>
      <c r="Y298">
        <v>1</v>
      </c>
      <c r="Z298">
        <f t="shared" si="4"/>
        <v>51</v>
      </c>
    </row>
    <row r="299" spans="1:26" x14ac:dyDescent="0.25">
      <c r="A299" t="s">
        <v>2425</v>
      </c>
      <c r="B299">
        <v>1922</v>
      </c>
      <c r="C299" t="s">
        <v>2426</v>
      </c>
      <c r="D299">
        <v>150000</v>
      </c>
      <c r="G299" t="s">
        <v>2427</v>
      </c>
      <c r="I299" t="s">
        <v>2428</v>
      </c>
      <c r="Z299">
        <f t="shared" si="4"/>
        <v>48</v>
      </c>
    </row>
    <row r="300" spans="1:26" x14ac:dyDescent="0.25">
      <c r="A300" t="s">
        <v>2429</v>
      </c>
      <c r="B300">
        <v>1922</v>
      </c>
      <c r="C300" t="s">
        <v>2430</v>
      </c>
      <c r="H300" t="s">
        <v>2431</v>
      </c>
      <c r="I300" t="s">
        <v>2430</v>
      </c>
      <c r="Z300">
        <f t="shared" si="4"/>
        <v>40</v>
      </c>
    </row>
    <row r="301" spans="1:26" x14ac:dyDescent="0.25">
      <c r="A301" t="s">
        <v>2432</v>
      </c>
      <c r="B301">
        <v>1922</v>
      </c>
      <c r="C301" t="s">
        <v>2189</v>
      </c>
      <c r="I301" t="s">
        <v>2433</v>
      </c>
      <c r="Z301">
        <f t="shared" si="4"/>
        <v>39</v>
      </c>
    </row>
    <row r="302" spans="1:26" x14ac:dyDescent="0.25">
      <c r="A302" t="s">
        <v>2434</v>
      </c>
      <c r="B302">
        <v>1922</v>
      </c>
      <c r="C302" t="s">
        <v>2435</v>
      </c>
      <c r="I302" t="s">
        <v>2436</v>
      </c>
      <c r="N302" t="s">
        <v>68</v>
      </c>
      <c r="Y302">
        <v>2</v>
      </c>
      <c r="Z302">
        <f t="shared" si="4"/>
        <v>37</v>
      </c>
    </row>
    <row r="303" spans="1:26" x14ac:dyDescent="0.25">
      <c r="A303" t="s">
        <v>2437</v>
      </c>
      <c r="B303">
        <v>1922</v>
      </c>
      <c r="C303" t="s">
        <v>2438</v>
      </c>
      <c r="I303" t="s">
        <v>2439</v>
      </c>
      <c r="N303" t="s">
        <v>28</v>
      </c>
      <c r="Z303">
        <f t="shared" si="4"/>
        <v>63</v>
      </c>
    </row>
    <row r="304" spans="1:26" x14ac:dyDescent="0.25">
      <c r="A304" t="s">
        <v>2440</v>
      </c>
      <c r="B304">
        <v>1922</v>
      </c>
      <c r="C304" t="s">
        <v>2441</v>
      </c>
      <c r="D304">
        <v>75000</v>
      </c>
      <c r="G304" t="s">
        <v>2442</v>
      </c>
      <c r="H304" t="s">
        <v>2443</v>
      </c>
      <c r="I304" t="s">
        <v>2444</v>
      </c>
      <c r="Z304">
        <f t="shared" si="4"/>
        <v>68</v>
      </c>
    </row>
    <row r="305" spans="1:26" x14ac:dyDescent="0.25">
      <c r="A305" t="s">
        <v>2445</v>
      </c>
      <c r="B305">
        <v>1922</v>
      </c>
      <c r="C305" t="s">
        <v>2446</v>
      </c>
      <c r="H305" t="s">
        <v>2447</v>
      </c>
      <c r="I305" t="s">
        <v>2448</v>
      </c>
      <c r="Z305">
        <f t="shared" si="4"/>
        <v>60</v>
      </c>
    </row>
    <row r="306" spans="1:26" x14ac:dyDescent="0.25">
      <c r="A306" t="s">
        <v>2449</v>
      </c>
      <c r="B306">
        <v>1922</v>
      </c>
      <c r="C306" t="s">
        <v>2450</v>
      </c>
      <c r="H306" t="s">
        <v>2451</v>
      </c>
      <c r="I306" t="s">
        <v>2452</v>
      </c>
      <c r="N306" t="s">
        <v>28</v>
      </c>
      <c r="P306" t="s">
        <v>28</v>
      </c>
      <c r="Z306">
        <f t="shared" si="4"/>
        <v>114</v>
      </c>
    </row>
    <row r="307" spans="1:26" x14ac:dyDescent="0.25">
      <c r="A307" t="s">
        <v>2453</v>
      </c>
      <c r="B307">
        <v>1922</v>
      </c>
      <c r="C307" t="s">
        <v>2454</v>
      </c>
      <c r="H307" t="s">
        <v>2443</v>
      </c>
      <c r="I307" t="s">
        <v>2455</v>
      </c>
      <c r="J307" t="s">
        <v>2456</v>
      </c>
      <c r="K307" t="s">
        <v>392</v>
      </c>
      <c r="M307" t="s">
        <v>1591</v>
      </c>
      <c r="U307" t="s">
        <v>28</v>
      </c>
      <c r="W307" t="s">
        <v>28</v>
      </c>
      <c r="Z307">
        <f t="shared" si="4"/>
        <v>60</v>
      </c>
    </row>
    <row r="308" spans="1:26" x14ac:dyDescent="0.25">
      <c r="A308" t="s">
        <v>2457</v>
      </c>
      <c r="B308">
        <v>1922</v>
      </c>
      <c r="C308" t="s">
        <v>2458</v>
      </c>
      <c r="I308" t="s">
        <v>2459</v>
      </c>
      <c r="N308" t="s">
        <v>28</v>
      </c>
      <c r="Z308">
        <f t="shared" si="4"/>
        <v>56</v>
      </c>
    </row>
    <row r="309" spans="1:26" x14ac:dyDescent="0.25">
      <c r="A309" t="s">
        <v>2460</v>
      </c>
      <c r="B309">
        <v>1922</v>
      </c>
      <c r="C309" t="s">
        <v>2461</v>
      </c>
      <c r="D309">
        <v>2500000</v>
      </c>
      <c r="G309" t="s">
        <v>2462</v>
      </c>
      <c r="I309" t="s">
        <v>2463</v>
      </c>
      <c r="Z309">
        <f t="shared" si="4"/>
        <v>69</v>
      </c>
    </row>
    <row r="310" spans="1:26" x14ac:dyDescent="0.25">
      <c r="A310" t="s">
        <v>2464</v>
      </c>
      <c r="B310">
        <v>1922</v>
      </c>
      <c r="C310" t="s">
        <v>2465</v>
      </c>
      <c r="H310" t="s">
        <v>2466</v>
      </c>
      <c r="I310" t="s">
        <v>2467</v>
      </c>
      <c r="J310" t="s">
        <v>51</v>
      </c>
      <c r="K310" t="s">
        <v>952</v>
      </c>
      <c r="M310" t="s">
        <v>1404</v>
      </c>
      <c r="N310" t="s">
        <v>68</v>
      </c>
      <c r="S310" t="s">
        <v>28</v>
      </c>
      <c r="W310" t="s">
        <v>28</v>
      </c>
      <c r="Y310">
        <v>2</v>
      </c>
      <c r="Z310">
        <f t="shared" si="4"/>
        <v>82</v>
      </c>
    </row>
    <row r="311" spans="1:26" x14ac:dyDescent="0.25">
      <c r="A311" t="s">
        <v>2468</v>
      </c>
      <c r="B311">
        <v>1922</v>
      </c>
      <c r="C311" t="s">
        <v>2469</v>
      </c>
      <c r="I311" t="s">
        <v>2470</v>
      </c>
      <c r="N311" t="s">
        <v>28</v>
      </c>
      <c r="Z311">
        <f t="shared" si="4"/>
        <v>63</v>
      </c>
    </row>
    <row r="312" spans="1:26" x14ac:dyDescent="0.25">
      <c r="A312" t="s">
        <v>2471</v>
      </c>
      <c r="B312">
        <v>1922</v>
      </c>
      <c r="C312" t="s">
        <v>2472</v>
      </c>
      <c r="I312" t="s">
        <v>2473</v>
      </c>
      <c r="J312" t="s">
        <v>2474</v>
      </c>
      <c r="K312" t="s">
        <v>1730</v>
      </c>
      <c r="L312" t="s">
        <v>524</v>
      </c>
      <c r="M312" t="s">
        <v>1591</v>
      </c>
      <c r="N312" t="s">
        <v>68</v>
      </c>
      <c r="U312" t="s">
        <v>28</v>
      </c>
      <c r="Y312">
        <v>1</v>
      </c>
      <c r="Z312">
        <f t="shared" si="4"/>
        <v>70</v>
      </c>
    </row>
    <row r="313" spans="1:26" x14ac:dyDescent="0.25">
      <c r="A313" t="s">
        <v>2475</v>
      </c>
      <c r="B313">
        <v>1922</v>
      </c>
      <c r="C313" t="s">
        <v>2476</v>
      </c>
      <c r="I313" t="s">
        <v>2477</v>
      </c>
      <c r="N313" t="s">
        <v>28</v>
      </c>
      <c r="Z313">
        <f t="shared" si="4"/>
        <v>121</v>
      </c>
    </row>
    <row r="314" spans="1:26" x14ac:dyDescent="0.25">
      <c r="A314" t="s">
        <v>2478</v>
      </c>
      <c r="B314">
        <v>1922</v>
      </c>
      <c r="C314" t="s">
        <v>2479</v>
      </c>
      <c r="I314" t="s">
        <v>2480</v>
      </c>
      <c r="N314" t="s">
        <v>68</v>
      </c>
      <c r="Y314">
        <v>1</v>
      </c>
      <c r="Z314">
        <f t="shared" si="4"/>
        <v>48</v>
      </c>
    </row>
    <row r="315" spans="1:26" x14ac:dyDescent="0.25">
      <c r="A315" t="s">
        <v>2481</v>
      </c>
      <c r="B315">
        <v>1922</v>
      </c>
      <c r="C315" t="s">
        <v>2482</v>
      </c>
      <c r="D315">
        <v>3270000</v>
      </c>
      <c r="G315" t="s">
        <v>2483</v>
      </c>
      <c r="H315" t="s">
        <v>2484</v>
      </c>
      <c r="I315" t="s">
        <v>2485</v>
      </c>
      <c r="J315" t="s">
        <v>2486</v>
      </c>
      <c r="K315" t="s">
        <v>2487</v>
      </c>
      <c r="M315" t="s">
        <v>1404</v>
      </c>
      <c r="N315" s="5" t="s">
        <v>28</v>
      </c>
      <c r="U315" t="s">
        <v>28</v>
      </c>
      <c r="V315" t="s">
        <v>28</v>
      </c>
      <c r="W315" t="s">
        <v>28</v>
      </c>
      <c r="Z315">
        <f t="shared" si="4"/>
        <v>79</v>
      </c>
    </row>
    <row r="316" spans="1:26" x14ac:dyDescent="0.25">
      <c r="A316" t="s">
        <v>2488</v>
      </c>
      <c r="B316">
        <v>1922</v>
      </c>
      <c r="C316" t="s">
        <v>2489</v>
      </c>
      <c r="I316" t="s">
        <v>2490</v>
      </c>
      <c r="Z316">
        <f t="shared" si="4"/>
        <v>41</v>
      </c>
    </row>
    <row r="317" spans="1:26" x14ac:dyDescent="0.25">
      <c r="A317" t="s">
        <v>2491</v>
      </c>
      <c r="B317">
        <v>1922</v>
      </c>
      <c r="C317" t="s">
        <v>2492</v>
      </c>
      <c r="I317" t="s">
        <v>2492</v>
      </c>
      <c r="Z317">
        <f t="shared" si="4"/>
        <v>39</v>
      </c>
    </row>
    <row r="318" spans="1:26" x14ac:dyDescent="0.25">
      <c r="A318" t="s">
        <v>2493</v>
      </c>
      <c r="B318">
        <v>1922</v>
      </c>
      <c r="C318" t="s">
        <v>2494</v>
      </c>
      <c r="H318" t="s">
        <v>2495</v>
      </c>
      <c r="I318" t="s">
        <v>2496</v>
      </c>
      <c r="P318" t="s">
        <v>28</v>
      </c>
      <c r="Z318">
        <f t="shared" si="4"/>
        <v>55</v>
      </c>
    </row>
    <row r="319" spans="1:26" x14ac:dyDescent="0.25">
      <c r="A319" t="s">
        <v>2497</v>
      </c>
      <c r="B319">
        <v>1922</v>
      </c>
      <c r="C319" t="s">
        <v>2498</v>
      </c>
      <c r="H319" t="s">
        <v>1658</v>
      </c>
      <c r="I319" t="s">
        <v>2499</v>
      </c>
      <c r="Z319">
        <f t="shared" si="4"/>
        <v>43</v>
      </c>
    </row>
    <row r="320" spans="1:26" x14ac:dyDescent="0.25">
      <c r="A320" t="s">
        <v>2500</v>
      </c>
      <c r="B320">
        <v>1922</v>
      </c>
      <c r="C320" t="s">
        <v>2501</v>
      </c>
      <c r="I320" t="s">
        <v>2502</v>
      </c>
      <c r="J320" t="s">
        <v>2503</v>
      </c>
      <c r="K320" t="s">
        <v>1703</v>
      </c>
      <c r="M320" t="s">
        <v>1404</v>
      </c>
      <c r="W320" t="s">
        <v>28</v>
      </c>
      <c r="Z320">
        <f t="shared" si="4"/>
        <v>69</v>
      </c>
    </row>
    <row r="321" spans="1:26" x14ac:dyDescent="0.25">
      <c r="A321" t="s">
        <v>2504</v>
      </c>
      <c r="B321">
        <v>1922</v>
      </c>
      <c r="C321" t="s">
        <v>2505</v>
      </c>
      <c r="D321">
        <v>1500000</v>
      </c>
      <c r="G321" t="s">
        <v>2506</v>
      </c>
      <c r="H321" t="s">
        <v>2507</v>
      </c>
      <c r="I321" t="s">
        <v>2508</v>
      </c>
      <c r="N321" t="s">
        <v>28</v>
      </c>
      <c r="Z321">
        <f t="shared" si="4"/>
        <v>76</v>
      </c>
    </row>
    <row r="322" spans="1:26" x14ac:dyDescent="0.25">
      <c r="A322" t="s">
        <v>2509</v>
      </c>
      <c r="B322">
        <v>1922</v>
      </c>
      <c r="C322" t="s">
        <v>2510</v>
      </c>
      <c r="I322" t="s">
        <v>2511</v>
      </c>
      <c r="N322" t="s">
        <v>28</v>
      </c>
      <c r="Z322">
        <f t="shared" si="4"/>
        <v>59</v>
      </c>
    </row>
    <row r="323" spans="1:26" x14ac:dyDescent="0.25">
      <c r="A323" t="s">
        <v>2512</v>
      </c>
      <c r="B323">
        <v>1922</v>
      </c>
      <c r="C323" t="s">
        <v>2513</v>
      </c>
      <c r="I323" t="s">
        <v>2514</v>
      </c>
      <c r="Z323">
        <f t="shared" ref="Z323:Z385" si="5">LEN(C323)+LEN(D323)+LEN(E323)+LEN(F323)+LEN(G323)+LEN(H323)+LEN(J323)+LEN(K323)+LEN(L323)+LEN(M323)</f>
        <v>35</v>
      </c>
    </row>
    <row r="324" spans="1:26" x14ac:dyDescent="0.25">
      <c r="A324" t="s">
        <v>2515</v>
      </c>
      <c r="B324">
        <v>1922</v>
      </c>
      <c r="C324" t="s">
        <v>2516</v>
      </c>
      <c r="H324" t="s">
        <v>2517</v>
      </c>
      <c r="I324" t="s">
        <v>2518</v>
      </c>
      <c r="J324" t="s">
        <v>2519</v>
      </c>
      <c r="K324" t="s">
        <v>383</v>
      </c>
      <c r="L324" t="s">
        <v>1389</v>
      </c>
      <c r="M324" t="s">
        <v>1404</v>
      </c>
      <c r="U324" t="s">
        <v>28</v>
      </c>
      <c r="Z324">
        <f t="shared" si="5"/>
        <v>59</v>
      </c>
    </row>
    <row r="325" spans="1:26" x14ac:dyDescent="0.25">
      <c r="A325" t="s">
        <v>2520</v>
      </c>
      <c r="B325">
        <v>1922</v>
      </c>
      <c r="C325" t="s">
        <v>2317</v>
      </c>
      <c r="H325" t="s">
        <v>1658</v>
      </c>
      <c r="I325" t="s">
        <v>2317</v>
      </c>
      <c r="Z325">
        <f t="shared" si="5"/>
        <v>42</v>
      </c>
    </row>
    <row r="326" spans="1:26" x14ac:dyDescent="0.25">
      <c r="A326" t="s">
        <v>2521</v>
      </c>
      <c r="B326">
        <v>1922</v>
      </c>
      <c r="C326" t="s">
        <v>2522</v>
      </c>
      <c r="I326" t="s">
        <v>2523</v>
      </c>
      <c r="P326" t="s">
        <v>28</v>
      </c>
      <c r="Z326">
        <f t="shared" si="5"/>
        <v>37</v>
      </c>
    </row>
    <row r="327" spans="1:26" x14ac:dyDescent="0.25">
      <c r="A327" t="s">
        <v>2524</v>
      </c>
      <c r="B327">
        <v>1922</v>
      </c>
      <c r="C327" t="s">
        <v>2525</v>
      </c>
      <c r="I327" t="s">
        <v>2526</v>
      </c>
      <c r="N327" t="s">
        <v>28</v>
      </c>
      <c r="Z327">
        <f t="shared" si="5"/>
        <v>32</v>
      </c>
    </row>
    <row r="328" spans="1:26" x14ac:dyDescent="0.25">
      <c r="A328" t="s">
        <v>2527</v>
      </c>
      <c r="B328">
        <v>1922</v>
      </c>
      <c r="C328" t="s">
        <v>2319</v>
      </c>
      <c r="I328" t="s">
        <v>2528</v>
      </c>
      <c r="N328" t="s">
        <v>28</v>
      </c>
      <c r="Z328">
        <f t="shared" si="5"/>
        <v>38</v>
      </c>
    </row>
    <row r="329" spans="1:26" x14ac:dyDescent="0.25">
      <c r="A329" t="s">
        <v>2529</v>
      </c>
      <c r="B329">
        <v>1922</v>
      </c>
      <c r="C329" t="s">
        <v>2530</v>
      </c>
      <c r="I329" t="s">
        <v>2530</v>
      </c>
      <c r="Z329">
        <f t="shared" si="5"/>
        <v>47</v>
      </c>
    </row>
    <row r="330" spans="1:26" x14ac:dyDescent="0.25">
      <c r="A330" t="s">
        <v>2531</v>
      </c>
      <c r="B330">
        <v>1922</v>
      </c>
      <c r="C330" t="s">
        <v>2532</v>
      </c>
      <c r="H330" t="s">
        <v>2533</v>
      </c>
      <c r="I330" t="s">
        <v>2534</v>
      </c>
      <c r="Z330">
        <f t="shared" si="5"/>
        <v>45</v>
      </c>
    </row>
    <row r="331" spans="1:26" x14ac:dyDescent="0.25">
      <c r="A331" t="s">
        <v>2535</v>
      </c>
      <c r="B331">
        <v>1922</v>
      </c>
      <c r="C331" t="s">
        <v>2536</v>
      </c>
      <c r="I331" t="s">
        <v>2536</v>
      </c>
      <c r="Z331">
        <f t="shared" si="5"/>
        <v>49</v>
      </c>
    </row>
    <row r="332" spans="1:26" x14ac:dyDescent="0.25">
      <c r="A332" t="s">
        <v>2537</v>
      </c>
      <c r="B332">
        <v>1922</v>
      </c>
      <c r="C332" t="s">
        <v>2538</v>
      </c>
      <c r="H332" t="s">
        <v>2539</v>
      </c>
      <c r="I332" t="s">
        <v>2538</v>
      </c>
      <c r="Z332">
        <f t="shared" si="5"/>
        <v>55</v>
      </c>
    </row>
    <row r="333" spans="1:26" x14ac:dyDescent="0.25">
      <c r="A333" t="s">
        <v>2540</v>
      </c>
      <c r="B333">
        <v>1922</v>
      </c>
      <c r="C333" t="s">
        <v>2541</v>
      </c>
      <c r="H333" t="s">
        <v>2542</v>
      </c>
      <c r="I333" t="s">
        <v>2541</v>
      </c>
      <c r="Z333">
        <f t="shared" si="5"/>
        <v>48</v>
      </c>
    </row>
    <row r="334" spans="1:26" x14ac:dyDescent="0.25">
      <c r="A334" t="s">
        <v>2543</v>
      </c>
      <c r="B334">
        <v>1922</v>
      </c>
      <c r="C334" t="s">
        <v>2544</v>
      </c>
      <c r="E334" t="s">
        <v>2545</v>
      </c>
      <c r="H334" t="s">
        <v>2546</v>
      </c>
      <c r="I334" t="s">
        <v>2547</v>
      </c>
      <c r="Z334">
        <f t="shared" si="5"/>
        <v>73</v>
      </c>
    </row>
    <row r="335" spans="1:26" x14ac:dyDescent="0.25">
      <c r="A335" t="s">
        <v>2548</v>
      </c>
      <c r="B335">
        <v>1922</v>
      </c>
      <c r="C335" t="s">
        <v>2549</v>
      </c>
      <c r="H335" t="s">
        <v>2550</v>
      </c>
      <c r="I335" t="s">
        <v>2549</v>
      </c>
      <c r="Z335">
        <f t="shared" si="5"/>
        <v>55</v>
      </c>
    </row>
    <row r="336" spans="1:26" x14ac:dyDescent="0.25">
      <c r="A336" t="s">
        <v>2551</v>
      </c>
      <c r="B336">
        <v>1922</v>
      </c>
      <c r="C336" t="s">
        <v>2552</v>
      </c>
      <c r="D336" s="1">
        <v>1000000</v>
      </c>
      <c r="H336" t="s">
        <v>2553</v>
      </c>
      <c r="I336" t="s">
        <v>2554</v>
      </c>
      <c r="P336" t="s">
        <v>28</v>
      </c>
      <c r="Q336" t="s">
        <v>28</v>
      </c>
      <c r="Z336">
        <f t="shared" si="5"/>
        <v>45</v>
      </c>
    </row>
    <row r="337" spans="1:26" x14ac:dyDescent="0.25">
      <c r="A337" t="s">
        <v>2555</v>
      </c>
      <c r="B337">
        <v>1922</v>
      </c>
      <c r="C337" t="s">
        <v>2556</v>
      </c>
      <c r="H337" t="s">
        <v>2557</v>
      </c>
      <c r="I337" t="s">
        <v>2558</v>
      </c>
      <c r="J337" t="s">
        <v>2559</v>
      </c>
      <c r="K337" t="s">
        <v>524</v>
      </c>
      <c r="L337" t="s">
        <v>960</v>
      </c>
      <c r="M337" t="s">
        <v>1404</v>
      </c>
      <c r="U337" t="s">
        <v>28</v>
      </c>
      <c r="Z337">
        <f t="shared" si="5"/>
        <v>61</v>
      </c>
    </row>
    <row r="338" spans="1:26" x14ac:dyDescent="0.25">
      <c r="A338" t="s">
        <v>2560</v>
      </c>
      <c r="B338">
        <v>1922</v>
      </c>
      <c r="C338" t="s">
        <v>2561</v>
      </c>
      <c r="I338" t="s">
        <v>2562</v>
      </c>
      <c r="N338" t="s">
        <v>68</v>
      </c>
      <c r="Y338">
        <v>2</v>
      </c>
      <c r="Z338">
        <f t="shared" si="5"/>
        <v>35</v>
      </c>
    </row>
    <row r="339" spans="1:26" x14ac:dyDescent="0.25">
      <c r="A339" t="s">
        <v>2563</v>
      </c>
      <c r="B339">
        <v>1922</v>
      </c>
      <c r="C339" t="s">
        <v>2564</v>
      </c>
      <c r="H339" t="s">
        <v>2565</v>
      </c>
      <c r="I339" t="s">
        <v>2564</v>
      </c>
      <c r="Z339">
        <f t="shared" si="5"/>
        <v>56</v>
      </c>
    </row>
    <row r="340" spans="1:26" x14ac:dyDescent="0.25">
      <c r="A340" t="s">
        <v>2566</v>
      </c>
      <c r="B340">
        <v>1922</v>
      </c>
      <c r="C340" t="s">
        <v>2567</v>
      </c>
      <c r="D340" s="1">
        <v>1000000</v>
      </c>
      <c r="H340" t="s">
        <v>2568</v>
      </c>
      <c r="I340" t="s">
        <v>2569</v>
      </c>
      <c r="Q340" t="s">
        <v>28</v>
      </c>
      <c r="R340" t="s">
        <v>28</v>
      </c>
      <c r="Z340">
        <f t="shared" si="5"/>
        <v>53</v>
      </c>
    </row>
    <row r="341" spans="1:26" x14ac:dyDescent="0.25">
      <c r="A341" t="s">
        <v>2570</v>
      </c>
      <c r="B341">
        <v>1922</v>
      </c>
      <c r="C341" t="s">
        <v>2571</v>
      </c>
      <c r="D341" s="1">
        <v>100000</v>
      </c>
      <c r="E341" t="s">
        <v>2572</v>
      </c>
      <c r="H341" t="s">
        <v>2565</v>
      </c>
      <c r="I341" t="s">
        <v>2573</v>
      </c>
      <c r="Q341" t="s">
        <v>28</v>
      </c>
      <c r="R341" t="s">
        <v>28</v>
      </c>
      <c r="Z341">
        <f t="shared" si="5"/>
        <v>69</v>
      </c>
    </row>
    <row r="342" spans="1:26" x14ac:dyDescent="0.25">
      <c r="A342" t="s">
        <v>2574</v>
      </c>
      <c r="B342">
        <v>1922</v>
      </c>
      <c r="C342" t="s">
        <v>2575</v>
      </c>
      <c r="D342" s="1">
        <v>50000000</v>
      </c>
      <c r="H342" t="s">
        <v>1759</v>
      </c>
      <c r="I342" t="s">
        <v>2576</v>
      </c>
      <c r="P342" t="s">
        <v>28</v>
      </c>
      <c r="Z342">
        <f t="shared" si="5"/>
        <v>57</v>
      </c>
    </row>
    <row r="343" spans="1:26" x14ac:dyDescent="0.25">
      <c r="A343" t="s">
        <v>2577</v>
      </c>
      <c r="B343">
        <v>1922</v>
      </c>
      <c r="C343" t="s">
        <v>2578</v>
      </c>
      <c r="D343" s="1">
        <v>500000</v>
      </c>
      <c r="H343" t="s">
        <v>1895</v>
      </c>
      <c r="I343" t="s">
        <v>2579</v>
      </c>
      <c r="N343" s="5" t="s">
        <v>28</v>
      </c>
      <c r="Q343" t="s">
        <v>28</v>
      </c>
      <c r="R343" t="s">
        <v>28</v>
      </c>
      <c r="Z343">
        <f t="shared" si="5"/>
        <v>46</v>
      </c>
    </row>
    <row r="344" spans="1:26" x14ac:dyDescent="0.25">
      <c r="A344" t="s">
        <v>2580</v>
      </c>
      <c r="B344">
        <v>1922</v>
      </c>
      <c r="C344" t="s">
        <v>2581</v>
      </c>
      <c r="D344">
        <v>75000</v>
      </c>
      <c r="H344" t="s">
        <v>2582</v>
      </c>
      <c r="I344" t="s">
        <v>2583</v>
      </c>
      <c r="P344" t="s">
        <v>28</v>
      </c>
      <c r="Z344">
        <f t="shared" si="5"/>
        <v>66</v>
      </c>
    </row>
    <row r="345" spans="1:26" x14ac:dyDescent="0.25">
      <c r="A345" t="s">
        <v>2584</v>
      </c>
      <c r="B345">
        <v>1922</v>
      </c>
      <c r="C345" t="s">
        <v>2585</v>
      </c>
      <c r="I345" t="s">
        <v>2586</v>
      </c>
      <c r="Z345">
        <f t="shared" si="5"/>
        <v>37</v>
      </c>
    </row>
    <row r="346" spans="1:26" x14ac:dyDescent="0.25">
      <c r="A346" t="s">
        <v>2587</v>
      </c>
      <c r="B346">
        <v>1922</v>
      </c>
      <c r="C346" t="s">
        <v>2588</v>
      </c>
      <c r="D346" s="1">
        <v>20000000</v>
      </c>
      <c r="G346" t="s">
        <v>2286</v>
      </c>
      <c r="H346" t="s">
        <v>1759</v>
      </c>
      <c r="I346" t="s">
        <v>2589</v>
      </c>
      <c r="Q346" t="s">
        <v>28</v>
      </c>
      <c r="Z346">
        <f t="shared" si="5"/>
        <v>62</v>
      </c>
    </row>
    <row r="347" spans="1:26" x14ac:dyDescent="0.25">
      <c r="A347" t="s">
        <v>2590</v>
      </c>
      <c r="B347">
        <v>1922</v>
      </c>
      <c r="C347" t="s">
        <v>2591</v>
      </c>
      <c r="H347" t="s">
        <v>2592</v>
      </c>
      <c r="I347" t="s">
        <v>2593</v>
      </c>
      <c r="J347" t="s">
        <v>2594</v>
      </c>
      <c r="K347" t="s">
        <v>1596</v>
      </c>
      <c r="M347" t="s">
        <v>1798</v>
      </c>
      <c r="W347" t="s">
        <v>28</v>
      </c>
      <c r="Z347">
        <f t="shared" si="5"/>
        <v>73</v>
      </c>
    </row>
    <row r="348" spans="1:26" x14ac:dyDescent="0.25">
      <c r="A348" t="s">
        <v>2595</v>
      </c>
      <c r="B348">
        <v>1922</v>
      </c>
      <c r="C348" t="s">
        <v>2596</v>
      </c>
      <c r="I348" t="s">
        <v>2597</v>
      </c>
      <c r="N348" t="s">
        <v>28</v>
      </c>
      <c r="Z348">
        <f t="shared" si="5"/>
        <v>64</v>
      </c>
    </row>
    <row r="349" spans="1:26" x14ac:dyDescent="0.25">
      <c r="A349" t="s">
        <v>2598</v>
      </c>
      <c r="B349">
        <v>1922</v>
      </c>
      <c r="C349" t="s">
        <v>2599</v>
      </c>
      <c r="H349" t="s">
        <v>2600</v>
      </c>
      <c r="I349" t="s">
        <v>2601</v>
      </c>
      <c r="J349" t="s">
        <v>2602</v>
      </c>
      <c r="K349" t="s">
        <v>2603</v>
      </c>
      <c r="M349" t="s">
        <v>2100</v>
      </c>
      <c r="U349" t="s">
        <v>68</v>
      </c>
      <c r="Y349">
        <v>2</v>
      </c>
      <c r="Z349">
        <f t="shared" si="5"/>
        <v>71</v>
      </c>
    </row>
    <row r="350" spans="1:26" x14ac:dyDescent="0.25">
      <c r="A350" t="s">
        <v>2604</v>
      </c>
      <c r="B350">
        <v>1922</v>
      </c>
      <c r="C350" t="s">
        <v>2599</v>
      </c>
      <c r="I350" t="s">
        <v>2605</v>
      </c>
      <c r="Z350">
        <f t="shared" si="5"/>
        <v>45</v>
      </c>
    </row>
    <row r="351" spans="1:26" x14ac:dyDescent="0.25">
      <c r="A351" t="s">
        <v>2606</v>
      </c>
      <c r="B351">
        <v>1922</v>
      </c>
      <c r="C351" t="s">
        <v>2607</v>
      </c>
      <c r="I351" t="s">
        <v>2608</v>
      </c>
      <c r="Z351">
        <f t="shared" si="5"/>
        <v>38</v>
      </c>
    </row>
    <row r="352" spans="1:26" x14ac:dyDescent="0.25">
      <c r="A352" t="s">
        <v>2609</v>
      </c>
      <c r="B352">
        <v>1922</v>
      </c>
      <c r="C352" t="s">
        <v>2610</v>
      </c>
      <c r="H352" t="s">
        <v>2611</v>
      </c>
      <c r="I352" t="s">
        <v>2612</v>
      </c>
      <c r="J352" t="s">
        <v>2613</v>
      </c>
      <c r="K352" t="s">
        <v>1596</v>
      </c>
      <c r="L352" t="s">
        <v>2614</v>
      </c>
      <c r="M352" t="s">
        <v>1404</v>
      </c>
      <c r="S352" t="s">
        <v>28</v>
      </c>
      <c r="W352" t="s">
        <v>28</v>
      </c>
      <c r="Z352">
        <f t="shared" si="5"/>
        <v>68</v>
      </c>
    </row>
    <row r="353" spans="1:26" x14ac:dyDescent="0.25">
      <c r="A353" t="s">
        <v>2615</v>
      </c>
      <c r="B353">
        <v>1922</v>
      </c>
      <c r="C353" t="s">
        <v>2616</v>
      </c>
      <c r="I353" t="s">
        <v>2617</v>
      </c>
      <c r="J353" t="s">
        <v>2618</v>
      </c>
      <c r="K353" t="s">
        <v>1678</v>
      </c>
      <c r="L353" t="s">
        <v>505</v>
      </c>
      <c r="M353" t="s">
        <v>2619</v>
      </c>
      <c r="W353" t="s">
        <v>28</v>
      </c>
      <c r="Z353">
        <f t="shared" si="5"/>
        <v>67</v>
      </c>
    </row>
    <row r="354" spans="1:26" x14ac:dyDescent="0.25">
      <c r="A354" t="s">
        <v>2620</v>
      </c>
      <c r="B354">
        <v>1922</v>
      </c>
      <c r="C354" t="s">
        <v>2621</v>
      </c>
      <c r="I354" t="s">
        <v>2622</v>
      </c>
      <c r="Z354">
        <f t="shared" si="5"/>
        <v>36</v>
      </c>
    </row>
    <row r="355" spans="1:26" x14ac:dyDescent="0.25">
      <c r="A355" t="s">
        <v>2623</v>
      </c>
      <c r="B355">
        <v>1922</v>
      </c>
      <c r="C355" t="s">
        <v>2624</v>
      </c>
      <c r="D355" s="1">
        <v>2000000</v>
      </c>
      <c r="E355" t="s">
        <v>2625</v>
      </c>
      <c r="H355" t="s">
        <v>2626</v>
      </c>
      <c r="I355" t="s">
        <v>2627</v>
      </c>
      <c r="Q355" t="s">
        <v>28</v>
      </c>
      <c r="Z355">
        <f t="shared" si="5"/>
        <v>67</v>
      </c>
    </row>
    <row r="356" spans="1:26" x14ac:dyDescent="0.25">
      <c r="A356" t="s">
        <v>2628</v>
      </c>
      <c r="B356">
        <v>1922</v>
      </c>
      <c r="C356" t="s">
        <v>2629</v>
      </c>
      <c r="I356" t="s">
        <v>2630</v>
      </c>
      <c r="Z356">
        <f t="shared" si="5"/>
        <v>42</v>
      </c>
    </row>
    <row r="357" spans="1:26" x14ac:dyDescent="0.25">
      <c r="A357" t="s">
        <v>2631</v>
      </c>
      <c r="B357">
        <v>1922</v>
      </c>
      <c r="C357" t="s">
        <v>2632</v>
      </c>
      <c r="I357" t="s">
        <v>2633</v>
      </c>
      <c r="Z357">
        <f t="shared" si="5"/>
        <v>30</v>
      </c>
    </row>
    <row r="358" spans="1:26" x14ac:dyDescent="0.25">
      <c r="A358" t="s">
        <v>2634</v>
      </c>
      <c r="B358">
        <v>1922</v>
      </c>
      <c r="C358" t="s">
        <v>2635</v>
      </c>
      <c r="H358" t="s">
        <v>2636</v>
      </c>
      <c r="I358" t="s">
        <v>2637</v>
      </c>
      <c r="S358" t="s">
        <v>28</v>
      </c>
      <c r="Z358">
        <f t="shared" si="5"/>
        <v>50</v>
      </c>
    </row>
    <row r="359" spans="1:26" x14ac:dyDescent="0.25">
      <c r="A359" t="s">
        <v>2638</v>
      </c>
      <c r="B359">
        <v>1922</v>
      </c>
      <c r="C359" t="s">
        <v>2639</v>
      </c>
      <c r="I359" t="s">
        <v>2640</v>
      </c>
      <c r="N359" t="s">
        <v>28</v>
      </c>
      <c r="Z359">
        <f t="shared" si="5"/>
        <v>64</v>
      </c>
    </row>
    <row r="360" spans="1:26" x14ac:dyDescent="0.25">
      <c r="A360" t="s">
        <v>2641</v>
      </c>
      <c r="B360">
        <v>1922</v>
      </c>
      <c r="C360" t="s">
        <v>2642</v>
      </c>
      <c r="H360" t="s">
        <v>1862</v>
      </c>
      <c r="I360" t="s">
        <v>2643</v>
      </c>
      <c r="J360" t="s">
        <v>2644</v>
      </c>
      <c r="K360" t="s">
        <v>1730</v>
      </c>
      <c r="L360" t="s">
        <v>1265</v>
      </c>
      <c r="M360" t="s">
        <v>1404</v>
      </c>
      <c r="N360" s="5" t="s">
        <v>28</v>
      </c>
      <c r="U360" t="s">
        <v>28</v>
      </c>
      <c r="Z360">
        <f t="shared" si="5"/>
        <v>65</v>
      </c>
    </row>
    <row r="361" spans="1:26" x14ac:dyDescent="0.25">
      <c r="A361" t="s">
        <v>2645</v>
      </c>
      <c r="B361">
        <v>1922</v>
      </c>
      <c r="C361" t="s">
        <v>2646</v>
      </c>
      <c r="I361" t="s">
        <v>2647</v>
      </c>
      <c r="Z361">
        <f t="shared" si="5"/>
        <v>48</v>
      </c>
    </row>
    <row r="362" spans="1:26" x14ac:dyDescent="0.25">
      <c r="A362" t="s">
        <v>2648</v>
      </c>
      <c r="B362">
        <v>1922</v>
      </c>
      <c r="C362" t="s">
        <v>2649</v>
      </c>
      <c r="I362" t="s">
        <v>2649</v>
      </c>
      <c r="Z362">
        <f t="shared" si="5"/>
        <v>36</v>
      </c>
    </row>
    <row r="363" spans="1:26" x14ac:dyDescent="0.25">
      <c r="A363" t="s">
        <v>2650</v>
      </c>
      <c r="B363">
        <v>1922</v>
      </c>
      <c r="C363" t="s">
        <v>2651</v>
      </c>
      <c r="I363" t="s">
        <v>2652</v>
      </c>
      <c r="Z363">
        <f t="shared" si="5"/>
        <v>34</v>
      </c>
    </row>
    <row r="364" spans="1:26" x14ac:dyDescent="0.25">
      <c r="A364" t="s">
        <v>2653</v>
      </c>
      <c r="B364">
        <v>1922</v>
      </c>
      <c r="C364" t="s">
        <v>2654</v>
      </c>
      <c r="I364" t="s">
        <v>2655</v>
      </c>
      <c r="Z364">
        <f t="shared" si="5"/>
        <v>38</v>
      </c>
    </row>
    <row r="365" spans="1:26" x14ac:dyDescent="0.25">
      <c r="A365" t="s">
        <v>2656</v>
      </c>
      <c r="B365">
        <v>1922</v>
      </c>
      <c r="C365" t="s">
        <v>2657</v>
      </c>
      <c r="I365" t="s">
        <v>2658</v>
      </c>
      <c r="Z365">
        <f t="shared" si="5"/>
        <v>36</v>
      </c>
    </row>
    <row r="366" spans="1:26" x14ac:dyDescent="0.25">
      <c r="A366" t="s">
        <v>2659</v>
      </c>
      <c r="B366">
        <v>1922</v>
      </c>
      <c r="C366" t="s">
        <v>2660</v>
      </c>
      <c r="I366" t="s">
        <v>2661</v>
      </c>
      <c r="Z366">
        <f t="shared" si="5"/>
        <v>53</v>
      </c>
    </row>
    <row r="367" spans="1:26" x14ac:dyDescent="0.25">
      <c r="A367" t="s">
        <v>2662</v>
      </c>
      <c r="B367">
        <v>1922</v>
      </c>
      <c r="C367" t="s">
        <v>2663</v>
      </c>
      <c r="I367" t="s">
        <v>2664</v>
      </c>
      <c r="J367" t="s">
        <v>2665</v>
      </c>
      <c r="K367" t="s">
        <v>383</v>
      </c>
      <c r="M367" t="s">
        <v>1798</v>
      </c>
      <c r="N367" t="s">
        <v>28</v>
      </c>
      <c r="U367" t="s">
        <v>28</v>
      </c>
      <c r="W367" t="s">
        <v>28</v>
      </c>
      <c r="Z367">
        <f t="shared" si="5"/>
        <v>84</v>
      </c>
    </row>
    <row r="368" spans="1:26" x14ac:dyDescent="0.25">
      <c r="A368" t="s">
        <v>2666</v>
      </c>
      <c r="B368">
        <v>1922</v>
      </c>
      <c r="C368" t="s">
        <v>2667</v>
      </c>
      <c r="I368" t="s">
        <v>2668</v>
      </c>
      <c r="J368" t="s">
        <v>2669</v>
      </c>
      <c r="K368" t="s">
        <v>878</v>
      </c>
      <c r="M368" t="s">
        <v>1591</v>
      </c>
      <c r="N368" s="5" t="s">
        <v>28</v>
      </c>
      <c r="U368" t="s">
        <v>28</v>
      </c>
      <c r="W368" t="s">
        <v>28</v>
      </c>
      <c r="Z368">
        <f t="shared" si="5"/>
        <v>58</v>
      </c>
    </row>
    <row r="369" spans="1:26" x14ac:dyDescent="0.25">
      <c r="A369" t="s">
        <v>2670</v>
      </c>
      <c r="B369">
        <v>1922</v>
      </c>
      <c r="C369" t="s">
        <v>2671</v>
      </c>
      <c r="D369" s="1">
        <v>200000</v>
      </c>
      <c r="H369" t="s">
        <v>1468</v>
      </c>
      <c r="I369" t="s">
        <v>2672</v>
      </c>
      <c r="P369" t="s">
        <v>28</v>
      </c>
      <c r="Z369">
        <f t="shared" si="5"/>
        <v>53</v>
      </c>
    </row>
    <row r="370" spans="1:26" x14ac:dyDescent="0.25">
      <c r="A370" t="s">
        <v>2673</v>
      </c>
      <c r="B370">
        <v>1922</v>
      </c>
      <c r="C370" t="s">
        <v>2674</v>
      </c>
      <c r="I370" t="s">
        <v>2675</v>
      </c>
      <c r="Z370">
        <f t="shared" si="5"/>
        <v>46</v>
      </c>
    </row>
    <row r="371" spans="1:26" x14ac:dyDescent="0.25">
      <c r="A371" t="s">
        <v>2676</v>
      </c>
      <c r="B371">
        <v>1922</v>
      </c>
      <c r="C371" t="s">
        <v>2677</v>
      </c>
      <c r="I371" t="s">
        <v>2678</v>
      </c>
      <c r="J371" t="s">
        <v>2679</v>
      </c>
      <c r="K371" t="s">
        <v>210</v>
      </c>
      <c r="L371" t="s">
        <v>1389</v>
      </c>
      <c r="M371" t="s">
        <v>1798</v>
      </c>
      <c r="U371" t="s">
        <v>28</v>
      </c>
      <c r="Z371">
        <f t="shared" si="5"/>
        <v>78</v>
      </c>
    </row>
    <row r="372" spans="1:26" x14ac:dyDescent="0.25">
      <c r="A372" t="s">
        <v>2680</v>
      </c>
      <c r="B372">
        <v>1922</v>
      </c>
      <c r="C372" t="s">
        <v>2681</v>
      </c>
      <c r="H372" t="s">
        <v>2682</v>
      </c>
      <c r="I372" t="s">
        <v>2683</v>
      </c>
      <c r="J372" t="s">
        <v>2684</v>
      </c>
      <c r="K372" t="s">
        <v>2685</v>
      </c>
      <c r="L372" t="s">
        <v>1667</v>
      </c>
      <c r="M372" t="s">
        <v>1679</v>
      </c>
      <c r="N372" t="s">
        <v>68</v>
      </c>
      <c r="U372" t="s">
        <v>68</v>
      </c>
      <c r="Y372">
        <v>2</v>
      </c>
      <c r="Z372">
        <f t="shared" si="5"/>
        <v>94</v>
      </c>
    </row>
    <row r="373" spans="1:26" x14ac:dyDescent="0.25">
      <c r="A373" t="s">
        <v>2686</v>
      </c>
      <c r="B373">
        <v>1922</v>
      </c>
      <c r="C373" t="s">
        <v>2687</v>
      </c>
      <c r="I373" t="s">
        <v>2688</v>
      </c>
      <c r="N373" t="s">
        <v>28</v>
      </c>
      <c r="Z373">
        <f t="shared" si="5"/>
        <v>109</v>
      </c>
    </row>
    <row r="374" spans="1:26" x14ac:dyDescent="0.25">
      <c r="A374" t="s">
        <v>2689</v>
      </c>
      <c r="B374">
        <v>1922</v>
      </c>
      <c r="C374" t="s">
        <v>2690</v>
      </c>
      <c r="I374" t="s">
        <v>2691</v>
      </c>
      <c r="Z374">
        <f t="shared" si="5"/>
        <v>35</v>
      </c>
    </row>
    <row r="375" spans="1:26" s="4" customFormat="1" x14ac:dyDescent="0.25">
      <c r="A375" s="4" t="s">
        <v>2692</v>
      </c>
      <c r="B375" s="4">
        <v>1922</v>
      </c>
      <c r="C375" s="4" t="s">
        <v>2693</v>
      </c>
      <c r="I375" s="4" t="s">
        <v>2693</v>
      </c>
      <c r="Z375">
        <f t="shared" si="5"/>
        <v>10</v>
      </c>
    </row>
    <row r="376" spans="1:26" x14ac:dyDescent="0.25">
      <c r="A376" t="s">
        <v>2694</v>
      </c>
      <c r="B376">
        <v>1922</v>
      </c>
      <c r="C376" t="s">
        <v>2695</v>
      </c>
      <c r="H376" t="s">
        <v>2696</v>
      </c>
      <c r="I376" t="s">
        <v>2697</v>
      </c>
      <c r="S376" t="s">
        <v>28</v>
      </c>
      <c r="Z376">
        <f t="shared" si="5"/>
        <v>64</v>
      </c>
    </row>
    <row r="377" spans="1:26" x14ac:dyDescent="0.25">
      <c r="A377" t="s">
        <v>2698</v>
      </c>
      <c r="B377">
        <v>1922</v>
      </c>
      <c r="C377" t="s">
        <v>2699</v>
      </c>
      <c r="I377" t="s">
        <v>2700</v>
      </c>
      <c r="Z377">
        <f t="shared" si="5"/>
        <v>46</v>
      </c>
    </row>
    <row r="378" spans="1:26" x14ac:dyDescent="0.25">
      <c r="A378" t="s">
        <v>2701</v>
      </c>
      <c r="B378">
        <v>1922</v>
      </c>
      <c r="C378" t="s">
        <v>2702</v>
      </c>
      <c r="I378" t="s">
        <v>2703</v>
      </c>
      <c r="Z378">
        <f t="shared" si="5"/>
        <v>36</v>
      </c>
    </row>
    <row r="379" spans="1:26" x14ac:dyDescent="0.25">
      <c r="A379" t="s">
        <v>2704</v>
      </c>
      <c r="B379">
        <v>1922</v>
      </c>
      <c r="C379" t="s">
        <v>2705</v>
      </c>
      <c r="I379" t="s">
        <v>2706</v>
      </c>
      <c r="J379" t="s">
        <v>2707</v>
      </c>
      <c r="K379" t="s">
        <v>2708</v>
      </c>
      <c r="L379" t="s">
        <v>23</v>
      </c>
      <c r="M379" t="s">
        <v>1679</v>
      </c>
      <c r="U379" t="s">
        <v>28</v>
      </c>
      <c r="Z379">
        <f t="shared" si="5"/>
        <v>69</v>
      </c>
    </row>
    <row r="380" spans="1:26" x14ac:dyDescent="0.25">
      <c r="A380" t="s">
        <v>2709</v>
      </c>
      <c r="B380">
        <v>1922</v>
      </c>
      <c r="C380" t="s">
        <v>2710</v>
      </c>
      <c r="H380" t="s">
        <v>1759</v>
      </c>
      <c r="I380" t="s">
        <v>2711</v>
      </c>
      <c r="J380" t="s">
        <v>2712</v>
      </c>
      <c r="K380" t="s">
        <v>392</v>
      </c>
      <c r="L380" t="s">
        <v>524</v>
      </c>
      <c r="M380" t="s">
        <v>1404</v>
      </c>
      <c r="U380" t="s">
        <v>68</v>
      </c>
      <c r="Y380">
        <v>1</v>
      </c>
      <c r="Z380">
        <f t="shared" si="5"/>
        <v>48</v>
      </c>
    </row>
    <row r="381" spans="1:26" x14ac:dyDescent="0.25">
      <c r="A381" t="s">
        <v>2713</v>
      </c>
      <c r="B381">
        <v>1922</v>
      </c>
      <c r="C381" t="s">
        <v>2714</v>
      </c>
      <c r="I381" t="s">
        <v>2714</v>
      </c>
      <c r="Z381">
        <f t="shared" si="5"/>
        <v>44</v>
      </c>
    </row>
    <row r="382" spans="1:26" x14ac:dyDescent="0.25">
      <c r="A382" t="s">
        <v>2715</v>
      </c>
      <c r="B382">
        <v>1922</v>
      </c>
      <c r="C382" t="s">
        <v>2716</v>
      </c>
      <c r="H382" t="s">
        <v>2717</v>
      </c>
      <c r="I382" t="s">
        <v>2718</v>
      </c>
      <c r="N382" t="s">
        <v>28</v>
      </c>
      <c r="U382" t="s">
        <v>28</v>
      </c>
      <c r="V382" t="s">
        <v>28</v>
      </c>
      <c r="W382" t="s">
        <v>28</v>
      </c>
      <c r="X382" t="s">
        <v>28</v>
      </c>
      <c r="Z382">
        <f t="shared" si="5"/>
        <v>72</v>
      </c>
    </row>
    <row r="383" spans="1:26" x14ac:dyDescent="0.25">
      <c r="A383" t="s">
        <v>2719</v>
      </c>
      <c r="B383">
        <v>1922</v>
      </c>
      <c r="C383" t="s">
        <v>2720</v>
      </c>
      <c r="I383" t="s">
        <v>2721</v>
      </c>
      <c r="Z383">
        <f t="shared" si="5"/>
        <v>30</v>
      </c>
    </row>
    <row r="384" spans="1:26" x14ac:dyDescent="0.25">
      <c r="A384" t="s">
        <v>2722</v>
      </c>
      <c r="B384">
        <v>1922</v>
      </c>
      <c r="C384" t="s">
        <v>2723</v>
      </c>
      <c r="I384" t="s">
        <v>2724</v>
      </c>
      <c r="Z384">
        <f t="shared" si="5"/>
        <v>49</v>
      </c>
    </row>
    <row r="385" spans="1:26" x14ac:dyDescent="0.25">
      <c r="A385" t="s">
        <v>2725</v>
      </c>
      <c r="B385">
        <v>1922</v>
      </c>
      <c r="C385" t="s">
        <v>2726</v>
      </c>
      <c r="I385" t="s">
        <v>2727</v>
      </c>
      <c r="N385" t="s">
        <v>28</v>
      </c>
      <c r="Z385">
        <f t="shared" si="5"/>
        <v>41</v>
      </c>
    </row>
    <row r="386" spans="1:26" x14ac:dyDescent="0.25">
      <c r="N386">
        <f>COUNTIF(N2:N385, "f") + COUNTIF(N2:N385, "a") + COUNTIF(N2:N385, "b") + COUNTIF(N2:N385, "a/b")</f>
        <v>107</v>
      </c>
      <c r="O386">
        <f t="shared" ref="O386:X386" si="6">COUNTIF(O2:O385, "f") + COUNTIF(O2:O385, "a") + COUNTIF(O2:O385, "b") + COUNTIF(O2:O385, "a/b")</f>
        <v>5</v>
      </c>
      <c r="P386">
        <f t="shared" si="6"/>
        <v>17</v>
      </c>
      <c r="Q386">
        <f t="shared" si="6"/>
        <v>7</v>
      </c>
      <c r="R386">
        <f t="shared" si="6"/>
        <v>3</v>
      </c>
      <c r="S386">
        <f t="shared" si="6"/>
        <v>23</v>
      </c>
      <c r="T386">
        <f t="shared" si="6"/>
        <v>0</v>
      </c>
      <c r="U386">
        <f t="shared" si="6"/>
        <v>69</v>
      </c>
      <c r="V386">
        <f t="shared" si="6"/>
        <v>10</v>
      </c>
      <c r="W386">
        <f t="shared" si="6"/>
        <v>50</v>
      </c>
      <c r="X386">
        <f t="shared" si="6"/>
        <v>7</v>
      </c>
      <c r="Y386">
        <f>SUM(Y2:Y385)</f>
        <v>110</v>
      </c>
      <c r="Z386">
        <f>SUM(Z2:Z385)</f>
        <v>20826</v>
      </c>
    </row>
    <row r="387" spans="1:26" x14ac:dyDescent="0.25">
      <c r="N387">
        <f>1-(N386/409)</f>
        <v>0.73838630806845962</v>
      </c>
      <c r="O387">
        <f t="shared" ref="O387:X387" si="7">1-(O386/409)</f>
        <v>0.98777506112469438</v>
      </c>
      <c r="P387">
        <f t="shared" si="7"/>
        <v>0.95843520782396086</v>
      </c>
      <c r="Q387">
        <f t="shared" si="7"/>
        <v>0.9828850855745721</v>
      </c>
      <c r="R387">
        <f t="shared" si="7"/>
        <v>0.99266503667481665</v>
      </c>
      <c r="S387">
        <f t="shared" si="7"/>
        <v>0.94376528117359415</v>
      </c>
      <c r="T387">
        <f t="shared" si="7"/>
        <v>1</v>
      </c>
      <c r="U387">
        <f t="shared" si="7"/>
        <v>0.83129584352078245</v>
      </c>
      <c r="V387">
        <f t="shared" si="7"/>
        <v>0.97555012224938875</v>
      </c>
      <c r="W387">
        <f t="shared" si="7"/>
        <v>0.87775061124694376</v>
      </c>
      <c r="X387">
        <f t="shared" si="7"/>
        <v>0.9828850855745721</v>
      </c>
      <c r="Y387">
        <f>Y386/Z386</f>
        <v>5.2818592144434845E-3</v>
      </c>
    </row>
  </sheetData>
  <pageMargins left="0.7" right="0.7" top="0.75" bottom="0.75" header="0.3" footer="0.3"/>
  <ignoredErrors>
    <ignoredError sqref="N387:X387" evalError="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A61EE-8CC3-4AAC-BEBE-6DB574517F8C}">
  <dimension ref="A1:AJ371"/>
  <sheetViews>
    <sheetView zoomScale="70" zoomScaleNormal="70" workbookViewId="0">
      <pane ySplit="1" topLeftCell="A320" activePane="bottomLeft" state="frozen"/>
      <selection pane="bottomLeft" activeCell="Q371" sqref="Q371"/>
    </sheetView>
  </sheetViews>
  <sheetFormatPr defaultRowHeight="15" x14ac:dyDescent="0.25"/>
  <cols>
    <col min="3" max="3" width="26.42578125" customWidth="1"/>
  </cols>
  <sheetData>
    <row r="1" spans="1:36" x14ac:dyDescent="0.25">
      <c r="A1" t="s">
        <v>0</v>
      </c>
      <c r="B1" t="s">
        <v>1</v>
      </c>
      <c r="C1" t="s">
        <v>9</v>
      </c>
      <c r="D1" t="s">
        <v>2</v>
      </c>
      <c r="E1" t="s">
        <v>3</v>
      </c>
      <c r="F1" t="s">
        <v>2728</v>
      </c>
      <c r="G1" t="s">
        <v>2729</v>
      </c>
      <c r="H1" t="s">
        <v>2730</v>
      </c>
      <c r="I1" t="s">
        <v>2731</v>
      </c>
      <c r="J1" t="s">
        <v>2732</v>
      </c>
      <c r="K1" t="s">
        <v>2733</v>
      </c>
      <c r="L1" t="s">
        <v>8</v>
      </c>
      <c r="M1" t="s">
        <v>10</v>
      </c>
      <c r="N1" t="s">
        <v>11</v>
      </c>
      <c r="O1" t="s">
        <v>12</v>
      </c>
      <c r="P1" t="s">
        <v>13</v>
      </c>
      <c r="Q1" t="s">
        <v>2</v>
      </c>
      <c r="R1" t="s">
        <v>3</v>
      </c>
      <c r="S1" t="s">
        <v>2728</v>
      </c>
      <c r="T1" t="s">
        <v>2729</v>
      </c>
      <c r="U1" t="s">
        <v>2730</v>
      </c>
      <c r="V1" t="s">
        <v>2731</v>
      </c>
      <c r="W1" t="s">
        <v>2732</v>
      </c>
      <c r="X1" t="s">
        <v>2733</v>
      </c>
      <c r="Y1" t="s">
        <v>8</v>
      </c>
      <c r="Z1" t="s">
        <v>9</v>
      </c>
      <c r="AA1" t="s">
        <v>10</v>
      </c>
      <c r="AB1" t="s">
        <v>11</v>
      </c>
      <c r="AC1" t="s">
        <v>12</v>
      </c>
      <c r="AD1" t="s">
        <v>13</v>
      </c>
      <c r="AE1" t="s">
        <v>6906</v>
      </c>
      <c r="AF1" t="s">
        <v>6909</v>
      </c>
      <c r="AH1" t="s">
        <v>14</v>
      </c>
      <c r="AI1" t="s">
        <v>15</v>
      </c>
      <c r="AJ1" t="s">
        <v>16</v>
      </c>
    </row>
    <row r="2" spans="1:36" x14ac:dyDescent="0.25">
      <c r="A2" t="s">
        <v>2734</v>
      </c>
      <c r="B2">
        <v>1926</v>
      </c>
      <c r="C2" t="s">
        <v>2735</v>
      </c>
      <c r="D2" t="s">
        <v>2736</v>
      </c>
      <c r="L2" t="s">
        <v>2737</v>
      </c>
      <c r="Y2" t="s">
        <v>68</v>
      </c>
      <c r="AE2">
        <v>1</v>
      </c>
      <c r="AF2">
        <f>LEN(D2)+LEN(E2)+LEN(F2)+LEN(G2)+LEN(H2)+LEN(I2)+LEN(J2)+LEN(K2)+LEN(L2)+LEN(M2)+LEN(N2)+LEN(O2)+LEN(P2)</f>
        <v>36</v>
      </c>
      <c r="AH2" t="s">
        <v>15</v>
      </c>
      <c r="AI2" t="s">
        <v>22</v>
      </c>
      <c r="AJ2" t="s">
        <v>23</v>
      </c>
    </row>
    <row r="3" spans="1:36" x14ac:dyDescent="0.25">
      <c r="A3" t="s">
        <v>2738</v>
      </c>
      <c r="B3">
        <v>1926</v>
      </c>
      <c r="C3">
        <v>200000</v>
      </c>
      <c r="D3" t="s">
        <v>2739</v>
      </c>
      <c r="E3">
        <v>96665.055600000007</v>
      </c>
      <c r="L3" t="s">
        <v>2740</v>
      </c>
      <c r="AF3">
        <f t="shared" ref="AF3:AF66" si="0">LEN(D3)+LEN(E3)+LEN(F3)+LEN(G3)+LEN(H3)+LEN(I3)+LEN(J3)+LEN(K3)+LEN(L3)+LEN(M3)+LEN(N3)+LEN(O3)+LEN(P3)</f>
        <v>45</v>
      </c>
      <c r="AH3" t="s">
        <v>16</v>
      </c>
      <c r="AI3" t="s">
        <v>23</v>
      </c>
      <c r="AJ3" t="s">
        <v>22</v>
      </c>
    </row>
    <row r="4" spans="1:36" x14ac:dyDescent="0.25">
      <c r="A4" t="s">
        <v>2741</v>
      </c>
      <c r="B4">
        <v>1926</v>
      </c>
      <c r="C4" t="s">
        <v>2742</v>
      </c>
      <c r="D4" t="s">
        <v>2743</v>
      </c>
      <c r="L4" t="s">
        <v>2740</v>
      </c>
      <c r="R4" t="s">
        <v>28</v>
      </c>
      <c r="AF4">
        <f t="shared" si="0"/>
        <v>45</v>
      </c>
    </row>
    <row r="5" spans="1:36" x14ac:dyDescent="0.25">
      <c r="A5" t="s">
        <v>2744</v>
      </c>
      <c r="B5">
        <v>1926</v>
      </c>
      <c r="C5" t="s">
        <v>2745</v>
      </c>
      <c r="D5" t="s">
        <v>2743</v>
      </c>
      <c r="F5" t="s">
        <v>2745</v>
      </c>
      <c r="L5" t="s">
        <v>2740</v>
      </c>
      <c r="AF5">
        <f t="shared" si="0"/>
        <v>58</v>
      </c>
      <c r="AH5" t="s">
        <v>36</v>
      </c>
    </row>
    <row r="6" spans="1:36" x14ac:dyDescent="0.25">
      <c r="A6" t="s">
        <v>2746</v>
      </c>
      <c r="B6">
        <v>1926</v>
      </c>
      <c r="C6" t="s">
        <v>2747</v>
      </c>
      <c r="D6" t="s">
        <v>2748</v>
      </c>
      <c r="L6" t="s">
        <v>2749</v>
      </c>
      <c r="AF6">
        <f t="shared" si="0"/>
        <v>40</v>
      </c>
      <c r="AH6" t="s">
        <v>14</v>
      </c>
      <c r="AI6" t="s">
        <v>15</v>
      </c>
      <c r="AJ6" t="s">
        <v>16</v>
      </c>
    </row>
    <row r="7" spans="1:36" x14ac:dyDescent="0.25">
      <c r="A7" t="s">
        <v>2750</v>
      </c>
      <c r="B7">
        <v>1926</v>
      </c>
      <c r="C7">
        <v>2800</v>
      </c>
      <c r="D7" t="s">
        <v>2748</v>
      </c>
      <c r="E7">
        <v>1353.3107783999999</v>
      </c>
      <c r="L7" t="s">
        <v>2740</v>
      </c>
      <c r="Q7" t="s">
        <v>28</v>
      </c>
      <c r="AF7">
        <f t="shared" si="0"/>
        <v>54</v>
      </c>
      <c r="AH7" t="s">
        <v>15</v>
      </c>
      <c r="AJ7" t="s">
        <v>23</v>
      </c>
    </row>
    <row r="8" spans="1:36" x14ac:dyDescent="0.25">
      <c r="A8" t="s">
        <v>2751</v>
      </c>
      <c r="B8">
        <v>1926</v>
      </c>
      <c r="C8" t="s">
        <v>2752</v>
      </c>
      <c r="D8" t="s">
        <v>2753</v>
      </c>
      <c r="I8" t="s">
        <v>2754</v>
      </c>
      <c r="L8" t="s">
        <v>2740</v>
      </c>
      <c r="AF8">
        <f t="shared" si="0"/>
        <v>54</v>
      </c>
      <c r="AH8" t="s">
        <v>16</v>
      </c>
      <c r="AI8" t="s">
        <v>23</v>
      </c>
    </row>
    <row r="9" spans="1:36" x14ac:dyDescent="0.25">
      <c r="A9" t="s">
        <v>2755</v>
      </c>
      <c r="B9">
        <v>1926</v>
      </c>
      <c r="C9" t="s">
        <v>2756</v>
      </c>
      <c r="D9" t="s">
        <v>2753</v>
      </c>
      <c r="L9" t="s">
        <v>2749</v>
      </c>
      <c r="M9" t="s">
        <v>2757</v>
      </c>
      <c r="P9" t="s">
        <v>2758</v>
      </c>
      <c r="AA9" t="s">
        <v>28</v>
      </c>
      <c r="AB9" t="s">
        <v>28</v>
      </c>
      <c r="AF9">
        <f t="shared" si="0"/>
        <v>54</v>
      </c>
    </row>
    <row r="10" spans="1:36" x14ac:dyDescent="0.25">
      <c r="A10" t="s">
        <v>2759</v>
      </c>
      <c r="B10">
        <v>1926</v>
      </c>
      <c r="C10" t="s">
        <v>2760</v>
      </c>
      <c r="D10" t="s">
        <v>2761</v>
      </c>
      <c r="L10" t="s">
        <v>2762</v>
      </c>
      <c r="Y10" t="s">
        <v>28</v>
      </c>
      <c r="AA10" t="s">
        <v>28</v>
      </c>
      <c r="AB10" t="s">
        <v>28</v>
      </c>
      <c r="AD10" t="s">
        <v>28</v>
      </c>
      <c r="AF10">
        <f t="shared" si="0"/>
        <v>28</v>
      </c>
      <c r="AH10" t="s">
        <v>57</v>
      </c>
    </row>
    <row r="11" spans="1:36" x14ac:dyDescent="0.25">
      <c r="A11" t="s">
        <v>2763</v>
      </c>
      <c r="B11">
        <v>1926</v>
      </c>
      <c r="C11" t="s">
        <v>2764</v>
      </c>
      <c r="D11" t="s">
        <v>2761</v>
      </c>
      <c r="F11" t="s">
        <v>2764</v>
      </c>
      <c r="L11" t="s">
        <v>2765</v>
      </c>
      <c r="AF11">
        <f t="shared" si="0"/>
        <v>40</v>
      </c>
      <c r="AH11" t="s">
        <v>62</v>
      </c>
    </row>
    <row r="12" spans="1:36" x14ac:dyDescent="0.25">
      <c r="A12" t="s">
        <v>2766</v>
      </c>
      <c r="B12">
        <v>1926</v>
      </c>
      <c r="C12" t="s">
        <v>2767</v>
      </c>
      <c r="D12" t="s">
        <v>2761</v>
      </c>
      <c r="L12" t="s">
        <v>2768</v>
      </c>
      <c r="AF12">
        <f t="shared" si="0"/>
        <v>32</v>
      </c>
      <c r="AH12" t="s">
        <v>1437</v>
      </c>
      <c r="AI12" t="s">
        <v>68</v>
      </c>
    </row>
    <row r="13" spans="1:36" x14ac:dyDescent="0.25">
      <c r="A13" t="s">
        <v>2766</v>
      </c>
      <c r="B13">
        <v>1926</v>
      </c>
      <c r="C13" t="s">
        <v>2767</v>
      </c>
      <c r="D13" t="s">
        <v>2761</v>
      </c>
      <c r="L13" t="s">
        <v>2768</v>
      </c>
      <c r="AF13">
        <f t="shared" si="0"/>
        <v>32</v>
      </c>
      <c r="AH13" t="s">
        <v>2769</v>
      </c>
      <c r="AI13" t="s">
        <v>28</v>
      </c>
    </row>
    <row r="14" spans="1:36" x14ac:dyDescent="0.25">
      <c r="A14" t="s">
        <v>2770</v>
      </c>
      <c r="B14">
        <v>1926</v>
      </c>
      <c r="C14" t="s">
        <v>2771</v>
      </c>
      <c r="D14" t="s">
        <v>2761</v>
      </c>
      <c r="L14" t="s">
        <v>2772</v>
      </c>
      <c r="Y14" t="s">
        <v>68</v>
      </c>
      <c r="AA14" t="s">
        <v>28</v>
      </c>
      <c r="AB14" t="s">
        <v>28</v>
      </c>
      <c r="AD14" t="s">
        <v>28</v>
      </c>
      <c r="AE14">
        <v>1</v>
      </c>
      <c r="AF14">
        <f t="shared" si="0"/>
        <v>29</v>
      </c>
    </row>
    <row r="15" spans="1:36" x14ac:dyDescent="0.25">
      <c r="A15" t="s">
        <v>2773</v>
      </c>
      <c r="B15">
        <v>1926</v>
      </c>
      <c r="C15" t="s">
        <v>2774</v>
      </c>
      <c r="D15" t="s">
        <v>2775</v>
      </c>
      <c r="L15" t="s">
        <v>2776</v>
      </c>
      <c r="AF15">
        <f t="shared" si="0"/>
        <v>45</v>
      </c>
    </row>
    <row r="16" spans="1:36" x14ac:dyDescent="0.25">
      <c r="A16" t="s">
        <v>2777</v>
      </c>
      <c r="B16">
        <v>1926</v>
      </c>
      <c r="C16" t="s">
        <v>2778</v>
      </c>
      <c r="D16" t="s">
        <v>2775</v>
      </c>
      <c r="F16" t="s">
        <v>2778</v>
      </c>
      <c r="L16" t="s">
        <v>2765</v>
      </c>
      <c r="AF16">
        <f t="shared" si="0"/>
        <v>67</v>
      </c>
    </row>
    <row r="17" spans="1:32" x14ac:dyDescent="0.25">
      <c r="A17" t="s">
        <v>2779</v>
      </c>
      <c r="B17">
        <v>1926</v>
      </c>
      <c r="C17" t="s">
        <v>2780</v>
      </c>
      <c r="D17" t="s">
        <v>2775</v>
      </c>
      <c r="L17" t="s">
        <v>2781</v>
      </c>
      <c r="M17" t="s">
        <v>2782</v>
      </c>
      <c r="N17" t="s">
        <v>2783</v>
      </c>
      <c r="P17" t="s">
        <v>2784</v>
      </c>
      <c r="AA17" t="s">
        <v>28</v>
      </c>
      <c r="AC17" t="s">
        <v>28</v>
      </c>
      <c r="AF17">
        <f t="shared" si="0"/>
        <v>64</v>
      </c>
    </row>
    <row r="18" spans="1:32" x14ac:dyDescent="0.25">
      <c r="A18" t="s">
        <v>2785</v>
      </c>
      <c r="B18">
        <v>1926</v>
      </c>
      <c r="C18" t="s">
        <v>2786</v>
      </c>
      <c r="D18" t="s">
        <v>2787</v>
      </c>
      <c r="F18" t="s">
        <v>2786</v>
      </c>
      <c r="L18" t="s">
        <v>1327</v>
      </c>
      <c r="AF18">
        <f t="shared" si="0"/>
        <v>43</v>
      </c>
    </row>
    <row r="19" spans="1:32" x14ac:dyDescent="0.25">
      <c r="A19" t="s">
        <v>2785</v>
      </c>
      <c r="B19">
        <v>1926</v>
      </c>
      <c r="C19" t="s">
        <v>2786</v>
      </c>
      <c r="D19" t="s">
        <v>2787</v>
      </c>
      <c r="F19" t="s">
        <v>2786</v>
      </c>
      <c r="L19" t="s">
        <v>1327</v>
      </c>
      <c r="AF19">
        <f t="shared" si="0"/>
        <v>43</v>
      </c>
    </row>
    <row r="20" spans="1:32" x14ac:dyDescent="0.25">
      <c r="A20" t="s">
        <v>2788</v>
      </c>
      <c r="B20">
        <v>1926</v>
      </c>
      <c r="C20" t="s">
        <v>2789</v>
      </c>
      <c r="D20" t="s">
        <v>2787</v>
      </c>
      <c r="L20" t="s">
        <v>2790</v>
      </c>
      <c r="M20" t="s">
        <v>2791</v>
      </c>
      <c r="N20" t="s">
        <v>2792</v>
      </c>
      <c r="P20" t="s">
        <v>2793</v>
      </c>
      <c r="AA20" t="s">
        <v>28</v>
      </c>
      <c r="AC20" t="s">
        <v>28</v>
      </c>
      <c r="AF20">
        <f t="shared" si="0"/>
        <v>57</v>
      </c>
    </row>
    <row r="21" spans="1:32" x14ac:dyDescent="0.25">
      <c r="A21" t="s">
        <v>2794</v>
      </c>
      <c r="B21">
        <v>1926</v>
      </c>
      <c r="C21" t="s">
        <v>2795</v>
      </c>
      <c r="D21" t="s">
        <v>2796</v>
      </c>
      <c r="L21" t="s">
        <v>2790</v>
      </c>
      <c r="AF21">
        <f t="shared" si="0"/>
        <v>34</v>
      </c>
    </row>
    <row r="22" spans="1:32" x14ac:dyDescent="0.25">
      <c r="A22" t="s">
        <v>2797</v>
      </c>
      <c r="B22">
        <v>1926</v>
      </c>
      <c r="C22" t="s">
        <v>2798</v>
      </c>
      <c r="D22" t="s">
        <v>2796</v>
      </c>
      <c r="L22" t="s">
        <v>2790</v>
      </c>
      <c r="M22" t="s">
        <v>2799</v>
      </c>
      <c r="N22" t="s">
        <v>68</v>
      </c>
      <c r="O22" t="s">
        <v>1631</v>
      </c>
      <c r="P22" t="s">
        <v>880</v>
      </c>
      <c r="AA22" t="s">
        <v>28</v>
      </c>
      <c r="AC22" t="s">
        <v>28</v>
      </c>
      <c r="AF22">
        <f t="shared" si="0"/>
        <v>54</v>
      </c>
    </row>
    <row r="23" spans="1:32" x14ac:dyDescent="0.25">
      <c r="A23" t="s">
        <v>2800</v>
      </c>
      <c r="B23">
        <v>1926</v>
      </c>
      <c r="C23" t="s">
        <v>2801</v>
      </c>
      <c r="D23" t="s">
        <v>2802</v>
      </c>
      <c r="L23" t="s">
        <v>1327</v>
      </c>
      <c r="AF23">
        <f t="shared" si="0"/>
        <v>36</v>
      </c>
    </row>
    <row r="24" spans="1:32" x14ac:dyDescent="0.25">
      <c r="A24" t="s">
        <v>2803</v>
      </c>
      <c r="B24">
        <v>1926</v>
      </c>
      <c r="C24" t="s">
        <v>2804</v>
      </c>
      <c r="D24" t="s">
        <v>2805</v>
      </c>
      <c r="J24" t="s">
        <v>2806</v>
      </c>
      <c r="L24" t="s">
        <v>1327</v>
      </c>
      <c r="AF24">
        <f t="shared" si="0"/>
        <v>43</v>
      </c>
    </row>
    <row r="25" spans="1:32" x14ac:dyDescent="0.25">
      <c r="A25" t="s">
        <v>2807</v>
      </c>
      <c r="B25">
        <v>1926</v>
      </c>
      <c r="C25" t="s">
        <v>2808</v>
      </c>
      <c r="D25" t="s">
        <v>2805</v>
      </c>
      <c r="I25" t="s">
        <v>2809</v>
      </c>
      <c r="L25" t="s">
        <v>1327</v>
      </c>
      <c r="AF25">
        <f t="shared" si="0"/>
        <v>46</v>
      </c>
    </row>
    <row r="26" spans="1:32" x14ac:dyDescent="0.25">
      <c r="A26" t="s">
        <v>2810</v>
      </c>
      <c r="B26">
        <v>1926</v>
      </c>
      <c r="C26" t="s">
        <v>2811</v>
      </c>
      <c r="D26" t="s">
        <v>2805</v>
      </c>
      <c r="L26" t="s">
        <v>2812</v>
      </c>
      <c r="M26" t="s">
        <v>2813</v>
      </c>
      <c r="N26" t="s">
        <v>2814</v>
      </c>
      <c r="P26" t="s">
        <v>2815</v>
      </c>
      <c r="AA26" t="s">
        <v>28</v>
      </c>
      <c r="AF26">
        <f t="shared" si="0"/>
        <v>62</v>
      </c>
    </row>
    <row r="27" spans="1:32" x14ac:dyDescent="0.25">
      <c r="A27" t="s">
        <v>2816</v>
      </c>
      <c r="B27">
        <v>1926</v>
      </c>
      <c r="C27" t="s">
        <v>2817</v>
      </c>
      <c r="D27" t="s">
        <v>2818</v>
      </c>
      <c r="G27" t="s">
        <v>2817</v>
      </c>
      <c r="L27" t="s">
        <v>1327</v>
      </c>
      <c r="AF27">
        <f t="shared" si="0"/>
        <v>71</v>
      </c>
    </row>
    <row r="28" spans="1:32" x14ac:dyDescent="0.25">
      <c r="A28" t="s">
        <v>2819</v>
      </c>
      <c r="B28">
        <v>1926</v>
      </c>
      <c r="C28" t="s">
        <v>2820</v>
      </c>
      <c r="D28" t="s">
        <v>2821</v>
      </c>
      <c r="L28" t="s">
        <v>2822</v>
      </c>
      <c r="Y28" t="s">
        <v>28</v>
      </c>
      <c r="AF28">
        <f t="shared" si="0"/>
        <v>50</v>
      </c>
    </row>
    <row r="29" spans="1:32" x14ac:dyDescent="0.25">
      <c r="A29" t="s">
        <v>2823</v>
      </c>
      <c r="B29">
        <v>1926</v>
      </c>
      <c r="C29" t="s">
        <v>2824</v>
      </c>
      <c r="D29" t="s">
        <v>2821</v>
      </c>
      <c r="F29" t="s">
        <v>2824</v>
      </c>
      <c r="L29" t="s">
        <v>1327</v>
      </c>
      <c r="AF29">
        <f t="shared" si="0"/>
        <v>53</v>
      </c>
    </row>
    <row r="30" spans="1:32" x14ac:dyDescent="0.25">
      <c r="A30" t="s">
        <v>2823</v>
      </c>
      <c r="B30">
        <v>1926</v>
      </c>
      <c r="C30" t="s">
        <v>2825</v>
      </c>
      <c r="D30" t="s">
        <v>2821</v>
      </c>
      <c r="G30" t="s">
        <v>2825</v>
      </c>
      <c r="L30" t="s">
        <v>1327</v>
      </c>
      <c r="T30" t="s">
        <v>28</v>
      </c>
      <c r="U30" t="s">
        <v>28</v>
      </c>
      <c r="AF30">
        <f t="shared" si="0"/>
        <v>87</v>
      </c>
    </row>
    <row r="31" spans="1:32" x14ac:dyDescent="0.25">
      <c r="A31" t="s">
        <v>2826</v>
      </c>
      <c r="B31">
        <v>1926</v>
      </c>
      <c r="C31" t="s">
        <v>2827</v>
      </c>
      <c r="D31" t="s">
        <v>2821</v>
      </c>
      <c r="L31" t="s">
        <v>2812</v>
      </c>
      <c r="M31" t="s">
        <v>2828</v>
      </c>
      <c r="N31" t="s">
        <v>383</v>
      </c>
      <c r="P31" t="s">
        <v>2829</v>
      </c>
      <c r="AA31" t="s">
        <v>28</v>
      </c>
      <c r="AC31" t="s">
        <v>28</v>
      </c>
      <c r="AF31">
        <f t="shared" si="0"/>
        <v>64</v>
      </c>
    </row>
    <row r="32" spans="1:32" x14ac:dyDescent="0.25">
      <c r="A32" t="s">
        <v>2830</v>
      </c>
      <c r="B32">
        <v>1926</v>
      </c>
      <c r="C32" t="s">
        <v>2831</v>
      </c>
      <c r="D32" t="s">
        <v>2832</v>
      </c>
      <c r="L32" t="s">
        <v>2790</v>
      </c>
      <c r="M32" t="s">
        <v>2833</v>
      </c>
      <c r="N32" t="s">
        <v>2117</v>
      </c>
      <c r="P32" t="s">
        <v>880</v>
      </c>
      <c r="AA32" t="s">
        <v>28</v>
      </c>
      <c r="AF32">
        <f t="shared" si="0"/>
        <v>64</v>
      </c>
    </row>
    <row r="33" spans="1:32" x14ac:dyDescent="0.25">
      <c r="A33" t="s">
        <v>2834</v>
      </c>
      <c r="B33">
        <v>1926</v>
      </c>
      <c r="C33" t="s">
        <v>2835</v>
      </c>
      <c r="D33" t="s">
        <v>2836</v>
      </c>
      <c r="L33" t="s">
        <v>2790</v>
      </c>
      <c r="M33" t="s">
        <v>2837</v>
      </c>
      <c r="N33" t="s">
        <v>960</v>
      </c>
      <c r="P33" t="s">
        <v>880</v>
      </c>
      <c r="AC33" t="s">
        <v>28</v>
      </c>
      <c r="AF33">
        <f t="shared" si="0"/>
        <v>65</v>
      </c>
    </row>
    <row r="34" spans="1:32" x14ac:dyDescent="0.25">
      <c r="A34" t="s">
        <v>2838</v>
      </c>
      <c r="B34">
        <v>1926</v>
      </c>
      <c r="C34" t="s">
        <v>2839</v>
      </c>
      <c r="D34" t="s">
        <v>2840</v>
      </c>
      <c r="G34" t="s">
        <v>2839</v>
      </c>
      <c r="L34" t="s">
        <v>1327</v>
      </c>
      <c r="AF34">
        <f t="shared" si="0"/>
        <v>93</v>
      </c>
    </row>
    <row r="35" spans="1:32" x14ac:dyDescent="0.25">
      <c r="A35" t="s">
        <v>2838</v>
      </c>
      <c r="B35">
        <v>1926</v>
      </c>
      <c r="C35" t="s">
        <v>2841</v>
      </c>
      <c r="D35" t="s">
        <v>2840</v>
      </c>
      <c r="F35" t="s">
        <v>2841</v>
      </c>
      <c r="L35" t="s">
        <v>1327</v>
      </c>
      <c r="AF35">
        <f t="shared" si="0"/>
        <v>68</v>
      </c>
    </row>
    <row r="36" spans="1:32" x14ac:dyDescent="0.25">
      <c r="A36" t="s">
        <v>2838</v>
      </c>
      <c r="B36">
        <v>1926</v>
      </c>
      <c r="C36" t="s">
        <v>2839</v>
      </c>
      <c r="D36" t="s">
        <v>2840</v>
      </c>
      <c r="G36" t="s">
        <v>2839</v>
      </c>
      <c r="L36" t="s">
        <v>1327</v>
      </c>
      <c r="AF36">
        <f t="shared" si="0"/>
        <v>93</v>
      </c>
    </row>
    <row r="37" spans="1:32" x14ac:dyDescent="0.25">
      <c r="A37" t="s">
        <v>2842</v>
      </c>
      <c r="B37">
        <v>1926</v>
      </c>
      <c r="C37" t="s">
        <v>2843</v>
      </c>
      <c r="D37" t="s">
        <v>2844</v>
      </c>
      <c r="F37" t="s">
        <v>2843</v>
      </c>
      <c r="L37" t="s">
        <v>1327</v>
      </c>
      <c r="AF37">
        <f t="shared" si="0"/>
        <v>38</v>
      </c>
    </row>
    <row r="38" spans="1:32" x14ac:dyDescent="0.25">
      <c r="A38" t="s">
        <v>2845</v>
      </c>
      <c r="B38">
        <v>1926</v>
      </c>
      <c r="C38" t="s">
        <v>2846</v>
      </c>
      <c r="D38" t="s">
        <v>2844</v>
      </c>
      <c r="I38" t="s">
        <v>2847</v>
      </c>
      <c r="L38" t="s">
        <v>1327</v>
      </c>
      <c r="AF38">
        <f t="shared" si="0"/>
        <v>41</v>
      </c>
    </row>
    <row r="39" spans="1:32" x14ac:dyDescent="0.25">
      <c r="A39" t="s">
        <v>2848</v>
      </c>
      <c r="B39">
        <v>1926</v>
      </c>
      <c r="C39" t="s">
        <v>2849</v>
      </c>
      <c r="D39" t="s">
        <v>2844</v>
      </c>
      <c r="L39" t="s">
        <v>2850</v>
      </c>
      <c r="M39" t="s">
        <v>2851</v>
      </c>
      <c r="N39" t="s">
        <v>2852</v>
      </c>
      <c r="P39" t="s">
        <v>2853</v>
      </c>
      <c r="AA39" t="s">
        <v>28</v>
      </c>
      <c r="AC39" t="s">
        <v>28</v>
      </c>
      <c r="AF39">
        <f t="shared" si="0"/>
        <v>51</v>
      </c>
    </row>
    <row r="40" spans="1:32" x14ac:dyDescent="0.25">
      <c r="A40" t="s">
        <v>2854</v>
      </c>
      <c r="B40">
        <v>1926</v>
      </c>
      <c r="C40" t="s">
        <v>2855</v>
      </c>
      <c r="D40" t="s">
        <v>2856</v>
      </c>
      <c r="L40" t="s">
        <v>2857</v>
      </c>
      <c r="Y40" t="s">
        <v>28</v>
      </c>
      <c r="AF40">
        <f t="shared" si="0"/>
        <v>32</v>
      </c>
    </row>
    <row r="41" spans="1:32" x14ac:dyDescent="0.25">
      <c r="A41" t="s">
        <v>2858</v>
      </c>
      <c r="B41">
        <v>1926</v>
      </c>
      <c r="C41" t="s">
        <v>2859</v>
      </c>
      <c r="D41" t="s">
        <v>2856</v>
      </c>
      <c r="L41" t="s">
        <v>2860</v>
      </c>
      <c r="M41" t="s">
        <v>2861</v>
      </c>
      <c r="N41" t="s">
        <v>1265</v>
      </c>
      <c r="P41" t="s">
        <v>2862</v>
      </c>
      <c r="AC41" t="s">
        <v>28</v>
      </c>
      <c r="AF41">
        <f t="shared" si="0"/>
        <v>42</v>
      </c>
    </row>
    <row r="42" spans="1:32" x14ac:dyDescent="0.25">
      <c r="A42" t="s">
        <v>2863</v>
      </c>
      <c r="B42">
        <v>1926</v>
      </c>
      <c r="C42" t="s">
        <v>2864</v>
      </c>
      <c r="D42" t="s">
        <v>2856</v>
      </c>
      <c r="L42" t="s">
        <v>2860</v>
      </c>
      <c r="M42" t="s">
        <v>2865</v>
      </c>
      <c r="N42" t="s">
        <v>2866</v>
      </c>
      <c r="P42" t="s">
        <v>2867</v>
      </c>
      <c r="AA42" t="s">
        <v>28</v>
      </c>
      <c r="AC42" t="s">
        <v>28</v>
      </c>
      <c r="AF42">
        <f t="shared" si="0"/>
        <v>54</v>
      </c>
    </row>
    <row r="43" spans="1:32" x14ac:dyDescent="0.25">
      <c r="A43" t="s">
        <v>2868</v>
      </c>
      <c r="B43">
        <v>1926</v>
      </c>
      <c r="C43" t="s">
        <v>2869</v>
      </c>
      <c r="D43" t="s">
        <v>2856</v>
      </c>
      <c r="L43" t="s">
        <v>2790</v>
      </c>
      <c r="AA43" t="s">
        <v>28</v>
      </c>
      <c r="AB43" t="s">
        <v>28</v>
      </c>
      <c r="AC43" t="s">
        <v>28</v>
      </c>
      <c r="AD43" t="s">
        <v>28</v>
      </c>
      <c r="AF43">
        <f t="shared" si="0"/>
        <v>34</v>
      </c>
    </row>
    <row r="44" spans="1:32" x14ac:dyDescent="0.25">
      <c r="A44" t="s">
        <v>2870</v>
      </c>
      <c r="B44">
        <v>1926</v>
      </c>
      <c r="C44" t="s">
        <v>2871</v>
      </c>
      <c r="D44" t="s">
        <v>2872</v>
      </c>
      <c r="L44" t="s">
        <v>2790</v>
      </c>
      <c r="AF44">
        <f t="shared" si="0"/>
        <v>35</v>
      </c>
    </row>
    <row r="45" spans="1:32" x14ac:dyDescent="0.25">
      <c r="A45" t="s">
        <v>2873</v>
      </c>
      <c r="B45">
        <v>1926</v>
      </c>
      <c r="C45" t="s">
        <v>2874</v>
      </c>
      <c r="D45" t="s">
        <v>2875</v>
      </c>
      <c r="L45" t="s">
        <v>2876</v>
      </c>
      <c r="AF45">
        <f t="shared" si="0"/>
        <v>40</v>
      </c>
    </row>
    <row r="46" spans="1:32" x14ac:dyDescent="0.25">
      <c r="A46" t="s">
        <v>2877</v>
      </c>
      <c r="B46">
        <v>1926</v>
      </c>
      <c r="C46" t="s">
        <v>2878</v>
      </c>
      <c r="D46" t="s">
        <v>2879</v>
      </c>
      <c r="I46" t="s">
        <v>2880</v>
      </c>
      <c r="L46" t="s">
        <v>1327</v>
      </c>
      <c r="AF46">
        <f t="shared" si="0"/>
        <v>60</v>
      </c>
    </row>
    <row r="47" spans="1:32" x14ac:dyDescent="0.25">
      <c r="A47" t="s">
        <v>2881</v>
      </c>
      <c r="B47">
        <v>1926</v>
      </c>
      <c r="C47" t="s">
        <v>2882</v>
      </c>
      <c r="D47" t="s">
        <v>2883</v>
      </c>
      <c r="K47" t="s">
        <v>2882</v>
      </c>
      <c r="L47" t="s">
        <v>1327</v>
      </c>
      <c r="AF47">
        <f t="shared" si="0"/>
        <v>61</v>
      </c>
    </row>
    <row r="48" spans="1:32" x14ac:dyDescent="0.25">
      <c r="A48" t="s">
        <v>2884</v>
      </c>
      <c r="B48">
        <v>1926</v>
      </c>
      <c r="C48" t="s">
        <v>2885</v>
      </c>
      <c r="D48" t="s">
        <v>2883</v>
      </c>
      <c r="L48" t="s">
        <v>2886</v>
      </c>
      <c r="AF48">
        <f t="shared" si="0"/>
        <v>34</v>
      </c>
    </row>
    <row r="49" spans="1:32" x14ac:dyDescent="0.25">
      <c r="A49" t="s">
        <v>2887</v>
      </c>
      <c r="B49">
        <v>1926</v>
      </c>
      <c r="C49" t="s">
        <v>2888</v>
      </c>
      <c r="D49" t="s">
        <v>2883</v>
      </c>
      <c r="L49" t="s">
        <v>2889</v>
      </c>
      <c r="Y49" t="s">
        <v>28</v>
      </c>
      <c r="AF49">
        <f t="shared" si="0"/>
        <v>37</v>
      </c>
    </row>
    <row r="50" spans="1:32" x14ac:dyDescent="0.25">
      <c r="A50" t="s">
        <v>2890</v>
      </c>
      <c r="B50">
        <v>1926</v>
      </c>
      <c r="C50" t="s">
        <v>2891</v>
      </c>
      <c r="D50" t="s">
        <v>2883</v>
      </c>
      <c r="F50" t="s">
        <v>2891</v>
      </c>
      <c r="L50" t="s">
        <v>1327</v>
      </c>
      <c r="AF50">
        <f t="shared" si="0"/>
        <v>40</v>
      </c>
    </row>
    <row r="51" spans="1:32" x14ac:dyDescent="0.25">
      <c r="A51" t="s">
        <v>2892</v>
      </c>
      <c r="B51">
        <v>1926</v>
      </c>
      <c r="C51" t="s">
        <v>2893</v>
      </c>
      <c r="D51" t="s">
        <v>2894</v>
      </c>
      <c r="L51" t="s">
        <v>2895</v>
      </c>
      <c r="M51" t="s">
        <v>2896</v>
      </c>
      <c r="N51" t="s">
        <v>2897</v>
      </c>
      <c r="O51" t="s">
        <v>2898</v>
      </c>
      <c r="P51" t="s">
        <v>2899</v>
      </c>
      <c r="AC51" t="s">
        <v>28</v>
      </c>
      <c r="AF51">
        <f t="shared" si="0"/>
        <v>68</v>
      </c>
    </row>
    <row r="52" spans="1:32" x14ac:dyDescent="0.25">
      <c r="A52" t="s">
        <v>2900</v>
      </c>
      <c r="B52">
        <v>1926</v>
      </c>
      <c r="C52" t="s">
        <v>2901</v>
      </c>
      <c r="D52" t="s">
        <v>2894</v>
      </c>
      <c r="L52" t="s">
        <v>2895</v>
      </c>
      <c r="M52" t="s">
        <v>2902</v>
      </c>
      <c r="N52" t="s">
        <v>1265</v>
      </c>
      <c r="O52" t="s">
        <v>879</v>
      </c>
      <c r="P52" t="s">
        <v>2903</v>
      </c>
      <c r="AA52" t="s">
        <v>28</v>
      </c>
      <c r="AC52" t="s">
        <v>28</v>
      </c>
      <c r="AF52">
        <f t="shared" si="0"/>
        <v>60</v>
      </c>
    </row>
    <row r="53" spans="1:32" x14ac:dyDescent="0.25">
      <c r="A53" t="s">
        <v>2904</v>
      </c>
      <c r="B53">
        <v>1926</v>
      </c>
      <c r="C53" t="s">
        <v>2905</v>
      </c>
      <c r="D53" t="s">
        <v>2894</v>
      </c>
      <c r="L53" t="s">
        <v>1327</v>
      </c>
      <c r="M53" t="s">
        <v>2906</v>
      </c>
      <c r="N53" t="s">
        <v>2213</v>
      </c>
      <c r="P53" t="s">
        <v>2907</v>
      </c>
      <c r="AA53" t="s">
        <v>28</v>
      </c>
      <c r="AF53">
        <f t="shared" si="0"/>
        <v>73</v>
      </c>
    </row>
    <row r="54" spans="1:32" x14ac:dyDescent="0.25">
      <c r="A54" t="s">
        <v>2908</v>
      </c>
      <c r="B54">
        <v>1926</v>
      </c>
      <c r="C54" t="s">
        <v>2909</v>
      </c>
      <c r="D54" t="s">
        <v>2910</v>
      </c>
      <c r="L54" t="s">
        <v>1327</v>
      </c>
      <c r="R54" t="s">
        <v>28</v>
      </c>
      <c r="AF54">
        <f t="shared" si="0"/>
        <v>27</v>
      </c>
    </row>
    <row r="55" spans="1:32" x14ac:dyDescent="0.25">
      <c r="A55" t="s">
        <v>2911</v>
      </c>
      <c r="B55">
        <v>1926</v>
      </c>
      <c r="C55" t="s">
        <v>2912</v>
      </c>
      <c r="D55" t="s">
        <v>2910</v>
      </c>
      <c r="G55" t="s">
        <v>2912</v>
      </c>
      <c r="L55" t="s">
        <v>1327</v>
      </c>
      <c r="AF55">
        <f t="shared" si="0"/>
        <v>110</v>
      </c>
    </row>
    <row r="56" spans="1:32" x14ac:dyDescent="0.25">
      <c r="A56" t="s">
        <v>2913</v>
      </c>
      <c r="B56">
        <v>1926</v>
      </c>
      <c r="C56" t="s">
        <v>2914</v>
      </c>
      <c r="D56" t="s">
        <v>2915</v>
      </c>
      <c r="L56" t="s">
        <v>2916</v>
      </c>
      <c r="AF56">
        <f t="shared" si="0"/>
        <v>38</v>
      </c>
    </row>
    <row r="57" spans="1:32" x14ac:dyDescent="0.25">
      <c r="A57" t="s">
        <v>2917</v>
      </c>
      <c r="B57">
        <v>1926</v>
      </c>
      <c r="C57" t="s">
        <v>2918</v>
      </c>
      <c r="D57" t="s">
        <v>2919</v>
      </c>
      <c r="L57" t="s">
        <v>2920</v>
      </c>
      <c r="AF57">
        <f t="shared" si="0"/>
        <v>47</v>
      </c>
    </row>
    <row r="58" spans="1:32" x14ac:dyDescent="0.25">
      <c r="A58" t="s">
        <v>2921</v>
      </c>
      <c r="B58">
        <v>1926</v>
      </c>
      <c r="C58" t="s">
        <v>2922</v>
      </c>
      <c r="D58" t="s">
        <v>2923</v>
      </c>
      <c r="L58" t="s">
        <v>1327</v>
      </c>
      <c r="AA58" t="s">
        <v>28</v>
      </c>
      <c r="AB58" t="s">
        <v>28</v>
      </c>
      <c r="AC58" t="s">
        <v>28</v>
      </c>
      <c r="AD58" t="s">
        <v>28</v>
      </c>
      <c r="AF58">
        <f t="shared" si="0"/>
        <v>32</v>
      </c>
    </row>
    <row r="59" spans="1:32" x14ac:dyDescent="0.25">
      <c r="A59" t="s">
        <v>2924</v>
      </c>
      <c r="B59">
        <v>1926</v>
      </c>
      <c r="C59" t="s">
        <v>2925</v>
      </c>
      <c r="D59" t="s">
        <v>2923</v>
      </c>
      <c r="L59" t="s">
        <v>2926</v>
      </c>
      <c r="AA59" t="s">
        <v>28</v>
      </c>
      <c r="AB59" t="s">
        <v>28</v>
      </c>
      <c r="AD59" t="s">
        <v>28</v>
      </c>
      <c r="AF59">
        <f t="shared" si="0"/>
        <v>36</v>
      </c>
    </row>
    <row r="60" spans="1:32" x14ac:dyDescent="0.25">
      <c r="A60" t="s">
        <v>2927</v>
      </c>
      <c r="B60">
        <v>1926</v>
      </c>
      <c r="C60" t="s">
        <v>2928</v>
      </c>
      <c r="D60" t="s">
        <v>2929</v>
      </c>
      <c r="L60" t="s">
        <v>2930</v>
      </c>
      <c r="AF60">
        <f t="shared" si="0"/>
        <v>34</v>
      </c>
    </row>
    <row r="61" spans="1:32" x14ac:dyDescent="0.25">
      <c r="A61" t="s">
        <v>2931</v>
      </c>
      <c r="B61">
        <v>1926</v>
      </c>
      <c r="C61" t="s">
        <v>2932</v>
      </c>
      <c r="D61" t="s">
        <v>2933</v>
      </c>
      <c r="L61" t="s">
        <v>2934</v>
      </c>
      <c r="Y61" t="s">
        <v>28</v>
      </c>
      <c r="AF61">
        <f t="shared" si="0"/>
        <v>52</v>
      </c>
    </row>
    <row r="62" spans="1:32" x14ac:dyDescent="0.25">
      <c r="A62" t="s">
        <v>2935</v>
      </c>
      <c r="B62">
        <v>1926</v>
      </c>
      <c r="C62" t="s">
        <v>2936</v>
      </c>
      <c r="D62" t="s">
        <v>2933</v>
      </c>
      <c r="L62" t="s">
        <v>2937</v>
      </c>
      <c r="Y62" t="s">
        <v>28</v>
      </c>
      <c r="AF62">
        <f t="shared" si="0"/>
        <v>58</v>
      </c>
    </row>
    <row r="63" spans="1:32" x14ac:dyDescent="0.25">
      <c r="A63" t="s">
        <v>2938</v>
      </c>
      <c r="B63">
        <v>1926</v>
      </c>
      <c r="C63" t="s">
        <v>2939</v>
      </c>
      <c r="D63" t="s">
        <v>2940</v>
      </c>
      <c r="L63" t="s">
        <v>2941</v>
      </c>
      <c r="M63" t="s">
        <v>2942</v>
      </c>
      <c r="N63" t="s">
        <v>2943</v>
      </c>
      <c r="P63" t="s">
        <v>2944</v>
      </c>
      <c r="AA63" t="s">
        <v>28</v>
      </c>
      <c r="AF63">
        <f t="shared" si="0"/>
        <v>89</v>
      </c>
    </row>
    <row r="64" spans="1:32" x14ac:dyDescent="0.25">
      <c r="A64" t="s">
        <v>2945</v>
      </c>
      <c r="B64">
        <v>1926</v>
      </c>
      <c r="C64" t="s">
        <v>2946</v>
      </c>
      <c r="D64" t="s">
        <v>2940</v>
      </c>
      <c r="L64" t="s">
        <v>2941</v>
      </c>
      <c r="M64" t="s">
        <v>2947</v>
      </c>
      <c r="N64" t="s">
        <v>2948</v>
      </c>
      <c r="P64" t="s">
        <v>2862</v>
      </c>
      <c r="AA64" t="s">
        <v>28</v>
      </c>
      <c r="AB64" t="s">
        <v>68</v>
      </c>
      <c r="AE64">
        <v>3</v>
      </c>
      <c r="AF64">
        <f t="shared" si="0"/>
        <v>81</v>
      </c>
    </row>
    <row r="65" spans="1:32" x14ac:dyDescent="0.25">
      <c r="A65" t="s">
        <v>2949</v>
      </c>
      <c r="B65">
        <v>1926</v>
      </c>
      <c r="C65" t="s">
        <v>2950</v>
      </c>
      <c r="D65" t="s">
        <v>2940</v>
      </c>
      <c r="L65" t="s">
        <v>2941</v>
      </c>
      <c r="M65" t="s">
        <v>2947</v>
      </c>
      <c r="N65" t="s">
        <v>2951</v>
      </c>
      <c r="P65" t="s">
        <v>2952</v>
      </c>
      <c r="AA65" t="s">
        <v>28</v>
      </c>
      <c r="AF65">
        <f t="shared" si="0"/>
        <v>80</v>
      </c>
    </row>
    <row r="66" spans="1:32" x14ac:dyDescent="0.25">
      <c r="A66" t="s">
        <v>2953</v>
      </c>
      <c r="B66">
        <v>1926</v>
      </c>
      <c r="C66" t="s">
        <v>2954</v>
      </c>
      <c r="D66" t="s">
        <v>2940</v>
      </c>
      <c r="L66" t="s">
        <v>2955</v>
      </c>
      <c r="M66" t="s">
        <v>2956</v>
      </c>
      <c r="N66" t="s">
        <v>2957</v>
      </c>
      <c r="P66" t="s">
        <v>2958</v>
      </c>
      <c r="AA66" t="s">
        <v>28</v>
      </c>
      <c r="AC66" t="s">
        <v>28</v>
      </c>
      <c r="AF66">
        <f t="shared" si="0"/>
        <v>86</v>
      </c>
    </row>
    <row r="67" spans="1:32" x14ac:dyDescent="0.25">
      <c r="A67" t="s">
        <v>2959</v>
      </c>
      <c r="B67">
        <v>1926</v>
      </c>
      <c r="C67" t="s">
        <v>2960</v>
      </c>
      <c r="D67" t="s">
        <v>2961</v>
      </c>
      <c r="L67" t="s">
        <v>2962</v>
      </c>
      <c r="AF67">
        <f t="shared" ref="AF67:AF130" si="1">LEN(D67)+LEN(E67)+LEN(F67)+LEN(G67)+LEN(H67)+LEN(I67)+LEN(J67)+LEN(K67)+LEN(L67)+LEN(M67)+LEN(N67)+LEN(O67)+LEN(P67)</f>
        <v>53</v>
      </c>
    </row>
    <row r="68" spans="1:32" x14ac:dyDescent="0.25">
      <c r="A68" t="s">
        <v>2963</v>
      </c>
      <c r="B68">
        <v>1926</v>
      </c>
      <c r="C68" t="s">
        <v>2964</v>
      </c>
      <c r="D68" t="s">
        <v>2961</v>
      </c>
      <c r="L68" t="s">
        <v>2965</v>
      </c>
      <c r="AA68" t="s">
        <v>28</v>
      </c>
      <c r="AB68" t="s">
        <v>28</v>
      </c>
      <c r="AC68" t="s">
        <v>28</v>
      </c>
      <c r="AD68" t="s">
        <v>28</v>
      </c>
      <c r="AF68">
        <f t="shared" si="1"/>
        <v>47</v>
      </c>
    </row>
    <row r="69" spans="1:32" x14ac:dyDescent="0.25">
      <c r="A69" t="s">
        <v>2963</v>
      </c>
      <c r="B69">
        <v>1926</v>
      </c>
      <c r="C69" t="s">
        <v>2964</v>
      </c>
      <c r="D69" t="s">
        <v>2961</v>
      </c>
      <c r="L69" t="s">
        <v>2965</v>
      </c>
      <c r="AA69" t="s">
        <v>28</v>
      </c>
      <c r="AB69" t="s">
        <v>28</v>
      </c>
      <c r="AC69" t="s">
        <v>28</v>
      </c>
      <c r="AD69" t="s">
        <v>28</v>
      </c>
      <c r="AF69">
        <f t="shared" si="1"/>
        <v>47</v>
      </c>
    </row>
    <row r="70" spans="1:32" x14ac:dyDescent="0.25">
      <c r="A70" t="s">
        <v>2966</v>
      </c>
      <c r="B70">
        <v>1926</v>
      </c>
      <c r="C70" t="s">
        <v>2967</v>
      </c>
      <c r="D70" t="s">
        <v>2968</v>
      </c>
      <c r="L70" t="s">
        <v>2969</v>
      </c>
      <c r="Y70" t="s">
        <v>28</v>
      </c>
      <c r="AF70">
        <f t="shared" si="1"/>
        <v>39</v>
      </c>
    </row>
    <row r="71" spans="1:32" x14ac:dyDescent="0.25">
      <c r="A71" t="s">
        <v>2970</v>
      </c>
      <c r="B71">
        <v>1926</v>
      </c>
      <c r="C71" t="s">
        <v>2971</v>
      </c>
      <c r="D71" t="s">
        <v>2972</v>
      </c>
      <c r="G71" t="s">
        <v>2971</v>
      </c>
      <c r="L71" t="s">
        <v>2973</v>
      </c>
      <c r="Q71" t="s">
        <v>68</v>
      </c>
      <c r="AE71">
        <v>15</v>
      </c>
      <c r="AF71">
        <f t="shared" si="1"/>
        <v>286</v>
      </c>
    </row>
    <row r="72" spans="1:32" x14ac:dyDescent="0.25">
      <c r="A72" t="s">
        <v>2974</v>
      </c>
      <c r="B72">
        <v>1926</v>
      </c>
      <c r="C72" t="s">
        <v>2975</v>
      </c>
      <c r="D72" t="s">
        <v>2976</v>
      </c>
      <c r="F72" t="s">
        <v>2975</v>
      </c>
      <c r="L72" t="s">
        <v>2973</v>
      </c>
      <c r="AF72">
        <f t="shared" si="1"/>
        <v>57</v>
      </c>
    </row>
    <row r="73" spans="1:32" x14ac:dyDescent="0.25">
      <c r="A73" t="s">
        <v>2977</v>
      </c>
      <c r="B73">
        <v>1926</v>
      </c>
      <c r="C73" t="s">
        <v>2978</v>
      </c>
      <c r="D73" t="s">
        <v>2976</v>
      </c>
      <c r="L73" t="s">
        <v>2955</v>
      </c>
      <c r="M73" t="s">
        <v>2979</v>
      </c>
      <c r="N73" t="s">
        <v>2980</v>
      </c>
      <c r="P73" t="s">
        <v>2981</v>
      </c>
      <c r="AA73" t="s">
        <v>28</v>
      </c>
      <c r="AF73">
        <f t="shared" si="1"/>
        <v>75</v>
      </c>
    </row>
    <row r="74" spans="1:32" x14ac:dyDescent="0.25">
      <c r="A74" t="s">
        <v>2977</v>
      </c>
      <c r="B74">
        <v>1926</v>
      </c>
      <c r="C74" t="s">
        <v>2978</v>
      </c>
      <c r="D74" t="s">
        <v>2976</v>
      </c>
      <c r="L74" t="s">
        <v>2955</v>
      </c>
      <c r="M74" t="s">
        <v>2979</v>
      </c>
      <c r="N74" t="s">
        <v>2980</v>
      </c>
      <c r="P74" t="s">
        <v>2981</v>
      </c>
      <c r="AA74" t="s">
        <v>28</v>
      </c>
      <c r="AF74">
        <f t="shared" si="1"/>
        <v>75</v>
      </c>
    </row>
    <row r="75" spans="1:32" x14ac:dyDescent="0.25">
      <c r="A75" t="s">
        <v>2982</v>
      </c>
      <c r="B75">
        <v>1926</v>
      </c>
      <c r="C75" t="s">
        <v>2983</v>
      </c>
      <c r="D75" t="s">
        <v>2984</v>
      </c>
      <c r="L75" t="s">
        <v>2985</v>
      </c>
      <c r="Y75" t="s">
        <v>28</v>
      </c>
      <c r="AF75">
        <f t="shared" si="1"/>
        <v>35</v>
      </c>
    </row>
    <row r="76" spans="1:32" x14ac:dyDescent="0.25">
      <c r="A76" t="s">
        <v>2986</v>
      </c>
      <c r="B76">
        <v>1926</v>
      </c>
      <c r="C76" t="s">
        <v>2987</v>
      </c>
      <c r="D76" t="s">
        <v>2988</v>
      </c>
      <c r="L76" t="s">
        <v>2989</v>
      </c>
      <c r="AF76">
        <f t="shared" si="1"/>
        <v>43</v>
      </c>
    </row>
    <row r="77" spans="1:32" x14ac:dyDescent="0.25">
      <c r="A77" t="s">
        <v>2990</v>
      </c>
      <c r="B77">
        <v>1926</v>
      </c>
      <c r="C77" t="s">
        <v>2991</v>
      </c>
      <c r="D77" t="s">
        <v>2992</v>
      </c>
      <c r="L77" t="s">
        <v>2993</v>
      </c>
      <c r="AF77">
        <f t="shared" si="1"/>
        <v>47</v>
      </c>
    </row>
    <row r="78" spans="1:32" x14ac:dyDescent="0.25">
      <c r="A78" t="s">
        <v>2994</v>
      </c>
      <c r="B78">
        <v>1926</v>
      </c>
      <c r="C78" t="s">
        <v>2995</v>
      </c>
      <c r="D78" t="s">
        <v>2996</v>
      </c>
      <c r="L78" t="s">
        <v>2997</v>
      </c>
      <c r="AF78">
        <f t="shared" si="1"/>
        <v>53</v>
      </c>
    </row>
    <row r="79" spans="1:32" x14ac:dyDescent="0.25">
      <c r="A79" t="s">
        <v>2998</v>
      </c>
      <c r="B79">
        <v>1926</v>
      </c>
      <c r="C79" t="s">
        <v>2999</v>
      </c>
      <c r="D79" t="s">
        <v>2933</v>
      </c>
      <c r="L79" t="s">
        <v>2965</v>
      </c>
      <c r="M79" t="s">
        <v>525</v>
      </c>
      <c r="N79" t="s">
        <v>3000</v>
      </c>
      <c r="P79" t="s">
        <v>3001</v>
      </c>
      <c r="AF79">
        <f t="shared" si="1"/>
        <v>76</v>
      </c>
    </row>
    <row r="80" spans="1:32" x14ac:dyDescent="0.25">
      <c r="A80" t="s">
        <v>3002</v>
      </c>
      <c r="B80">
        <v>1926</v>
      </c>
      <c r="C80" t="s">
        <v>3003</v>
      </c>
      <c r="D80" t="s">
        <v>3004</v>
      </c>
      <c r="L80" t="s">
        <v>3005</v>
      </c>
      <c r="AF80">
        <f t="shared" si="1"/>
        <v>40</v>
      </c>
    </row>
    <row r="81" spans="1:32" x14ac:dyDescent="0.25">
      <c r="A81" t="s">
        <v>3006</v>
      </c>
      <c r="B81">
        <v>1926</v>
      </c>
      <c r="C81" t="s">
        <v>3007</v>
      </c>
      <c r="D81" t="s">
        <v>3008</v>
      </c>
      <c r="L81" t="s">
        <v>2973</v>
      </c>
      <c r="R81" t="s">
        <v>28</v>
      </c>
      <c r="AF81">
        <f t="shared" si="1"/>
        <v>35</v>
      </c>
    </row>
    <row r="82" spans="1:32" x14ac:dyDescent="0.25">
      <c r="A82" t="s">
        <v>3009</v>
      </c>
      <c r="B82">
        <v>1926</v>
      </c>
      <c r="C82" t="s">
        <v>3010</v>
      </c>
      <c r="D82" t="s">
        <v>3008</v>
      </c>
      <c r="L82" t="s">
        <v>3011</v>
      </c>
      <c r="M82" t="s">
        <v>3012</v>
      </c>
      <c r="N82" t="s">
        <v>1560</v>
      </c>
      <c r="P82" t="s">
        <v>2867</v>
      </c>
      <c r="AA82" t="s">
        <v>28</v>
      </c>
      <c r="AF82">
        <f t="shared" si="1"/>
        <v>66</v>
      </c>
    </row>
    <row r="83" spans="1:32" x14ac:dyDescent="0.25">
      <c r="A83" t="s">
        <v>3013</v>
      </c>
      <c r="B83">
        <v>1926</v>
      </c>
      <c r="C83" t="s">
        <v>3014</v>
      </c>
      <c r="D83" t="s">
        <v>3008</v>
      </c>
      <c r="L83" t="s">
        <v>2965</v>
      </c>
      <c r="M83" t="s">
        <v>3015</v>
      </c>
      <c r="N83" t="s">
        <v>878</v>
      </c>
      <c r="P83" t="s">
        <v>3016</v>
      </c>
      <c r="AA83" t="s">
        <v>28</v>
      </c>
      <c r="AC83" t="s">
        <v>28</v>
      </c>
      <c r="AF83">
        <f t="shared" si="1"/>
        <v>65</v>
      </c>
    </row>
    <row r="84" spans="1:32" x14ac:dyDescent="0.25">
      <c r="A84" t="s">
        <v>3013</v>
      </c>
      <c r="B84">
        <v>1926</v>
      </c>
      <c r="C84" t="s">
        <v>3014</v>
      </c>
      <c r="D84" t="s">
        <v>3008</v>
      </c>
      <c r="L84" t="s">
        <v>2965</v>
      </c>
      <c r="M84" t="s">
        <v>3015</v>
      </c>
      <c r="N84" t="s">
        <v>878</v>
      </c>
      <c r="P84" t="s">
        <v>3016</v>
      </c>
      <c r="AA84" t="s">
        <v>28</v>
      </c>
      <c r="AC84" t="s">
        <v>28</v>
      </c>
      <c r="AF84">
        <f t="shared" si="1"/>
        <v>65</v>
      </c>
    </row>
    <row r="85" spans="1:32" x14ac:dyDescent="0.25">
      <c r="A85" t="s">
        <v>3017</v>
      </c>
      <c r="B85">
        <v>1926</v>
      </c>
      <c r="C85" t="s">
        <v>3018</v>
      </c>
      <c r="D85" t="s">
        <v>3019</v>
      </c>
      <c r="L85" t="s">
        <v>3020</v>
      </c>
      <c r="M85" t="s">
        <v>3021</v>
      </c>
      <c r="N85" t="s">
        <v>878</v>
      </c>
      <c r="P85" t="s">
        <v>3016</v>
      </c>
      <c r="Q85" t="s">
        <v>28</v>
      </c>
      <c r="AA85" t="s">
        <v>28</v>
      </c>
      <c r="AC85" t="s">
        <v>28</v>
      </c>
      <c r="AF85">
        <f t="shared" si="1"/>
        <v>40</v>
      </c>
    </row>
    <row r="86" spans="1:32" x14ac:dyDescent="0.25">
      <c r="A86" t="s">
        <v>3022</v>
      </c>
      <c r="B86">
        <v>1926</v>
      </c>
      <c r="C86" t="s">
        <v>3023</v>
      </c>
      <c r="D86" t="s">
        <v>3024</v>
      </c>
      <c r="K86" t="s">
        <v>3023</v>
      </c>
      <c r="L86" t="s">
        <v>480</v>
      </c>
      <c r="AF86">
        <f t="shared" si="1"/>
        <v>72</v>
      </c>
    </row>
    <row r="87" spans="1:32" x14ac:dyDescent="0.25">
      <c r="A87" t="s">
        <v>3025</v>
      </c>
      <c r="B87">
        <v>1926</v>
      </c>
      <c r="C87" t="s">
        <v>3026</v>
      </c>
      <c r="D87" t="s">
        <v>3024</v>
      </c>
      <c r="L87" t="s">
        <v>3027</v>
      </c>
      <c r="AF87">
        <f t="shared" si="1"/>
        <v>63</v>
      </c>
    </row>
    <row r="88" spans="1:32" x14ac:dyDescent="0.25">
      <c r="A88" t="s">
        <v>3028</v>
      </c>
      <c r="B88">
        <v>1926</v>
      </c>
      <c r="C88" t="s">
        <v>3029</v>
      </c>
      <c r="D88" t="s">
        <v>3030</v>
      </c>
      <c r="L88" t="s">
        <v>3031</v>
      </c>
      <c r="Y88" t="s">
        <v>28</v>
      </c>
      <c r="AF88">
        <f t="shared" si="1"/>
        <v>51</v>
      </c>
    </row>
    <row r="89" spans="1:32" x14ac:dyDescent="0.25">
      <c r="A89" t="s">
        <v>3032</v>
      </c>
      <c r="B89">
        <v>1926</v>
      </c>
      <c r="C89" t="s">
        <v>3033</v>
      </c>
      <c r="D89" t="s">
        <v>3030</v>
      </c>
      <c r="L89" t="s">
        <v>3034</v>
      </c>
      <c r="AF89">
        <f t="shared" si="1"/>
        <v>50</v>
      </c>
    </row>
    <row r="90" spans="1:32" x14ac:dyDescent="0.25">
      <c r="A90" t="s">
        <v>3035</v>
      </c>
      <c r="B90">
        <v>1926</v>
      </c>
      <c r="C90" t="s">
        <v>3036</v>
      </c>
      <c r="D90" t="s">
        <v>3030</v>
      </c>
      <c r="L90" t="s">
        <v>3037</v>
      </c>
      <c r="AF90">
        <f t="shared" si="1"/>
        <v>51</v>
      </c>
    </row>
    <row r="91" spans="1:32" x14ac:dyDescent="0.25">
      <c r="A91" t="s">
        <v>3038</v>
      </c>
      <c r="B91">
        <v>1926</v>
      </c>
      <c r="C91" t="s">
        <v>3039</v>
      </c>
      <c r="D91" t="s">
        <v>3040</v>
      </c>
      <c r="L91" t="s">
        <v>3041</v>
      </c>
      <c r="Y91" t="s">
        <v>28</v>
      </c>
      <c r="AF91">
        <f t="shared" si="1"/>
        <v>36</v>
      </c>
    </row>
    <row r="92" spans="1:32" x14ac:dyDescent="0.25">
      <c r="A92" t="s">
        <v>3042</v>
      </c>
      <c r="B92">
        <v>1926</v>
      </c>
      <c r="C92" t="s">
        <v>3043</v>
      </c>
      <c r="D92" t="s">
        <v>3040</v>
      </c>
      <c r="L92" t="s">
        <v>3044</v>
      </c>
      <c r="AF92">
        <f t="shared" si="1"/>
        <v>38</v>
      </c>
    </row>
    <row r="93" spans="1:32" x14ac:dyDescent="0.25">
      <c r="A93" t="s">
        <v>3045</v>
      </c>
      <c r="B93">
        <v>1926</v>
      </c>
      <c r="C93" t="s">
        <v>2843</v>
      </c>
      <c r="D93" t="s">
        <v>3046</v>
      </c>
      <c r="F93" t="s">
        <v>2843</v>
      </c>
      <c r="L93" t="s">
        <v>480</v>
      </c>
      <c r="AF93">
        <f t="shared" si="1"/>
        <v>36</v>
      </c>
    </row>
    <row r="94" spans="1:32" x14ac:dyDescent="0.25">
      <c r="A94" t="s">
        <v>3047</v>
      </c>
      <c r="B94">
        <v>1926</v>
      </c>
      <c r="C94" t="s">
        <v>3048</v>
      </c>
      <c r="D94" t="s">
        <v>3049</v>
      </c>
      <c r="F94" t="s">
        <v>3048</v>
      </c>
      <c r="L94" t="s">
        <v>480</v>
      </c>
      <c r="AF94">
        <f t="shared" si="1"/>
        <v>45</v>
      </c>
    </row>
    <row r="95" spans="1:32" x14ac:dyDescent="0.25">
      <c r="A95" t="s">
        <v>3050</v>
      </c>
      <c r="B95">
        <v>1926</v>
      </c>
      <c r="C95" t="s">
        <v>3051</v>
      </c>
      <c r="D95" t="s">
        <v>3049</v>
      </c>
      <c r="I95" t="s">
        <v>3052</v>
      </c>
      <c r="L95" t="s">
        <v>480</v>
      </c>
      <c r="AF95">
        <f t="shared" si="1"/>
        <v>42</v>
      </c>
    </row>
    <row r="96" spans="1:32" x14ac:dyDescent="0.25">
      <c r="A96" t="s">
        <v>3053</v>
      </c>
      <c r="B96">
        <v>1926</v>
      </c>
      <c r="C96" t="s">
        <v>2804</v>
      </c>
      <c r="D96" t="s">
        <v>3054</v>
      </c>
      <c r="J96" t="s">
        <v>2806</v>
      </c>
      <c r="L96" t="s">
        <v>480</v>
      </c>
      <c r="AF96">
        <f t="shared" si="1"/>
        <v>38</v>
      </c>
    </row>
    <row r="97" spans="1:32" x14ac:dyDescent="0.25">
      <c r="A97" t="s">
        <v>3055</v>
      </c>
      <c r="B97">
        <v>1926</v>
      </c>
      <c r="C97" t="s">
        <v>3056</v>
      </c>
      <c r="D97" t="s">
        <v>3057</v>
      </c>
      <c r="L97" t="s">
        <v>3058</v>
      </c>
      <c r="AF97">
        <f t="shared" si="1"/>
        <v>37</v>
      </c>
    </row>
    <row r="98" spans="1:32" x14ac:dyDescent="0.25">
      <c r="A98" t="s">
        <v>3059</v>
      </c>
      <c r="B98">
        <v>1926</v>
      </c>
      <c r="C98" t="s">
        <v>3060</v>
      </c>
      <c r="D98" t="s">
        <v>3057</v>
      </c>
      <c r="J98" t="s">
        <v>3061</v>
      </c>
      <c r="L98" t="s">
        <v>480</v>
      </c>
      <c r="AF98">
        <f t="shared" si="1"/>
        <v>63</v>
      </c>
    </row>
    <row r="99" spans="1:32" x14ac:dyDescent="0.25">
      <c r="A99" t="s">
        <v>3062</v>
      </c>
      <c r="B99">
        <v>1926</v>
      </c>
      <c r="C99" t="s">
        <v>3063</v>
      </c>
      <c r="D99" t="s">
        <v>3064</v>
      </c>
      <c r="L99" t="s">
        <v>3065</v>
      </c>
      <c r="R99" t="s">
        <v>28</v>
      </c>
      <c r="AF99">
        <f t="shared" si="1"/>
        <v>43</v>
      </c>
    </row>
    <row r="100" spans="1:32" x14ac:dyDescent="0.25">
      <c r="A100" t="s">
        <v>3066</v>
      </c>
      <c r="B100">
        <v>1926</v>
      </c>
      <c r="C100" t="s">
        <v>3067</v>
      </c>
      <c r="D100" t="s">
        <v>3068</v>
      </c>
      <c r="K100" t="s">
        <v>3067</v>
      </c>
      <c r="L100" t="s">
        <v>3065</v>
      </c>
      <c r="AF100">
        <f t="shared" si="1"/>
        <v>87</v>
      </c>
    </row>
    <row r="101" spans="1:32" x14ac:dyDescent="0.25">
      <c r="A101" t="s">
        <v>3066</v>
      </c>
      <c r="B101">
        <v>1926</v>
      </c>
      <c r="C101" t="s">
        <v>3067</v>
      </c>
      <c r="D101" t="s">
        <v>3068</v>
      </c>
      <c r="K101" t="s">
        <v>3067</v>
      </c>
      <c r="L101" t="s">
        <v>3065</v>
      </c>
      <c r="AF101">
        <f t="shared" si="1"/>
        <v>87</v>
      </c>
    </row>
    <row r="102" spans="1:32" x14ac:dyDescent="0.25">
      <c r="A102" t="s">
        <v>3069</v>
      </c>
      <c r="B102">
        <v>1926</v>
      </c>
      <c r="C102" t="s">
        <v>3070</v>
      </c>
      <c r="D102" t="s">
        <v>3068</v>
      </c>
      <c r="L102" t="s">
        <v>3071</v>
      </c>
      <c r="M102" t="s">
        <v>3072</v>
      </c>
      <c r="N102" t="s">
        <v>3073</v>
      </c>
      <c r="O102" t="s">
        <v>3074</v>
      </c>
      <c r="P102" t="s">
        <v>2815</v>
      </c>
      <c r="AF102">
        <f t="shared" si="1"/>
        <v>73</v>
      </c>
    </row>
    <row r="103" spans="1:32" x14ac:dyDescent="0.25">
      <c r="A103" t="s">
        <v>3075</v>
      </c>
      <c r="B103">
        <v>1926</v>
      </c>
      <c r="C103" t="s">
        <v>3076</v>
      </c>
      <c r="D103" t="s">
        <v>3077</v>
      </c>
      <c r="G103" t="s">
        <v>3076</v>
      </c>
      <c r="L103" t="s">
        <v>3065</v>
      </c>
      <c r="AF103">
        <f t="shared" si="1"/>
        <v>149</v>
      </c>
    </row>
    <row r="104" spans="1:32" x14ac:dyDescent="0.25">
      <c r="A104" t="s">
        <v>3078</v>
      </c>
      <c r="B104">
        <v>1926</v>
      </c>
      <c r="C104" t="s">
        <v>3079</v>
      </c>
      <c r="D104" t="s">
        <v>3077</v>
      </c>
      <c r="L104" t="s">
        <v>3080</v>
      </c>
      <c r="M104" t="s">
        <v>3081</v>
      </c>
      <c r="N104" t="s">
        <v>563</v>
      </c>
      <c r="P104" t="s">
        <v>3082</v>
      </c>
      <c r="AF104">
        <f t="shared" si="1"/>
        <v>75</v>
      </c>
    </row>
    <row r="105" spans="1:32" x14ac:dyDescent="0.25">
      <c r="A105" t="s">
        <v>3083</v>
      </c>
      <c r="B105">
        <v>1926</v>
      </c>
      <c r="C105" t="s">
        <v>3084</v>
      </c>
      <c r="D105" t="s">
        <v>3085</v>
      </c>
      <c r="L105" t="s">
        <v>3086</v>
      </c>
      <c r="M105" t="s">
        <v>3087</v>
      </c>
      <c r="N105" t="s">
        <v>1631</v>
      </c>
      <c r="P105" t="s">
        <v>2944</v>
      </c>
      <c r="AA105" t="s">
        <v>28</v>
      </c>
      <c r="AC105" t="s">
        <v>28</v>
      </c>
      <c r="AF105">
        <f t="shared" si="1"/>
        <v>59</v>
      </c>
    </row>
    <row r="106" spans="1:32" x14ac:dyDescent="0.25">
      <c r="A106" t="s">
        <v>3088</v>
      </c>
      <c r="B106">
        <v>1926</v>
      </c>
      <c r="C106" t="s">
        <v>3089</v>
      </c>
      <c r="D106" t="s">
        <v>3090</v>
      </c>
      <c r="L106" t="s">
        <v>3091</v>
      </c>
      <c r="AF106">
        <f t="shared" si="1"/>
        <v>70</v>
      </c>
    </row>
    <row r="107" spans="1:32" x14ac:dyDescent="0.25">
      <c r="A107" t="s">
        <v>3092</v>
      </c>
      <c r="B107">
        <v>1926</v>
      </c>
      <c r="C107" t="s">
        <v>3093</v>
      </c>
      <c r="D107" t="s">
        <v>3090</v>
      </c>
      <c r="L107" t="s">
        <v>3094</v>
      </c>
      <c r="Y107" t="s">
        <v>28</v>
      </c>
      <c r="AF107">
        <f t="shared" si="1"/>
        <v>70</v>
      </c>
    </row>
    <row r="108" spans="1:32" x14ac:dyDescent="0.25">
      <c r="A108" t="s">
        <v>3095</v>
      </c>
      <c r="B108">
        <v>1926</v>
      </c>
      <c r="C108" t="s">
        <v>3096</v>
      </c>
      <c r="D108" t="s">
        <v>3097</v>
      </c>
      <c r="L108" t="s">
        <v>3098</v>
      </c>
      <c r="AF108">
        <f t="shared" si="1"/>
        <v>67</v>
      </c>
    </row>
    <row r="109" spans="1:32" x14ac:dyDescent="0.25">
      <c r="A109" t="s">
        <v>3099</v>
      </c>
      <c r="B109">
        <v>1926</v>
      </c>
      <c r="C109" t="s">
        <v>3100</v>
      </c>
      <c r="D109" t="s">
        <v>3097</v>
      </c>
      <c r="J109" t="s">
        <v>3101</v>
      </c>
      <c r="L109" t="s">
        <v>3065</v>
      </c>
      <c r="AF109">
        <f t="shared" si="1"/>
        <v>88</v>
      </c>
    </row>
    <row r="110" spans="1:32" x14ac:dyDescent="0.25">
      <c r="A110" t="s">
        <v>3102</v>
      </c>
      <c r="B110">
        <v>1926</v>
      </c>
      <c r="C110" t="s">
        <v>3103</v>
      </c>
      <c r="D110" t="s">
        <v>3097</v>
      </c>
      <c r="L110" t="s">
        <v>3104</v>
      </c>
      <c r="M110" t="s">
        <v>3105</v>
      </c>
      <c r="N110" t="s">
        <v>3106</v>
      </c>
      <c r="P110" t="s">
        <v>3107</v>
      </c>
      <c r="AA110" t="s">
        <v>28</v>
      </c>
      <c r="AF110">
        <f t="shared" si="1"/>
        <v>83</v>
      </c>
    </row>
    <row r="111" spans="1:32" x14ac:dyDescent="0.25">
      <c r="A111" t="s">
        <v>3108</v>
      </c>
      <c r="B111">
        <v>1926</v>
      </c>
      <c r="C111" t="s">
        <v>3109</v>
      </c>
      <c r="D111" t="s">
        <v>3110</v>
      </c>
      <c r="L111" t="s">
        <v>3104</v>
      </c>
      <c r="M111" t="s">
        <v>3111</v>
      </c>
      <c r="N111" t="s">
        <v>2213</v>
      </c>
      <c r="O111" t="s">
        <v>524</v>
      </c>
      <c r="P111" t="s">
        <v>3016</v>
      </c>
      <c r="AF111">
        <f t="shared" si="1"/>
        <v>66</v>
      </c>
    </row>
    <row r="112" spans="1:32" x14ac:dyDescent="0.25">
      <c r="A112" t="s">
        <v>3112</v>
      </c>
      <c r="B112">
        <v>1926</v>
      </c>
      <c r="C112" t="s">
        <v>3113</v>
      </c>
      <c r="D112" t="s">
        <v>3110</v>
      </c>
      <c r="L112" t="s">
        <v>3104</v>
      </c>
      <c r="M112" t="s">
        <v>3111</v>
      </c>
      <c r="N112" t="s">
        <v>2213</v>
      </c>
      <c r="O112" t="s">
        <v>524</v>
      </c>
      <c r="P112" t="s">
        <v>2815</v>
      </c>
      <c r="AF112">
        <f t="shared" si="1"/>
        <v>68</v>
      </c>
    </row>
    <row r="113" spans="1:32" x14ac:dyDescent="0.25">
      <c r="A113" t="s">
        <v>3114</v>
      </c>
      <c r="B113">
        <v>1926</v>
      </c>
      <c r="C113" t="s">
        <v>3115</v>
      </c>
      <c r="D113" t="s">
        <v>3110</v>
      </c>
      <c r="L113" t="s">
        <v>3104</v>
      </c>
      <c r="M113" t="s">
        <v>3116</v>
      </c>
      <c r="N113" t="s">
        <v>1724</v>
      </c>
      <c r="P113" t="s">
        <v>3117</v>
      </c>
      <c r="AA113" t="s">
        <v>28</v>
      </c>
      <c r="AF113">
        <f t="shared" si="1"/>
        <v>66</v>
      </c>
    </row>
    <row r="114" spans="1:32" x14ac:dyDescent="0.25">
      <c r="A114" t="s">
        <v>3118</v>
      </c>
      <c r="B114">
        <v>1926</v>
      </c>
      <c r="C114" t="s">
        <v>3119</v>
      </c>
      <c r="D114" t="s">
        <v>3110</v>
      </c>
      <c r="L114" t="s">
        <v>3065</v>
      </c>
      <c r="M114" t="s">
        <v>3120</v>
      </c>
      <c r="N114" t="s">
        <v>879</v>
      </c>
      <c r="P114" t="s">
        <v>3121</v>
      </c>
      <c r="AA114" t="s">
        <v>28</v>
      </c>
      <c r="AC114" t="s">
        <v>28</v>
      </c>
      <c r="AF114">
        <f t="shared" si="1"/>
        <v>55</v>
      </c>
    </row>
    <row r="115" spans="1:32" x14ac:dyDescent="0.25">
      <c r="A115" t="s">
        <v>3118</v>
      </c>
      <c r="B115">
        <v>1926</v>
      </c>
      <c r="C115" t="s">
        <v>3119</v>
      </c>
      <c r="D115" t="s">
        <v>3110</v>
      </c>
      <c r="L115" t="s">
        <v>3065</v>
      </c>
      <c r="M115" t="s">
        <v>3122</v>
      </c>
      <c r="N115" t="s">
        <v>3123</v>
      </c>
      <c r="P115" t="s">
        <v>3124</v>
      </c>
      <c r="AA115" t="s">
        <v>28</v>
      </c>
      <c r="AB115" t="s">
        <v>28</v>
      </c>
      <c r="AC115" t="s">
        <v>28</v>
      </c>
      <c r="AF115">
        <f t="shared" si="1"/>
        <v>75</v>
      </c>
    </row>
    <row r="116" spans="1:32" x14ac:dyDescent="0.25">
      <c r="A116" t="s">
        <v>3118</v>
      </c>
      <c r="B116">
        <v>1926</v>
      </c>
      <c r="C116" t="s">
        <v>3119</v>
      </c>
      <c r="D116" t="s">
        <v>3110</v>
      </c>
      <c r="L116" t="s">
        <v>3065</v>
      </c>
      <c r="M116" t="s">
        <v>3120</v>
      </c>
      <c r="N116" t="s">
        <v>879</v>
      </c>
      <c r="P116" t="s">
        <v>3121</v>
      </c>
      <c r="AA116" t="s">
        <v>28</v>
      </c>
      <c r="AC116" t="s">
        <v>28</v>
      </c>
      <c r="AF116">
        <f t="shared" si="1"/>
        <v>55</v>
      </c>
    </row>
    <row r="117" spans="1:32" x14ac:dyDescent="0.25">
      <c r="A117" t="s">
        <v>3118</v>
      </c>
      <c r="B117">
        <v>1926</v>
      </c>
      <c r="C117" t="s">
        <v>3119</v>
      </c>
      <c r="D117" t="s">
        <v>3110</v>
      </c>
      <c r="L117" t="s">
        <v>3065</v>
      </c>
      <c r="M117" t="s">
        <v>3122</v>
      </c>
      <c r="N117" t="s">
        <v>3123</v>
      </c>
      <c r="P117" t="s">
        <v>3124</v>
      </c>
      <c r="AA117" t="s">
        <v>28</v>
      </c>
      <c r="AB117" t="s">
        <v>28</v>
      </c>
      <c r="AC117" t="s">
        <v>28</v>
      </c>
      <c r="AF117">
        <f t="shared" si="1"/>
        <v>75</v>
      </c>
    </row>
    <row r="118" spans="1:32" x14ac:dyDescent="0.25">
      <c r="A118" t="s">
        <v>3125</v>
      </c>
      <c r="B118">
        <v>1926</v>
      </c>
      <c r="C118" t="s">
        <v>3126</v>
      </c>
      <c r="D118" t="s">
        <v>3127</v>
      </c>
      <c r="L118" t="s">
        <v>3128</v>
      </c>
      <c r="Y118" t="s">
        <v>28</v>
      </c>
      <c r="AF118">
        <f t="shared" si="1"/>
        <v>55</v>
      </c>
    </row>
    <row r="119" spans="1:32" x14ac:dyDescent="0.25">
      <c r="A119" t="s">
        <v>3129</v>
      </c>
      <c r="B119">
        <v>1926</v>
      </c>
      <c r="C119" t="s">
        <v>3130</v>
      </c>
      <c r="D119" t="s">
        <v>3127</v>
      </c>
      <c r="L119" t="s">
        <v>3071</v>
      </c>
      <c r="M119" t="s">
        <v>3131</v>
      </c>
      <c r="N119" t="s">
        <v>3132</v>
      </c>
      <c r="P119" t="s">
        <v>2944</v>
      </c>
      <c r="AA119" t="s">
        <v>28</v>
      </c>
      <c r="AF119">
        <f t="shared" si="1"/>
        <v>75</v>
      </c>
    </row>
    <row r="120" spans="1:32" x14ac:dyDescent="0.25">
      <c r="A120" t="s">
        <v>3129</v>
      </c>
      <c r="B120">
        <v>1926</v>
      </c>
      <c r="C120" t="s">
        <v>3130</v>
      </c>
      <c r="D120" t="s">
        <v>3127</v>
      </c>
      <c r="L120" t="s">
        <v>3071</v>
      </c>
      <c r="M120" t="s">
        <v>3131</v>
      </c>
      <c r="N120" t="s">
        <v>3132</v>
      </c>
      <c r="P120" t="s">
        <v>2944</v>
      </c>
      <c r="AA120" t="s">
        <v>28</v>
      </c>
      <c r="AF120">
        <f t="shared" si="1"/>
        <v>75</v>
      </c>
    </row>
    <row r="121" spans="1:32" x14ac:dyDescent="0.25">
      <c r="A121" t="s">
        <v>3133</v>
      </c>
      <c r="B121">
        <v>1926</v>
      </c>
      <c r="C121" t="s">
        <v>2891</v>
      </c>
      <c r="D121" t="s">
        <v>3134</v>
      </c>
      <c r="F121" t="s">
        <v>2891</v>
      </c>
      <c r="L121" t="s">
        <v>3065</v>
      </c>
      <c r="AF121">
        <f t="shared" si="1"/>
        <v>37</v>
      </c>
    </row>
    <row r="122" spans="1:32" x14ac:dyDescent="0.25">
      <c r="A122" t="s">
        <v>3133</v>
      </c>
      <c r="B122">
        <v>1926</v>
      </c>
      <c r="C122" t="s">
        <v>2891</v>
      </c>
      <c r="D122" t="s">
        <v>3134</v>
      </c>
      <c r="F122" t="s">
        <v>2891</v>
      </c>
      <c r="L122" t="s">
        <v>3065</v>
      </c>
      <c r="AF122">
        <f t="shared" si="1"/>
        <v>37</v>
      </c>
    </row>
    <row r="123" spans="1:32" x14ac:dyDescent="0.25">
      <c r="A123" t="s">
        <v>3135</v>
      </c>
      <c r="B123">
        <v>1926</v>
      </c>
      <c r="C123" t="s">
        <v>3136</v>
      </c>
      <c r="D123" t="s">
        <v>3134</v>
      </c>
      <c r="L123" t="s">
        <v>3104</v>
      </c>
      <c r="M123" t="s">
        <v>3137</v>
      </c>
      <c r="N123" t="s">
        <v>3138</v>
      </c>
      <c r="P123" t="s">
        <v>3139</v>
      </c>
      <c r="AA123" t="s">
        <v>28</v>
      </c>
      <c r="AF123">
        <f t="shared" si="1"/>
        <v>54</v>
      </c>
    </row>
    <row r="124" spans="1:32" x14ac:dyDescent="0.25">
      <c r="A124" t="s">
        <v>3140</v>
      </c>
      <c r="B124">
        <v>1926</v>
      </c>
      <c r="C124" t="s">
        <v>3141</v>
      </c>
      <c r="D124" t="s">
        <v>3142</v>
      </c>
      <c r="L124" t="s">
        <v>112</v>
      </c>
      <c r="M124" t="s">
        <v>3143</v>
      </c>
      <c r="N124" t="s">
        <v>3144</v>
      </c>
      <c r="P124" t="s">
        <v>2815</v>
      </c>
      <c r="AA124" t="s">
        <v>28</v>
      </c>
      <c r="AF124">
        <f t="shared" si="1"/>
        <v>70</v>
      </c>
    </row>
    <row r="125" spans="1:32" x14ac:dyDescent="0.25">
      <c r="A125" t="s">
        <v>3145</v>
      </c>
      <c r="B125">
        <v>1926</v>
      </c>
      <c r="C125" t="s">
        <v>3146</v>
      </c>
      <c r="D125" t="s">
        <v>3142</v>
      </c>
      <c r="L125" t="s">
        <v>3147</v>
      </c>
      <c r="M125" t="s">
        <v>3148</v>
      </c>
      <c r="N125" t="s">
        <v>2685</v>
      </c>
      <c r="P125" t="s">
        <v>2958</v>
      </c>
      <c r="AC125" t="s">
        <v>28</v>
      </c>
      <c r="AF125">
        <f t="shared" si="1"/>
        <v>73</v>
      </c>
    </row>
    <row r="126" spans="1:32" x14ac:dyDescent="0.25">
      <c r="A126" t="s">
        <v>3149</v>
      </c>
      <c r="B126">
        <v>1926</v>
      </c>
      <c r="C126" t="s">
        <v>3150</v>
      </c>
      <c r="D126" t="s">
        <v>2933</v>
      </c>
      <c r="L126" t="s">
        <v>2937</v>
      </c>
      <c r="AF126">
        <f t="shared" si="1"/>
        <v>58</v>
      </c>
    </row>
    <row r="127" spans="1:32" x14ac:dyDescent="0.25">
      <c r="A127" t="s">
        <v>3151</v>
      </c>
      <c r="B127">
        <v>1926</v>
      </c>
      <c r="C127" t="s">
        <v>3152</v>
      </c>
      <c r="D127" t="s">
        <v>2933</v>
      </c>
      <c r="L127" t="s">
        <v>3153</v>
      </c>
      <c r="Y127" t="s">
        <v>28</v>
      </c>
      <c r="AF127">
        <f t="shared" si="1"/>
        <v>49</v>
      </c>
    </row>
    <row r="128" spans="1:32" x14ac:dyDescent="0.25">
      <c r="A128" t="s">
        <v>3154</v>
      </c>
      <c r="B128">
        <v>1926</v>
      </c>
      <c r="C128" t="s">
        <v>3155</v>
      </c>
      <c r="D128" t="s">
        <v>2933</v>
      </c>
      <c r="I128" t="s">
        <v>3156</v>
      </c>
      <c r="L128" t="s">
        <v>3157</v>
      </c>
      <c r="AF128">
        <f t="shared" si="1"/>
        <v>60</v>
      </c>
    </row>
    <row r="129" spans="1:32" x14ac:dyDescent="0.25">
      <c r="A129" t="s">
        <v>3158</v>
      </c>
      <c r="B129">
        <v>1926</v>
      </c>
      <c r="C129" t="s">
        <v>3159</v>
      </c>
      <c r="D129" t="s">
        <v>3160</v>
      </c>
      <c r="L129" t="s">
        <v>3161</v>
      </c>
      <c r="M129" t="s">
        <v>3162</v>
      </c>
      <c r="N129" t="s">
        <v>28</v>
      </c>
      <c r="P129" t="s">
        <v>3163</v>
      </c>
      <c r="AA129" t="s">
        <v>28</v>
      </c>
      <c r="AC129" t="s">
        <v>28</v>
      </c>
      <c r="AF129">
        <f t="shared" si="1"/>
        <v>49</v>
      </c>
    </row>
    <row r="130" spans="1:32" x14ac:dyDescent="0.25">
      <c r="A130" t="s">
        <v>3164</v>
      </c>
      <c r="B130">
        <v>1926</v>
      </c>
      <c r="C130" t="s">
        <v>3165</v>
      </c>
      <c r="D130" t="s">
        <v>3166</v>
      </c>
      <c r="I130" t="s">
        <v>3167</v>
      </c>
      <c r="L130" t="s">
        <v>3168</v>
      </c>
      <c r="AF130">
        <f t="shared" si="1"/>
        <v>54</v>
      </c>
    </row>
    <row r="131" spans="1:32" x14ac:dyDescent="0.25">
      <c r="A131" t="s">
        <v>3169</v>
      </c>
      <c r="B131">
        <v>1926</v>
      </c>
      <c r="C131" t="s">
        <v>3170</v>
      </c>
      <c r="D131" t="s">
        <v>3171</v>
      </c>
      <c r="G131" t="s">
        <v>3170</v>
      </c>
      <c r="L131" t="s">
        <v>3168</v>
      </c>
      <c r="T131" t="s">
        <v>28</v>
      </c>
      <c r="U131" t="s">
        <v>28</v>
      </c>
      <c r="AF131">
        <f t="shared" ref="AF131:AF194" si="2">LEN(D131)+LEN(E131)+LEN(F131)+LEN(G131)+LEN(H131)+LEN(I131)+LEN(J131)+LEN(K131)+LEN(L131)+LEN(M131)+LEN(N131)+LEN(O131)+LEN(P131)</f>
        <v>169</v>
      </c>
    </row>
    <row r="132" spans="1:32" x14ac:dyDescent="0.25">
      <c r="A132" t="s">
        <v>3169</v>
      </c>
      <c r="B132">
        <v>1926</v>
      </c>
      <c r="C132" t="s">
        <v>3170</v>
      </c>
      <c r="D132" t="s">
        <v>3171</v>
      </c>
      <c r="G132" t="s">
        <v>3170</v>
      </c>
      <c r="L132" t="s">
        <v>3168</v>
      </c>
      <c r="T132" t="s">
        <v>28</v>
      </c>
      <c r="U132" t="s">
        <v>28</v>
      </c>
      <c r="AF132">
        <f t="shared" si="2"/>
        <v>169</v>
      </c>
    </row>
    <row r="133" spans="1:32" x14ac:dyDescent="0.25">
      <c r="A133" t="s">
        <v>3172</v>
      </c>
      <c r="B133">
        <v>1926</v>
      </c>
      <c r="C133" t="s">
        <v>3173</v>
      </c>
      <c r="D133" t="s">
        <v>3174</v>
      </c>
      <c r="L133" t="s">
        <v>3175</v>
      </c>
      <c r="AF133">
        <f t="shared" si="2"/>
        <v>51</v>
      </c>
    </row>
    <row r="134" spans="1:32" x14ac:dyDescent="0.25">
      <c r="A134" t="s">
        <v>3176</v>
      </c>
      <c r="B134">
        <v>1926</v>
      </c>
      <c r="C134" t="s">
        <v>3177</v>
      </c>
      <c r="D134" t="s">
        <v>3174</v>
      </c>
      <c r="L134" t="s">
        <v>3178</v>
      </c>
      <c r="Y134" t="s">
        <v>28</v>
      </c>
      <c r="AF134">
        <f t="shared" si="2"/>
        <v>48</v>
      </c>
    </row>
    <row r="135" spans="1:32" x14ac:dyDescent="0.25">
      <c r="A135" t="s">
        <v>3179</v>
      </c>
      <c r="B135">
        <v>1926</v>
      </c>
      <c r="C135" t="s">
        <v>3180</v>
      </c>
      <c r="D135" t="s">
        <v>3174</v>
      </c>
      <c r="G135" t="s">
        <v>3180</v>
      </c>
      <c r="L135" t="s">
        <v>3168</v>
      </c>
      <c r="AF135">
        <f t="shared" si="2"/>
        <v>81</v>
      </c>
    </row>
    <row r="136" spans="1:32" x14ac:dyDescent="0.25">
      <c r="A136" t="s">
        <v>3181</v>
      </c>
      <c r="B136">
        <v>1926</v>
      </c>
      <c r="C136" t="s">
        <v>3182</v>
      </c>
      <c r="D136" t="s">
        <v>3174</v>
      </c>
      <c r="I136" t="s">
        <v>3183</v>
      </c>
      <c r="L136" t="s">
        <v>3168</v>
      </c>
      <c r="AF136">
        <f t="shared" si="2"/>
        <v>54</v>
      </c>
    </row>
    <row r="137" spans="1:32" x14ac:dyDescent="0.25">
      <c r="A137" t="s">
        <v>3184</v>
      </c>
      <c r="B137">
        <v>1926</v>
      </c>
      <c r="C137" t="s">
        <v>3185</v>
      </c>
      <c r="D137" t="s">
        <v>3186</v>
      </c>
      <c r="K137" t="s">
        <v>3185</v>
      </c>
      <c r="L137" t="s">
        <v>3168</v>
      </c>
      <c r="AF137">
        <f t="shared" si="2"/>
        <v>68</v>
      </c>
    </row>
    <row r="138" spans="1:32" x14ac:dyDescent="0.25">
      <c r="A138" t="s">
        <v>3187</v>
      </c>
      <c r="B138">
        <v>1926</v>
      </c>
      <c r="C138" t="s">
        <v>3188</v>
      </c>
      <c r="D138" t="s">
        <v>3189</v>
      </c>
      <c r="J138" t="s">
        <v>2806</v>
      </c>
      <c r="L138" t="s">
        <v>3168</v>
      </c>
      <c r="AF138">
        <f t="shared" si="2"/>
        <v>51</v>
      </c>
    </row>
    <row r="139" spans="1:32" x14ac:dyDescent="0.25">
      <c r="A139" t="s">
        <v>3190</v>
      </c>
      <c r="B139">
        <v>1926</v>
      </c>
      <c r="C139" t="s">
        <v>3191</v>
      </c>
      <c r="D139" t="s">
        <v>3189</v>
      </c>
      <c r="L139" t="s">
        <v>3192</v>
      </c>
      <c r="M139" t="s">
        <v>3193</v>
      </c>
      <c r="N139" t="s">
        <v>2187</v>
      </c>
      <c r="O139" t="s">
        <v>3194</v>
      </c>
      <c r="P139" t="s">
        <v>3195</v>
      </c>
      <c r="AA139" t="s">
        <v>28</v>
      </c>
      <c r="AC139" t="s">
        <v>28</v>
      </c>
      <c r="AF139">
        <f t="shared" si="2"/>
        <v>63</v>
      </c>
    </row>
    <row r="140" spans="1:32" x14ac:dyDescent="0.25">
      <c r="A140" t="s">
        <v>3196</v>
      </c>
      <c r="B140">
        <v>1926</v>
      </c>
      <c r="C140" t="s">
        <v>3197</v>
      </c>
      <c r="D140" t="s">
        <v>3189</v>
      </c>
      <c r="L140" t="s">
        <v>3192</v>
      </c>
      <c r="M140" t="s">
        <v>2197</v>
      </c>
      <c r="N140" t="s">
        <v>322</v>
      </c>
      <c r="P140" t="s">
        <v>3198</v>
      </c>
      <c r="AC140" t="s">
        <v>28</v>
      </c>
      <c r="AF140">
        <f t="shared" si="2"/>
        <v>75</v>
      </c>
    </row>
    <row r="141" spans="1:32" x14ac:dyDescent="0.25">
      <c r="A141" t="s">
        <v>3199</v>
      </c>
      <c r="B141">
        <v>1926</v>
      </c>
      <c r="C141" t="s">
        <v>3200</v>
      </c>
      <c r="D141" t="s">
        <v>3189</v>
      </c>
      <c r="L141" t="s">
        <v>3192</v>
      </c>
      <c r="M141" t="s">
        <v>3201</v>
      </c>
      <c r="N141" t="s">
        <v>1389</v>
      </c>
      <c r="O141" t="s">
        <v>1667</v>
      </c>
      <c r="P141" t="s">
        <v>3202</v>
      </c>
      <c r="AA141" t="s">
        <v>28</v>
      </c>
      <c r="AF141">
        <f t="shared" si="2"/>
        <v>58</v>
      </c>
    </row>
    <row r="142" spans="1:32" x14ac:dyDescent="0.25">
      <c r="A142" t="s">
        <v>3203</v>
      </c>
      <c r="B142">
        <v>1926</v>
      </c>
      <c r="C142" t="s">
        <v>3204</v>
      </c>
      <c r="D142" t="s">
        <v>3189</v>
      </c>
      <c r="L142" t="s">
        <v>3192</v>
      </c>
      <c r="M142" t="s">
        <v>3205</v>
      </c>
      <c r="N142" t="s">
        <v>3206</v>
      </c>
      <c r="O142" t="s">
        <v>389</v>
      </c>
      <c r="P142" t="s">
        <v>3207</v>
      </c>
      <c r="AA142" t="s">
        <v>28</v>
      </c>
      <c r="AB142" t="s">
        <v>28</v>
      </c>
      <c r="AC142" t="s">
        <v>28</v>
      </c>
      <c r="AF142">
        <f t="shared" si="2"/>
        <v>70</v>
      </c>
    </row>
    <row r="143" spans="1:32" x14ac:dyDescent="0.25">
      <c r="A143" t="s">
        <v>3208</v>
      </c>
      <c r="B143">
        <v>1926</v>
      </c>
      <c r="C143" t="s">
        <v>3209</v>
      </c>
      <c r="D143" t="s">
        <v>3210</v>
      </c>
      <c r="L143" t="s">
        <v>3175</v>
      </c>
      <c r="AF143">
        <f t="shared" si="2"/>
        <v>62</v>
      </c>
    </row>
    <row r="144" spans="1:32" x14ac:dyDescent="0.25">
      <c r="A144" t="s">
        <v>3211</v>
      </c>
      <c r="B144">
        <v>1926</v>
      </c>
      <c r="C144" t="s">
        <v>3212</v>
      </c>
      <c r="D144" t="s">
        <v>3210</v>
      </c>
      <c r="L144" t="s">
        <v>3213</v>
      </c>
      <c r="M144" t="s">
        <v>3214</v>
      </c>
      <c r="N144" t="s">
        <v>322</v>
      </c>
      <c r="P144" t="s">
        <v>2944</v>
      </c>
      <c r="AA144" t="s">
        <v>68</v>
      </c>
      <c r="AC144" t="s">
        <v>28</v>
      </c>
      <c r="AE144">
        <v>1</v>
      </c>
      <c r="AF144">
        <f t="shared" si="2"/>
        <v>74</v>
      </c>
    </row>
    <row r="145" spans="1:32" x14ac:dyDescent="0.25">
      <c r="A145" t="s">
        <v>3215</v>
      </c>
      <c r="B145">
        <v>1926</v>
      </c>
      <c r="C145" t="s">
        <v>3216</v>
      </c>
      <c r="D145" t="s">
        <v>3217</v>
      </c>
      <c r="G145" t="s">
        <v>3216</v>
      </c>
      <c r="L145" t="s">
        <v>3168</v>
      </c>
      <c r="AF145">
        <f t="shared" si="2"/>
        <v>100</v>
      </c>
    </row>
    <row r="146" spans="1:32" x14ac:dyDescent="0.25">
      <c r="A146" t="s">
        <v>3218</v>
      </c>
      <c r="B146">
        <v>1926</v>
      </c>
      <c r="C146" t="s">
        <v>3219</v>
      </c>
      <c r="D146" t="s">
        <v>3220</v>
      </c>
      <c r="L146" t="s">
        <v>3168</v>
      </c>
      <c r="R146" t="s">
        <v>28</v>
      </c>
      <c r="AF146">
        <f t="shared" si="2"/>
        <v>36</v>
      </c>
    </row>
    <row r="147" spans="1:32" x14ac:dyDescent="0.25">
      <c r="A147" t="s">
        <v>3221</v>
      </c>
      <c r="B147">
        <v>1926</v>
      </c>
      <c r="C147" t="s">
        <v>3222</v>
      </c>
      <c r="D147" t="s">
        <v>3220</v>
      </c>
      <c r="G147" t="s">
        <v>3222</v>
      </c>
      <c r="L147" t="s">
        <v>3168</v>
      </c>
      <c r="T147" t="s">
        <v>28</v>
      </c>
      <c r="U147" t="s">
        <v>28</v>
      </c>
      <c r="AF147">
        <f t="shared" si="2"/>
        <v>108</v>
      </c>
    </row>
    <row r="148" spans="1:32" x14ac:dyDescent="0.25">
      <c r="A148" t="s">
        <v>3223</v>
      </c>
      <c r="B148">
        <v>1926</v>
      </c>
      <c r="C148" t="s">
        <v>3224</v>
      </c>
      <c r="D148" t="s">
        <v>3220</v>
      </c>
      <c r="L148" t="s">
        <v>3192</v>
      </c>
      <c r="M148" t="s">
        <v>3225</v>
      </c>
      <c r="N148" t="s">
        <v>879</v>
      </c>
      <c r="P148" t="s">
        <v>3016</v>
      </c>
      <c r="AA148" t="s">
        <v>28</v>
      </c>
      <c r="AC148" t="s">
        <v>28</v>
      </c>
      <c r="AF148">
        <f t="shared" si="2"/>
        <v>60</v>
      </c>
    </row>
    <row r="149" spans="1:32" x14ac:dyDescent="0.25">
      <c r="A149" t="s">
        <v>3226</v>
      </c>
      <c r="B149">
        <v>1926</v>
      </c>
      <c r="C149" t="s">
        <v>3227</v>
      </c>
      <c r="D149" t="s">
        <v>3220</v>
      </c>
      <c r="L149" t="s">
        <v>3192</v>
      </c>
      <c r="M149" t="s">
        <v>3228</v>
      </c>
      <c r="N149" t="s">
        <v>1596</v>
      </c>
      <c r="O149" t="s">
        <v>384</v>
      </c>
      <c r="P149" t="s">
        <v>2815</v>
      </c>
      <c r="AC149" t="s">
        <v>28</v>
      </c>
      <c r="AF149">
        <f t="shared" si="2"/>
        <v>71</v>
      </c>
    </row>
    <row r="150" spans="1:32" x14ac:dyDescent="0.25">
      <c r="A150" t="s">
        <v>3229</v>
      </c>
      <c r="B150">
        <v>1926</v>
      </c>
      <c r="C150" t="s">
        <v>3230</v>
      </c>
      <c r="D150" t="s">
        <v>3220</v>
      </c>
      <c r="L150" t="s">
        <v>3192</v>
      </c>
      <c r="M150" t="s">
        <v>3231</v>
      </c>
      <c r="N150" t="s">
        <v>1265</v>
      </c>
      <c r="P150" t="s">
        <v>3232</v>
      </c>
      <c r="AC150" t="s">
        <v>28</v>
      </c>
      <c r="AF150">
        <f t="shared" si="2"/>
        <v>57</v>
      </c>
    </row>
    <row r="151" spans="1:32" x14ac:dyDescent="0.25">
      <c r="A151" t="s">
        <v>3233</v>
      </c>
      <c r="B151">
        <v>1926</v>
      </c>
      <c r="C151" t="s">
        <v>3234</v>
      </c>
      <c r="D151" t="s">
        <v>3220</v>
      </c>
      <c r="L151" t="s">
        <v>3192</v>
      </c>
      <c r="M151" t="s">
        <v>3235</v>
      </c>
      <c r="N151" t="s">
        <v>23</v>
      </c>
      <c r="P151" t="s">
        <v>3236</v>
      </c>
      <c r="AC151" t="s">
        <v>28</v>
      </c>
      <c r="AF151">
        <f t="shared" si="2"/>
        <v>56</v>
      </c>
    </row>
    <row r="152" spans="1:32" x14ac:dyDescent="0.25">
      <c r="A152" t="s">
        <v>3237</v>
      </c>
      <c r="B152">
        <v>1926</v>
      </c>
      <c r="C152" t="s">
        <v>3238</v>
      </c>
      <c r="D152" t="s">
        <v>3239</v>
      </c>
      <c r="L152" t="s">
        <v>3175</v>
      </c>
      <c r="AF152">
        <f t="shared" si="2"/>
        <v>41</v>
      </c>
    </row>
    <row r="153" spans="1:32" x14ac:dyDescent="0.25">
      <c r="A153" t="s">
        <v>3240</v>
      </c>
      <c r="B153">
        <v>1926</v>
      </c>
      <c r="C153" t="s">
        <v>3241</v>
      </c>
      <c r="D153" t="s">
        <v>3242</v>
      </c>
      <c r="G153" t="s">
        <v>3241</v>
      </c>
      <c r="L153" t="s">
        <v>3168</v>
      </c>
      <c r="T153" t="s">
        <v>28</v>
      </c>
      <c r="U153" t="s">
        <v>28</v>
      </c>
      <c r="AF153">
        <f t="shared" si="2"/>
        <v>111</v>
      </c>
    </row>
    <row r="154" spans="1:32" x14ac:dyDescent="0.25">
      <c r="A154" t="s">
        <v>3243</v>
      </c>
      <c r="B154">
        <v>1926</v>
      </c>
      <c r="C154" t="s">
        <v>3244</v>
      </c>
      <c r="D154" t="s">
        <v>3245</v>
      </c>
      <c r="L154" t="s">
        <v>3168</v>
      </c>
      <c r="R154" t="s">
        <v>28</v>
      </c>
      <c r="AF154">
        <f t="shared" si="2"/>
        <v>46</v>
      </c>
    </row>
    <row r="155" spans="1:32" x14ac:dyDescent="0.25">
      <c r="A155" t="s">
        <v>3246</v>
      </c>
      <c r="B155">
        <v>1926</v>
      </c>
      <c r="C155" t="s">
        <v>3247</v>
      </c>
      <c r="D155" t="s">
        <v>3245</v>
      </c>
      <c r="L155" t="s">
        <v>3248</v>
      </c>
      <c r="Y155" t="s">
        <v>28</v>
      </c>
      <c r="AF155">
        <f t="shared" si="2"/>
        <v>61</v>
      </c>
    </row>
    <row r="156" spans="1:32" x14ac:dyDescent="0.25">
      <c r="A156" t="s">
        <v>3249</v>
      </c>
      <c r="B156">
        <v>1926</v>
      </c>
      <c r="C156" t="s">
        <v>3250</v>
      </c>
      <c r="D156" t="s">
        <v>3251</v>
      </c>
      <c r="L156" t="s">
        <v>3071</v>
      </c>
      <c r="M156" t="s">
        <v>3252</v>
      </c>
      <c r="N156" t="s">
        <v>3253</v>
      </c>
      <c r="O156" t="s">
        <v>3254</v>
      </c>
      <c r="P156" t="s">
        <v>1390</v>
      </c>
      <c r="AC156" t="s">
        <v>28</v>
      </c>
      <c r="AF156">
        <f t="shared" si="2"/>
        <v>73</v>
      </c>
    </row>
    <row r="157" spans="1:32" x14ac:dyDescent="0.25">
      <c r="A157" t="s">
        <v>3255</v>
      </c>
      <c r="B157">
        <v>1926</v>
      </c>
      <c r="C157" t="s">
        <v>3256</v>
      </c>
      <c r="D157" t="s">
        <v>3257</v>
      </c>
      <c r="K157" t="s">
        <v>3256</v>
      </c>
      <c r="L157" t="s">
        <v>3168</v>
      </c>
      <c r="X157" t="s">
        <v>68</v>
      </c>
      <c r="AE157">
        <v>1</v>
      </c>
      <c r="AF157">
        <f t="shared" si="2"/>
        <v>87</v>
      </c>
    </row>
    <row r="158" spans="1:32" x14ac:dyDescent="0.25">
      <c r="A158" t="s">
        <v>3258</v>
      </c>
      <c r="B158">
        <v>1926</v>
      </c>
      <c r="C158" t="s">
        <v>3259</v>
      </c>
      <c r="D158" t="s">
        <v>3257</v>
      </c>
      <c r="L158" t="s">
        <v>3175</v>
      </c>
      <c r="AF158">
        <f t="shared" si="2"/>
        <v>67</v>
      </c>
    </row>
    <row r="159" spans="1:32" x14ac:dyDescent="0.25">
      <c r="A159" t="s">
        <v>3260</v>
      </c>
      <c r="B159">
        <v>1926</v>
      </c>
      <c r="C159" t="s">
        <v>3261</v>
      </c>
      <c r="D159" t="s">
        <v>3257</v>
      </c>
      <c r="I159" t="s">
        <v>3262</v>
      </c>
      <c r="L159" t="s">
        <v>3168</v>
      </c>
      <c r="AF159">
        <f t="shared" si="2"/>
        <v>69</v>
      </c>
    </row>
    <row r="160" spans="1:32" x14ac:dyDescent="0.25">
      <c r="A160" t="s">
        <v>3263</v>
      </c>
      <c r="B160">
        <v>1926</v>
      </c>
      <c r="C160" t="s">
        <v>3264</v>
      </c>
      <c r="D160" t="s">
        <v>3257</v>
      </c>
      <c r="L160" t="s">
        <v>2860</v>
      </c>
      <c r="AA160" t="s">
        <v>28</v>
      </c>
      <c r="AB160" t="s">
        <v>28</v>
      </c>
      <c r="AC160" t="s">
        <v>28</v>
      </c>
      <c r="AD160" t="s">
        <v>28</v>
      </c>
      <c r="AF160">
        <f t="shared" si="2"/>
        <v>55</v>
      </c>
    </row>
    <row r="161" spans="1:32" x14ac:dyDescent="0.25">
      <c r="A161" t="s">
        <v>3265</v>
      </c>
      <c r="B161">
        <v>1926</v>
      </c>
      <c r="C161" t="s">
        <v>3266</v>
      </c>
      <c r="D161" t="s">
        <v>3257</v>
      </c>
      <c r="L161" t="s">
        <v>3267</v>
      </c>
      <c r="M161" t="s">
        <v>3268</v>
      </c>
      <c r="N161" t="s">
        <v>879</v>
      </c>
      <c r="P161" t="s">
        <v>3082</v>
      </c>
      <c r="AA161" t="s">
        <v>28</v>
      </c>
      <c r="AC161" t="s">
        <v>28</v>
      </c>
      <c r="AF161">
        <f t="shared" si="2"/>
        <v>78</v>
      </c>
    </row>
    <row r="162" spans="1:32" x14ac:dyDescent="0.25">
      <c r="A162" t="s">
        <v>3269</v>
      </c>
      <c r="B162">
        <v>1926</v>
      </c>
      <c r="C162" t="s">
        <v>3270</v>
      </c>
      <c r="D162" t="s">
        <v>3257</v>
      </c>
      <c r="L162" t="s">
        <v>3071</v>
      </c>
      <c r="M162" t="s">
        <v>3271</v>
      </c>
      <c r="N162" t="s">
        <v>3272</v>
      </c>
      <c r="P162" t="s">
        <v>3139</v>
      </c>
      <c r="AA162" t="s">
        <v>28</v>
      </c>
      <c r="AF162">
        <f t="shared" si="2"/>
        <v>75</v>
      </c>
    </row>
    <row r="163" spans="1:32" x14ac:dyDescent="0.25">
      <c r="A163" t="s">
        <v>3273</v>
      </c>
      <c r="B163">
        <v>1926</v>
      </c>
      <c r="C163" t="s">
        <v>2843</v>
      </c>
      <c r="D163" t="s">
        <v>3274</v>
      </c>
      <c r="F163" t="s">
        <v>2843</v>
      </c>
      <c r="L163" t="s">
        <v>3168</v>
      </c>
      <c r="AF163">
        <f t="shared" si="2"/>
        <v>88</v>
      </c>
    </row>
    <row r="164" spans="1:32" x14ac:dyDescent="0.25">
      <c r="A164" t="s">
        <v>3275</v>
      </c>
      <c r="B164">
        <v>1926</v>
      </c>
      <c r="C164" t="s">
        <v>3276</v>
      </c>
      <c r="D164" t="s">
        <v>3274</v>
      </c>
      <c r="I164" t="s">
        <v>3277</v>
      </c>
      <c r="L164" t="s">
        <v>3168</v>
      </c>
      <c r="AF164">
        <f t="shared" si="2"/>
        <v>91</v>
      </c>
    </row>
    <row r="165" spans="1:32" x14ac:dyDescent="0.25">
      <c r="A165" t="s">
        <v>3278</v>
      </c>
      <c r="B165">
        <v>1926</v>
      </c>
      <c r="C165" t="s">
        <v>3279</v>
      </c>
      <c r="D165" t="s">
        <v>3274</v>
      </c>
      <c r="L165" t="s">
        <v>3071</v>
      </c>
      <c r="M165" t="s">
        <v>3280</v>
      </c>
      <c r="N165" t="s">
        <v>391</v>
      </c>
      <c r="P165" t="s">
        <v>2862</v>
      </c>
      <c r="AA165" t="s">
        <v>28</v>
      </c>
      <c r="AF165">
        <f t="shared" si="2"/>
        <v>92</v>
      </c>
    </row>
    <row r="166" spans="1:32" x14ac:dyDescent="0.25">
      <c r="A166" t="s">
        <v>3281</v>
      </c>
      <c r="B166">
        <v>1926</v>
      </c>
      <c r="C166" t="s">
        <v>3282</v>
      </c>
      <c r="D166" t="s">
        <v>3283</v>
      </c>
      <c r="F166" t="s">
        <v>3282</v>
      </c>
      <c r="L166" t="s">
        <v>3284</v>
      </c>
      <c r="AF166">
        <f t="shared" si="2"/>
        <v>51</v>
      </c>
    </row>
    <row r="167" spans="1:32" x14ac:dyDescent="0.25">
      <c r="A167" t="s">
        <v>3285</v>
      </c>
      <c r="B167">
        <v>1926</v>
      </c>
      <c r="C167" t="s">
        <v>3286</v>
      </c>
      <c r="D167" t="s">
        <v>3283</v>
      </c>
      <c r="L167" t="s">
        <v>3287</v>
      </c>
      <c r="M167" t="s">
        <v>3288</v>
      </c>
      <c r="N167" t="s">
        <v>384</v>
      </c>
      <c r="P167" t="s">
        <v>3082</v>
      </c>
      <c r="AA167" t="s">
        <v>28</v>
      </c>
      <c r="AC167" t="s">
        <v>28</v>
      </c>
      <c r="AF167">
        <f t="shared" si="2"/>
        <v>50</v>
      </c>
    </row>
    <row r="168" spans="1:32" x14ac:dyDescent="0.25">
      <c r="A168" t="s">
        <v>3289</v>
      </c>
      <c r="B168">
        <v>1926</v>
      </c>
      <c r="C168" t="s">
        <v>3290</v>
      </c>
      <c r="D168" t="s">
        <v>3291</v>
      </c>
      <c r="L168" t="s">
        <v>3292</v>
      </c>
      <c r="M168" t="s">
        <v>3293</v>
      </c>
      <c r="N168" t="s">
        <v>1596</v>
      </c>
      <c r="O168" t="s">
        <v>1631</v>
      </c>
      <c r="P168" t="s">
        <v>3294</v>
      </c>
      <c r="AC168" t="s">
        <v>28</v>
      </c>
      <c r="AF168">
        <f t="shared" si="2"/>
        <v>70</v>
      </c>
    </row>
    <row r="169" spans="1:32" x14ac:dyDescent="0.25">
      <c r="A169" t="s">
        <v>3295</v>
      </c>
      <c r="B169">
        <v>1926</v>
      </c>
      <c r="C169" t="s">
        <v>3296</v>
      </c>
      <c r="D169" t="s">
        <v>3297</v>
      </c>
      <c r="L169" t="s">
        <v>3287</v>
      </c>
      <c r="M169" t="s">
        <v>952</v>
      </c>
      <c r="N169" t="s">
        <v>3298</v>
      </c>
      <c r="P169" t="s">
        <v>3299</v>
      </c>
      <c r="AF169">
        <f t="shared" si="2"/>
        <v>63</v>
      </c>
    </row>
    <row r="170" spans="1:32" x14ac:dyDescent="0.25">
      <c r="A170" t="s">
        <v>3300</v>
      </c>
      <c r="B170">
        <v>1926</v>
      </c>
      <c r="C170" t="s">
        <v>3301</v>
      </c>
      <c r="D170" t="s">
        <v>3302</v>
      </c>
      <c r="F170" t="s">
        <v>3301</v>
      </c>
      <c r="L170" t="s">
        <v>3284</v>
      </c>
      <c r="AF170">
        <f t="shared" si="2"/>
        <v>42</v>
      </c>
    </row>
    <row r="171" spans="1:32" x14ac:dyDescent="0.25">
      <c r="A171" t="s">
        <v>3300</v>
      </c>
      <c r="B171">
        <v>1926</v>
      </c>
      <c r="C171" t="s">
        <v>3301</v>
      </c>
      <c r="D171" t="s">
        <v>3302</v>
      </c>
      <c r="F171" t="s">
        <v>3301</v>
      </c>
      <c r="L171" t="s">
        <v>3284</v>
      </c>
      <c r="AF171">
        <f t="shared" si="2"/>
        <v>42</v>
      </c>
    </row>
    <row r="172" spans="1:32" x14ac:dyDescent="0.25">
      <c r="A172" t="s">
        <v>3303</v>
      </c>
      <c r="B172">
        <v>1926</v>
      </c>
      <c r="C172" t="s">
        <v>3304</v>
      </c>
      <c r="D172" t="s">
        <v>3302</v>
      </c>
      <c r="L172" t="s">
        <v>3071</v>
      </c>
      <c r="M172" t="s">
        <v>3305</v>
      </c>
      <c r="N172" t="s">
        <v>878</v>
      </c>
      <c r="P172" t="s">
        <v>2944</v>
      </c>
      <c r="AA172" t="s">
        <v>28</v>
      </c>
      <c r="AC172" t="s">
        <v>28</v>
      </c>
      <c r="AF172">
        <f t="shared" si="2"/>
        <v>54</v>
      </c>
    </row>
    <row r="173" spans="1:32" x14ac:dyDescent="0.25">
      <c r="A173" t="s">
        <v>3306</v>
      </c>
      <c r="B173">
        <v>1926</v>
      </c>
      <c r="C173" t="s">
        <v>3307</v>
      </c>
      <c r="D173" t="s">
        <v>3302</v>
      </c>
      <c r="L173" t="s">
        <v>3308</v>
      </c>
      <c r="M173" t="s">
        <v>3309</v>
      </c>
      <c r="N173" t="s">
        <v>392</v>
      </c>
      <c r="O173" t="s">
        <v>68</v>
      </c>
      <c r="P173" t="s">
        <v>3310</v>
      </c>
      <c r="AA173" t="s">
        <v>68</v>
      </c>
      <c r="AC173" t="s">
        <v>28</v>
      </c>
      <c r="AE173">
        <v>1</v>
      </c>
      <c r="AF173">
        <f t="shared" si="2"/>
        <v>59</v>
      </c>
    </row>
    <row r="174" spans="1:32" x14ac:dyDescent="0.25">
      <c r="A174" t="s">
        <v>3311</v>
      </c>
      <c r="B174">
        <v>1926</v>
      </c>
      <c r="C174" t="s">
        <v>3312</v>
      </c>
      <c r="D174" t="s">
        <v>3313</v>
      </c>
      <c r="L174" t="s">
        <v>3314</v>
      </c>
      <c r="AF174">
        <f t="shared" si="2"/>
        <v>43</v>
      </c>
    </row>
    <row r="175" spans="1:32" x14ac:dyDescent="0.25">
      <c r="A175" t="s">
        <v>3315</v>
      </c>
      <c r="B175">
        <v>1926</v>
      </c>
      <c r="C175" t="s">
        <v>3316</v>
      </c>
      <c r="D175" t="s">
        <v>3317</v>
      </c>
      <c r="L175" t="s">
        <v>3318</v>
      </c>
      <c r="M175" t="s">
        <v>3319</v>
      </c>
      <c r="N175" t="s">
        <v>1260</v>
      </c>
      <c r="P175" t="s">
        <v>3320</v>
      </c>
      <c r="AC175" t="s">
        <v>28</v>
      </c>
      <c r="AF175">
        <f t="shared" si="2"/>
        <v>64</v>
      </c>
    </row>
    <row r="176" spans="1:32" x14ac:dyDescent="0.25">
      <c r="A176" t="s">
        <v>3321</v>
      </c>
      <c r="B176">
        <v>1926</v>
      </c>
      <c r="C176" t="s">
        <v>3322</v>
      </c>
      <c r="D176" t="s">
        <v>3323</v>
      </c>
      <c r="L176" t="s">
        <v>3324</v>
      </c>
      <c r="AF176">
        <f t="shared" si="2"/>
        <v>30</v>
      </c>
    </row>
    <row r="177" spans="1:32" x14ac:dyDescent="0.25">
      <c r="A177" t="s">
        <v>3325</v>
      </c>
      <c r="B177">
        <v>1926</v>
      </c>
      <c r="C177" t="s">
        <v>3326</v>
      </c>
      <c r="D177" t="s">
        <v>3323</v>
      </c>
      <c r="L177" t="s">
        <v>3327</v>
      </c>
      <c r="M177" t="s">
        <v>3328</v>
      </c>
      <c r="N177" t="s">
        <v>392</v>
      </c>
      <c r="P177" t="s">
        <v>2944</v>
      </c>
      <c r="AA177" t="s">
        <v>28</v>
      </c>
      <c r="AF177">
        <f t="shared" si="2"/>
        <v>51</v>
      </c>
    </row>
    <row r="178" spans="1:32" x14ac:dyDescent="0.25">
      <c r="A178" t="s">
        <v>3329</v>
      </c>
      <c r="B178">
        <v>1926</v>
      </c>
      <c r="C178" t="s">
        <v>3330</v>
      </c>
      <c r="D178" t="s">
        <v>3257</v>
      </c>
      <c r="L178" t="s">
        <v>3318</v>
      </c>
      <c r="M178" t="s">
        <v>3331</v>
      </c>
      <c r="N178" t="s">
        <v>210</v>
      </c>
      <c r="P178" t="s">
        <v>3332</v>
      </c>
      <c r="AF178">
        <f t="shared" si="2"/>
        <v>86</v>
      </c>
    </row>
    <row r="179" spans="1:32" x14ac:dyDescent="0.25">
      <c r="A179" t="s">
        <v>3333</v>
      </c>
      <c r="B179">
        <v>1926</v>
      </c>
      <c r="C179" t="s">
        <v>3334</v>
      </c>
      <c r="D179" t="s">
        <v>3335</v>
      </c>
      <c r="L179" t="s">
        <v>3287</v>
      </c>
      <c r="AF179">
        <f t="shared" si="2"/>
        <v>49</v>
      </c>
    </row>
    <row r="180" spans="1:32" x14ac:dyDescent="0.25">
      <c r="A180" t="s">
        <v>3336</v>
      </c>
      <c r="B180">
        <v>1926</v>
      </c>
      <c r="C180" t="s">
        <v>3337</v>
      </c>
      <c r="D180" t="s">
        <v>3335</v>
      </c>
      <c r="L180" t="s">
        <v>3338</v>
      </c>
      <c r="Y180" t="s">
        <v>28</v>
      </c>
      <c r="AF180">
        <f t="shared" si="2"/>
        <v>55</v>
      </c>
    </row>
    <row r="181" spans="1:32" x14ac:dyDescent="0.25">
      <c r="A181" t="s">
        <v>3339</v>
      </c>
      <c r="B181">
        <v>1926</v>
      </c>
      <c r="C181" t="s">
        <v>3340</v>
      </c>
      <c r="D181" t="s">
        <v>3335</v>
      </c>
      <c r="L181" t="s">
        <v>3287</v>
      </c>
      <c r="M181" t="s">
        <v>445</v>
      </c>
      <c r="N181" t="s">
        <v>3341</v>
      </c>
      <c r="P181" t="s">
        <v>3232</v>
      </c>
      <c r="AC181" t="s">
        <v>28</v>
      </c>
      <c r="AF181">
        <f t="shared" si="2"/>
        <v>65</v>
      </c>
    </row>
    <row r="182" spans="1:32" x14ac:dyDescent="0.25">
      <c r="A182" t="s">
        <v>3342</v>
      </c>
      <c r="B182">
        <v>1926</v>
      </c>
      <c r="C182" t="s">
        <v>3343</v>
      </c>
      <c r="D182" t="s">
        <v>3335</v>
      </c>
      <c r="L182" t="s">
        <v>3287</v>
      </c>
      <c r="M182" t="s">
        <v>3344</v>
      </c>
      <c r="N182" t="s">
        <v>23</v>
      </c>
      <c r="P182" t="s">
        <v>3345</v>
      </c>
      <c r="AC182" t="s">
        <v>28</v>
      </c>
      <c r="AF182">
        <f t="shared" si="2"/>
        <v>71</v>
      </c>
    </row>
    <row r="183" spans="1:32" x14ac:dyDescent="0.25">
      <c r="A183" t="s">
        <v>3346</v>
      </c>
      <c r="B183">
        <v>1926</v>
      </c>
      <c r="C183" t="s">
        <v>3347</v>
      </c>
      <c r="D183" t="s">
        <v>3348</v>
      </c>
      <c r="L183" t="s">
        <v>112</v>
      </c>
      <c r="R183" t="s">
        <v>28</v>
      </c>
      <c r="AF183">
        <f t="shared" si="2"/>
        <v>30</v>
      </c>
    </row>
    <row r="184" spans="1:32" x14ac:dyDescent="0.25">
      <c r="A184" t="s">
        <v>3349</v>
      </c>
      <c r="B184">
        <v>1926</v>
      </c>
      <c r="C184" t="s">
        <v>3350</v>
      </c>
      <c r="D184" t="s">
        <v>3348</v>
      </c>
      <c r="L184" t="s">
        <v>3351</v>
      </c>
      <c r="AF184">
        <f t="shared" si="2"/>
        <v>34</v>
      </c>
    </row>
    <row r="185" spans="1:32" x14ac:dyDescent="0.25">
      <c r="A185" t="s">
        <v>3352</v>
      </c>
      <c r="B185">
        <v>1926</v>
      </c>
      <c r="C185" t="s">
        <v>3165</v>
      </c>
      <c r="D185" t="s">
        <v>3348</v>
      </c>
      <c r="I185" t="s">
        <v>3167</v>
      </c>
      <c r="L185" t="s">
        <v>112</v>
      </c>
      <c r="AF185">
        <f t="shared" si="2"/>
        <v>46</v>
      </c>
    </row>
    <row r="186" spans="1:32" x14ac:dyDescent="0.25">
      <c r="A186" t="s">
        <v>3353</v>
      </c>
      <c r="B186">
        <v>1926</v>
      </c>
      <c r="C186" t="s">
        <v>3354</v>
      </c>
      <c r="D186" t="s">
        <v>3348</v>
      </c>
      <c r="L186" t="s">
        <v>3351</v>
      </c>
      <c r="M186" t="s">
        <v>3355</v>
      </c>
      <c r="N186" t="s">
        <v>1631</v>
      </c>
      <c r="P186" t="s">
        <v>3195</v>
      </c>
      <c r="AA186" t="s">
        <v>28</v>
      </c>
      <c r="AF186">
        <f t="shared" si="2"/>
        <v>52</v>
      </c>
    </row>
    <row r="187" spans="1:32" x14ac:dyDescent="0.25">
      <c r="A187" t="s">
        <v>3356</v>
      </c>
      <c r="B187">
        <v>1926</v>
      </c>
      <c r="C187" t="s">
        <v>3357</v>
      </c>
      <c r="D187" t="s">
        <v>3348</v>
      </c>
      <c r="L187" t="s">
        <v>3351</v>
      </c>
      <c r="M187" t="s">
        <v>3358</v>
      </c>
      <c r="N187" t="s">
        <v>3359</v>
      </c>
      <c r="O187" t="s">
        <v>1631</v>
      </c>
      <c r="P187" t="s">
        <v>3232</v>
      </c>
      <c r="AB187" t="s">
        <v>28</v>
      </c>
      <c r="AC187" t="s">
        <v>28</v>
      </c>
      <c r="AF187">
        <f t="shared" si="2"/>
        <v>51</v>
      </c>
    </row>
    <row r="188" spans="1:32" x14ac:dyDescent="0.25">
      <c r="A188" t="s">
        <v>3360</v>
      </c>
      <c r="B188">
        <v>1926</v>
      </c>
      <c r="C188" t="s">
        <v>3361</v>
      </c>
      <c r="D188" t="s">
        <v>3362</v>
      </c>
      <c r="K188" t="s">
        <v>3361</v>
      </c>
      <c r="L188" t="s">
        <v>112</v>
      </c>
      <c r="AF188">
        <f t="shared" si="2"/>
        <v>85</v>
      </c>
    </row>
    <row r="189" spans="1:32" x14ac:dyDescent="0.25">
      <c r="A189" t="s">
        <v>3360</v>
      </c>
      <c r="B189">
        <v>1926</v>
      </c>
      <c r="C189" t="s">
        <v>3361</v>
      </c>
      <c r="D189" t="s">
        <v>3362</v>
      </c>
      <c r="K189" t="s">
        <v>3361</v>
      </c>
      <c r="L189" t="s">
        <v>112</v>
      </c>
      <c r="AF189">
        <f t="shared" si="2"/>
        <v>85</v>
      </c>
    </row>
    <row r="190" spans="1:32" x14ac:dyDescent="0.25">
      <c r="A190" t="s">
        <v>3363</v>
      </c>
      <c r="B190">
        <v>1926</v>
      </c>
      <c r="C190" t="s">
        <v>3364</v>
      </c>
      <c r="D190" t="s">
        <v>3362</v>
      </c>
      <c r="F190" t="s">
        <v>3364</v>
      </c>
      <c r="L190" t="s">
        <v>112</v>
      </c>
      <c r="AF190">
        <f t="shared" si="2"/>
        <v>67</v>
      </c>
    </row>
    <row r="191" spans="1:32" x14ac:dyDescent="0.25">
      <c r="A191" t="s">
        <v>3363</v>
      </c>
      <c r="B191">
        <v>1926</v>
      </c>
      <c r="C191" t="s">
        <v>3365</v>
      </c>
      <c r="D191" t="s">
        <v>3362</v>
      </c>
      <c r="G191" t="s">
        <v>3365</v>
      </c>
      <c r="L191" t="s">
        <v>112</v>
      </c>
      <c r="AF191">
        <f t="shared" si="2"/>
        <v>229</v>
      </c>
    </row>
    <row r="192" spans="1:32" x14ac:dyDescent="0.25">
      <c r="A192" t="s">
        <v>3363</v>
      </c>
      <c r="B192">
        <v>1926</v>
      </c>
      <c r="C192" t="s">
        <v>3364</v>
      </c>
      <c r="D192" t="s">
        <v>3362</v>
      </c>
      <c r="F192" t="s">
        <v>3364</v>
      </c>
      <c r="L192" t="s">
        <v>112</v>
      </c>
      <c r="AF192">
        <f t="shared" si="2"/>
        <v>67</v>
      </c>
    </row>
    <row r="193" spans="1:32" x14ac:dyDescent="0.25">
      <c r="A193" t="s">
        <v>3366</v>
      </c>
      <c r="B193">
        <v>1926</v>
      </c>
      <c r="C193" t="s">
        <v>3367</v>
      </c>
      <c r="D193" t="s">
        <v>3362</v>
      </c>
      <c r="J193" t="s">
        <v>3368</v>
      </c>
      <c r="L193" t="s">
        <v>112</v>
      </c>
      <c r="AF193">
        <f t="shared" si="2"/>
        <v>73</v>
      </c>
    </row>
    <row r="194" spans="1:32" x14ac:dyDescent="0.25">
      <c r="A194" t="s">
        <v>3366</v>
      </c>
      <c r="B194">
        <v>1926</v>
      </c>
      <c r="C194" t="s">
        <v>3367</v>
      </c>
      <c r="D194" t="s">
        <v>3362</v>
      </c>
      <c r="J194" t="s">
        <v>3368</v>
      </c>
      <c r="L194" t="s">
        <v>112</v>
      </c>
      <c r="AF194">
        <f t="shared" si="2"/>
        <v>73</v>
      </c>
    </row>
    <row r="195" spans="1:32" x14ac:dyDescent="0.25">
      <c r="A195" t="s">
        <v>3369</v>
      </c>
      <c r="B195">
        <v>1926</v>
      </c>
      <c r="C195" t="s">
        <v>3370</v>
      </c>
      <c r="D195" t="s">
        <v>3362</v>
      </c>
      <c r="L195" t="s">
        <v>3071</v>
      </c>
      <c r="M195" t="s">
        <v>3371</v>
      </c>
      <c r="N195" t="s">
        <v>3372</v>
      </c>
      <c r="P195" t="s">
        <v>3320</v>
      </c>
      <c r="AA195" t="s">
        <v>28</v>
      </c>
      <c r="AF195">
        <f t="shared" ref="AF195:AF258" si="3">LEN(D195)+LEN(E195)+LEN(F195)+LEN(G195)+LEN(H195)+LEN(I195)+LEN(J195)+LEN(K195)+LEN(L195)+LEN(M195)+LEN(N195)+LEN(O195)+LEN(P195)</f>
        <v>71</v>
      </c>
    </row>
    <row r="196" spans="1:32" x14ac:dyDescent="0.25">
      <c r="A196" t="s">
        <v>3373</v>
      </c>
      <c r="B196">
        <v>1926</v>
      </c>
      <c r="C196" t="s">
        <v>3374</v>
      </c>
      <c r="D196" t="s">
        <v>3375</v>
      </c>
      <c r="L196" t="s">
        <v>3376</v>
      </c>
      <c r="AA196" t="s">
        <v>28</v>
      </c>
      <c r="AB196" t="s">
        <v>28</v>
      </c>
      <c r="AC196" t="s">
        <v>28</v>
      </c>
      <c r="AD196" t="s">
        <v>28</v>
      </c>
      <c r="AF196">
        <f t="shared" si="3"/>
        <v>45</v>
      </c>
    </row>
    <row r="197" spans="1:32" x14ac:dyDescent="0.25">
      <c r="A197" t="s">
        <v>3377</v>
      </c>
      <c r="B197">
        <v>1926</v>
      </c>
      <c r="C197" t="s">
        <v>3378</v>
      </c>
      <c r="D197" t="s">
        <v>3379</v>
      </c>
      <c r="K197" t="s">
        <v>3378</v>
      </c>
      <c r="L197" t="s">
        <v>112</v>
      </c>
      <c r="AF197">
        <f t="shared" si="3"/>
        <v>69</v>
      </c>
    </row>
    <row r="198" spans="1:32" x14ac:dyDescent="0.25">
      <c r="A198" t="s">
        <v>3380</v>
      </c>
      <c r="B198">
        <v>1926</v>
      </c>
      <c r="C198" t="s">
        <v>3381</v>
      </c>
      <c r="D198" t="s">
        <v>3379</v>
      </c>
      <c r="L198" t="s">
        <v>3248</v>
      </c>
      <c r="Y198" t="s">
        <v>28</v>
      </c>
      <c r="AF198">
        <f t="shared" si="3"/>
        <v>54</v>
      </c>
    </row>
    <row r="199" spans="1:32" x14ac:dyDescent="0.25">
      <c r="A199" t="s">
        <v>3382</v>
      </c>
      <c r="B199">
        <v>1926</v>
      </c>
      <c r="C199" t="s">
        <v>3350</v>
      </c>
      <c r="D199" t="s">
        <v>3383</v>
      </c>
      <c r="L199" t="s">
        <v>3351</v>
      </c>
      <c r="AF199">
        <f t="shared" si="3"/>
        <v>40</v>
      </c>
    </row>
    <row r="200" spans="1:32" x14ac:dyDescent="0.25">
      <c r="A200" t="s">
        <v>3384</v>
      </c>
      <c r="B200">
        <v>1926</v>
      </c>
      <c r="C200" t="s">
        <v>3385</v>
      </c>
      <c r="D200" t="s">
        <v>3386</v>
      </c>
      <c r="F200" t="s">
        <v>3385</v>
      </c>
      <c r="L200" t="s">
        <v>112</v>
      </c>
      <c r="AF200">
        <f t="shared" si="3"/>
        <v>62</v>
      </c>
    </row>
    <row r="201" spans="1:32" x14ac:dyDescent="0.25">
      <c r="A201" t="s">
        <v>3387</v>
      </c>
      <c r="B201">
        <v>1926</v>
      </c>
      <c r="C201" t="s">
        <v>3388</v>
      </c>
      <c r="D201" t="s">
        <v>3386</v>
      </c>
      <c r="L201" t="s">
        <v>3071</v>
      </c>
      <c r="M201" t="s">
        <v>3389</v>
      </c>
      <c r="N201" t="s">
        <v>2980</v>
      </c>
      <c r="P201" t="s">
        <v>3390</v>
      </c>
      <c r="AA201" t="s">
        <v>28</v>
      </c>
      <c r="AC201" t="s">
        <v>28</v>
      </c>
      <c r="AF201">
        <f t="shared" si="3"/>
        <v>74</v>
      </c>
    </row>
    <row r="202" spans="1:32" x14ac:dyDescent="0.25">
      <c r="A202" t="s">
        <v>3391</v>
      </c>
      <c r="B202">
        <v>1926</v>
      </c>
      <c r="C202" t="s">
        <v>3392</v>
      </c>
      <c r="D202" t="s">
        <v>3393</v>
      </c>
      <c r="L202" t="s">
        <v>3394</v>
      </c>
      <c r="AF202">
        <f t="shared" si="3"/>
        <v>60</v>
      </c>
    </row>
    <row r="203" spans="1:32" x14ac:dyDescent="0.25">
      <c r="A203" t="s">
        <v>3395</v>
      </c>
      <c r="B203">
        <v>1926</v>
      </c>
      <c r="C203" t="s">
        <v>3396</v>
      </c>
      <c r="D203" t="s">
        <v>3397</v>
      </c>
      <c r="L203" t="s">
        <v>112</v>
      </c>
      <c r="R203" t="s">
        <v>28</v>
      </c>
      <c r="AF203">
        <f t="shared" si="3"/>
        <v>39</v>
      </c>
    </row>
    <row r="204" spans="1:32" x14ac:dyDescent="0.25">
      <c r="A204" t="s">
        <v>3398</v>
      </c>
      <c r="B204">
        <v>1926</v>
      </c>
      <c r="C204" t="s">
        <v>3399</v>
      </c>
      <c r="D204" t="s">
        <v>3397</v>
      </c>
      <c r="L204" t="s">
        <v>3351</v>
      </c>
      <c r="AF204">
        <f t="shared" si="3"/>
        <v>43</v>
      </c>
    </row>
    <row r="205" spans="1:32" x14ac:dyDescent="0.25">
      <c r="A205" t="s">
        <v>3400</v>
      </c>
      <c r="B205">
        <v>1926</v>
      </c>
      <c r="C205" t="s">
        <v>3350</v>
      </c>
      <c r="D205" t="s">
        <v>3397</v>
      </c>
      <c r="L205" t="s">
        <v>3351</v>
      </c>
      <c r="AF205">
        <f t="shared" si="3"/>
        <v>43</v>
      </c>
    </row>
    <row r="206" spans="1:32" x14ac:dyDescent="0.25">
      <c r="A206" t="s">
        <v>3401</v>
      </c>
      <c r="B206">
        <v>1926</v>
      </c>
      <c r="C206" t="s">
        <v>3402</v>
      </c>
      <c r="D206" t="s">
        <v>3397</v>
      </c>
      <c r="L206" t="s">
        <v>3403</v>
      </c>
      <c r="M206" t="s">
        <v>3404</v>
      </c>
      <c r="N206" t="s">
        <v>3405</v>
      </c>
      <c r="P206" t="s">
        <v>1390</v>
      </c>
      <c r="AA206" t="s">
        <v>28</v>
      </c>
      <c r="AF206">
        <f t="shared" si="3"/>
        <v>74</v>
      </c>
    </row>
    <row r="207" spans="1:32" x14ac:dyDescent="0.25">
      <c r="A207" t="s">
        <v>3406</v>
      </c>
      <c r="B207">
        <v>1926</v>
      </c>
      <c r="C207" t="s">
        <v>3407</v>
      </c>
      <c r="D207" t="s">
        <v>3397</v>
      </c>
      <c r="L207" t="s">
        <v>3351</v>
      </c>
      <c r="M207" t="s">
        <v>3408</v>
      </c>
      <c r="N207" t="s">
        <v>391</v>
      </c>
      <c r="P207" t="s">
        <v>2815</v>
      </c>
      <c r="AA207" t="s">
        <v>28</v>
      </c>
      <c r="AC207" t="s">
        <v>28</v>
      </c>
      <c r="AF207">
        <f t="shared" si="3"/>
        <v>61</v>
      </c>
    </row>
    <row r="208" spans="1:32" x14ac:dyDescent="0.25">
      <c r="A208" t="s">
        <v>3409</v>
      </c>
      <c r="B208">
        <v>1926</v>
      </c>
      <c r="C208" t="s">
        <v>3410</v>
      </c>
      <c r="D208" t="s">
        <v>3411</v>
      </c>
      <c r="G208" t="s">
        <v>3410</v>
      </c>
      <c r="L208" t="s">
        <v>3412</v>
      </c>
      <c r="AF208">
        <f t="shared" si="3"/>
        <v>322</v>
      </c>
    </row>
    <row r="209" spans="1:32" x14ac:dyDescent="0.25">
      <c r="A209" t="s">
        <v>3413</v>
      </c>
      <c r="B209">
        <v>1926</v>
      </c>
      <c r="C209" t="s">
        <v>3414</v>
      </c>
      <c r="D209" t="s">
        <v>3415</v>
      </c>
      <c r="K209" t="s">
        <v>3414</v>
      </c>
      <c r="L209" t="s">
        <v>3412</v>
      </c>
      <c r="Q209" t="s">
        <v>68</v>
      </c>
      <c r="AE209">
        <v>1</v>
      </c>
      <c r="AF209">
        <f t="shared" si="3"/>
        <v>83</v>
      </c>
    </row>
    <row r="210" spans="1:32" x14ac:dyDescent="0.25">
      <c r="A210" t="s">
        <v>3416</v>
      </c>
      <c r="B210">
        <v>1926</v>
      </c>
      <c r="C210" t="s">
        <v>3417</v>
      </c>
      <c r="D210" t="s">
        <v>3415</v>
      </c>
      <c r="L210" t="s">
        <v>3418</v>
      </c>
      <c r="Q210" t="s">
        <v>68</v>
      </c>
      <c r="Y210" t="s">
        <v>28</v>
      </c>
      <c r="AE210">
        <v>1</v>
      </c>
      <c r="AF210">
        <f t="shared" si="3"/>
        <v>52</v>
      </c>
    </row>
    <row r="211" spans="1:32" x14ac:dyDescent="0.25">
      <c r="A211" t="s">
        <v>3419</v>
      </c>
      <c r="B211">
        <v>1926</v>
      </c>
      <c r="C211" t="s">
        <v>3420</v>
      </c>
      <c r="D211" t="s">
        <v>3415</v>
      </c>
      <c r="L211" t="s">
        <v>3071</v>
      </c>
      <c r="M211" t="s">
        <v>3421</v>
      </c>
      <c r="N211" t="s">
        <v>2117</v>
      </c>
      <c r="P211" t="s">
        <v>2944</v>
      </c>
      <c r="Q211" t="s">
        <v>68</v>
      </c>
      <c r="AA211" t="s">
        <v>28</v>
      </c>
      <c r="AC211" t="s">
        <v>28</v>
      </c>
      <c r="AE211">
        <v>1</v>
      </c>
      <c r="AF211">
        <f t="shared" si="3"/>
        <v>71</v>
      </c>
    </row>
    <row r="212" spans="1:32" x14ac:dyDescent="0.25">
      <c r="A212" t="s">
        <v>3422</v>
      </c>
      <c r="B212">
        <v>1926</v>
      </c>
      <c r="C212" t="s">
        <v>3423</v>
      </c>
      <c r="D212" t="s">
        <v>3415</v>
      </c>
      <c r="L212" t="s">
        <v>3071</v>
      </c>
      <c r="M212" t="s">
        <v>3424</v>
      </c>
      <c r="N212" t="s">
        <v>1631</v>
      </c>
      <c r="P212" t="s">
        <v>3425</v>
      </c>
      <c r="Q212" t="s">
        <v>68</v>
      </c>
      <c r="AA212" t="s">
        <v>28</v>
      </c>
      <c r="AE212">
        <v>1</v>
      </c>
      <c r="AF212">
        <f t="shared" si="3"/>
        <v>68</v>
      </c>
    </row>
    <row r="213" spans="1:32" x14ac:dyDescent="0.25">
      <c r="A213" t="s">
        <v>3422</v>
      </c>
      <c r="B213">
        <v>1926</v>
      </c>
      <c r="C213" t="s">
        <v>3423</v>
      </c>
      <c r="D213" t="s">
        <v>3415</v>
      </c>
      <c r="L213" t="s">
        <v>3071</v>
      </c>
      <c r="M213" t="s">
        <v>3424</v>
      </c>
      <c r="N213" t="s">
        <v>1631</v>
      </c>
      <c r="P213" t="s">
        <v>3425</v>
      </c>
      <c r="Q213" t="s">
        <v>68</v>
      </c>
      <c r="AA213" t="s">
        <v>28</v>
      </c>
      <c r="AE213">
        <v>1</v>
      </c>
      <c r="AF213">
        <f t="shared" si="3"/>
        <v>68</v>
      </c>
    </row>
    <row r="214" spans="1:32" x14ac:dyDescent="0.25">
      <c r="A214" t="s">
        <v>3426</v>
      </c>
      <c r="B214">
        <v>1926</v>
      </c>
      <c r="C214" t="s">
        <v>3427</v>
      </c>
      <c r="D214" t="s">
        <v>3428</v>
      </c>
      <c r="L214" t="s">
        <v>3192</v>
      </c>
      <c r="M214" t="s">
        <v>3429</v>
      </c>
      <c r="N214" t="s">
        <v>1389</v>
      </c>
      <c r="P214" t="s">
        <v>3016</v>
      </c>
      <c r="AA214" t="s">
        <v>28</v>
      </c>
      <c r="AC214" t="s">
        <v>28</v>
      </c>
      <c r="AF214">
        <f t="shared" si="3"/>
        <v>60</v>
      </c>
    </row>
    <row r="215" spans="1:32" x14ac:dyDescent="0.25">
      <c r="A215" t="s">
        <v>3430</v>
      </c>
      <c r="B215">
        <v>1926</v>
      </c>
      <c r="C215" t="s">
        <v>3431</v>
      </c>
      <c r="D215" t="s">
        <v>3428</v>
      </c>
      <c r="L215" t="s">
        <v>3432</v>
      </c>
      <c r="M215" t="s">
        <v>3433</v>
      </c>
      <c r="N215" t="s">
        <v>3434</v>
      </c>
      <c r="P215" t="s">
        <v>3435</v>
      </c>
      <c r="AF215">
        <f t="shared" si="3"/>
        <v>63</v>
      </c>
    </row>
    <row r="216" spans="1:32" x14ac:dyDescent="0.25">
      <c r="A216" t="s">
        <v>3436</v>
      </c>
      <c r="B216">
        <v>1926</v>
      </c>
      <c r="C216" t="s">
        <v>3437</v>
      </c>
      <c r="D216" t="s">
        <v>3438</v>
      </c>
      <c r="L216" t="s">
        <v>3439</v>
      </c>
      <c r="Y216" t="s">
        <v>28</v>
      </c>
      <c r="AF216">
        <f t="shared" si="3"/>
        <v>51</v>
      </c>
    </row>
    <row r="217" spans="1:32" x14ac:dyDescent="0.25">
      <c r="A217" t="s">
        <v>3440</v>
      </c>
      <c r="B217">
        <v>1926</v>
      </c>
      <c r="C217" t="s">
        <v>3441</v>
      </c>
      <c r="D217" t="s">
        <v>3442</v>
      </c>
      <c r="L217" t="s">
        <v>3443</v>
      </c>
      <c r="Y217" t="s">
        <v>68</v>
      </c>
      <c r="AE217">
        <v>2</v>
      </c>
      <c r="AF217">
        <f t="shared" si="3"/>
        <v>42</v>
      </c>
    </row>
    <row r="218" spans="1:32" x14ac:dyDescent="0.25">
      <c r="A218" t="s">
        <v>3444</v>
      </c>
      <c r="B218">
        <v>1926</v>
      </c>
      <c r="C218" t="s">
        <v>3441</v>
      </c>
      <c r="D218" t="s">
        <v>3445</v>
      </c>
      <c r="L218" t="s">
        <v>3443</v>
      </c>
      <c r="Y218" t="s">
        <v>68</v>
      </c>
      <c r="AE218">
        <v>2</v>
      </c>
      <c r="AF218">
        <f t="shared" si="3"/>
        <v>44</v>
      </c>
    </row>
    <row r="219" spans="1:32" x14ac:dyDescent="0.25">
      <c r="A219" t="s">
        <v>3446</v>
      </c>
      <c r="B219">
        <v>1926</v>
      </c>
      <c r="C219" t="s">
        <v>3447</v>
      </c>
      <c r="D219" t="s">
        <v>3445</v>
      </c>
      <c r="L219" t="s">
        <v>3448</v>
      </c>
      <c r="AA219" t="s">
        <v>28</v>
      </c>
      <c r="AB219" t="s">
        <v>28</v>
      </c>
      <c r="AC219" t="s">
        <v>28</v>
      </c>
      <c r="AD219" t="s">
        <v>28</v>
      </c>
      <c r="AF219">
        <f t="shared" si="3"/>
        <v>42</v>
      </c>
    </row>
    <row r="220" spans="1:32" x14ac:dyDescent="0.25">
      <c r="A220" t="s">
        <v>3449</v>
      </c>
      <c r="B220">
        <v>1926</v>
      </c>
      <c r="C220" t="s">
        <v>3450</v>
      </c>
      <c r="D220" t="s">
        <v>3445</v>
      </c>
      <c r="L220" t="s">
        <v>3451</v>
      </c>
      <c r="M220" t="s">
        <v>3452</v>
      </c>
      <c r="N220" t="s">
        <v>3453</v>
      </c>
      <c r="O220" t="s">
        <v>3454</v>
      </c>
      <c r="P220" t="s">
        <v>2815</v>
      </c>
      <c r="AB220" t="s">
        <v>68</v>
      </c>
      <c r="AC220" t="s">
        <v>28</v>
      </c>
      <c r="AE220">
        <v>2</v>
      </c>
      <c r="AF220">
        <f t="shared" si="3"/>
        <v>70</v>
      </c>
    </row>
    <row r="221" spans="1:32" x14ac:dyDescent="0.25">
      <c r="A221" t="s">
        <v>3455</v>
      </c>
      <c r="B221">
        <v>1926</v>
      </c>
      <c r="C221" t="s">
        <v>3456</v>
      </c>
      <c r="D221" t="s">
        <v>3457</v>
      </c>
      <c r="L221" t="s">
        <v>3458</v>
      </c>
      <c r="AF221">
        <f t="shared" si="3"/>
        <v>52</v>
      </c>
    </row>
    <row r="222" spans="1:32" x14ac:dyDescent="0.25">
      <c r="A222" t="s">
        <v>3459</v>
      </c>
      <c r="B222">
        <v>1926</v>
      </c>
      <c r="C222" t="s">
        <v>3460</v>
      </c>
      <c r="D222" t="s">
        <v>3461</v>
      </c>
      <c r="L222" t="s">
        <v>3462</v>
      </c>
      <c r="AF222">
        <f t="shared" si="3"/>
        <v>65</v>
      </c>
    </row>
    <row r="223" spans="1:32" x14ac:dyDescent="0.25">
      <c r="A223" t="s">
        <v>3463</v>
      </c>
      <c r="B223">
        <v>1926</v>
      </c>
      <c r="C223" t="s">
        <v>3464</v>
      </c>
      <c r="D223" t="s">
        <v>3461</v>
      </c>
      <c r="G223" t="s">
        <v>3464</v>
      </c>
      <c r="L223" t="s">
        <v>3465</v>
      </c>
      <c r="T223" t="s">
        <v>28</v>
      </c>
      <c r="AF223">
        <f t="shared" si="3"/>
        <v>104</v>
      </c>
    </row>
    <row r="224" spans="1:32" x14ac:dyDescent="0.25">
      <c r="A224" t="s">
        <v>3466</v>
      </c>
      <c r="B224">
        <v>1926</v>
      </c>
      <c r="C224" t="s">
        <v>3467</v>
      </c>
      <c r="D224" t="s">
        <v>3461</v>
      </c>
      <c r="L224" t="s">
        <v>2955</v>
      </c>
      <c r="M224" t="s">
        <v>1264</v>
      </c>
      <c r="N224" t="s">
        <v>3468</v>
      </c>
      <c r="P224" t="s">
        <v>3469</v>
      </c>
      <c r="AA224" t="s">
        <v>28</v>
      </c>
      <c r="AF224">
        <f t="shared" si="3"/>
        <v>84</v>
      </c>
    </row>
    <row r="225" spans="1:32" x14ac:dyDescent="0.25">
      <c r="A225" t="s">
        <v>3470</v>
      </c>
      <c r="B225">
        <v>1926</v>
      </c>
      <c r="C225" t="s">
        <v>3471</v>
      </c>
      <c r="D225" t="s">
        <v>3472</v>
      </c>
      <c r="F225" t="s">
        <v>3471</v>
      </c>
      <c r="L225" t="s">
        <v>3465</v>
      </c>
      <c r="AF225">
        <f t="shared" si="3"/>
        <v>48</v>
      </c>
    </row>
    <row r="226" spans="1:32" x14ac:dyDescent="0.25">
      <c r="A226" t="s">
        <v>3473</v>
      </c>
      <c r="B226">
        <v>1926</v>
      </c>
      <c r="C226" t="s">
        <v>3474</v>
      </c>
      <c r="D226" t="s">
        <v>3472</v>
      </c>
      <c r="L226" t="s">
        <v>3071</v>
      </c>
      <c r="M226" t="s">
        <v>3475</v>
      </c>
      <c r="N226" t="s">
        <v>3468</v>
      </c>
      <c r="O226" t="s">
        <v>3476</v>
      </c>
      <c r="P226" t="s">
        <v>2944</v>
      </c>
      <c r="AA226" t="s">
        <v>28</v>
      </c>
      <c r="AF226">
        <f t="shared" si="3"/>
        <v>65</v>
      </c>
    </row>
    <row r="227" spans="1:32" x14ac:dyDescent="0.25">
      <c r="A227" t="s">
        <v>3477</v>
      </c>
      <c r="B227">
        <v>1926</v>
      </c>
      <c r="C227" t="s">
        <v>3478</v>
      </c>
      <c r="D227" t="s">
        <v>3472</v>
      </c>
      <c r="L227" t="s">
        <v>2955</v>
      </c>
      <c r="M227" t="s">
        <v>3479</v>
      </c>
      <c r="N227" t="s">
        <v>2117</v>
      </c>
      <c r="P227" t="s">
        <v>3480</v>
      </c>
      <c r="AA227" t="s">
        <v>28</v>
      </c>
      <c r="AC227" t="s">
        <v>28</v>
      </c>
      <c r="AF227">
        <f t="shared" si="3"/>
        <v>60</v>
      </c>
    </row>
    <row r="228" spans="1:32" x14ac:dyDescent="0.25">
      <c r="A228" t="s">
        <v>3481</v>
      </c>
      <c r="B228">
        <v>1926</v>
      </c>
      <c r="C228" t="s">
        <v>3482</v>
      </c>
      <c r="D228" t="s">
        <v>3472</v>
      </c>
      <c r="L228" t="s">
        <v>3483</v>
      </c>
      <c r="M228" t="s">
        <v>3484</v>
      </c>
      <c r="N228" t="s">
        <v>3485</v>
      </c>
      <c r="P228" t="s">
        <v>3486</v>
      </c>
      <c r="AA228" t="s">
        <v>28</v>
      </c>
      <c r="AC228" t="s">
        <v>28</v>
      </c>
      <c r="AF228">
        <f t="shared" si="3"/>
        <v>62</v>
      </c>
    </row>
    <row r="229" spans="1:32" x14ac:dyDescent="0.25">
      <c r="A229" t="s">
        <v>3487</v>
      </c>
      <c r="B229">
        <v>1926</v>
      </c>
      <c r="C229" t="s">
        <v>3488</v>
      </c>
      <c r="D229" t="s">
        <v>3489</v>
      </c>
      <c r="L229" t="s">
        <v>2955</v>
      </c>
      <c r="AF229">
        <f t="shared" si="3"/>
        <v>58</v>
      </c>
    </row>
    <row r="230" spans="1:32" x14ac:dyDescent="0.25">
      <c r="A230" t="s">
        <v>3490</v>
      </c>
      <c r="B230">
        <v>1926</v>
      </c>
      <c r="C230" t="s">
        <v>3491</v>
      </c>
      <c r="D230" t="s">
        <v>3492</v>
      </c>
      <c r="L230" t="s">
        <v>3493</v>
      </c>
      <c r="Y230" t="s">
        <v>28</v>
      </c>
      <c r="AF230">
        <f t="shared" si="3"/>
        <v>30</v>
      </c>
    </row>
    <row r="231" spans="1:32" x14ac:dyDescent="0.25">
      <c r="A231" t="s">
        <v>3494</v>
      </c>
      <c r="B231">
        <v>1926</v>
      </c>
      <c r="C231" t="s">
        <v>3495</v>
      </c>
      <c r="D231" t="s">
        <v>3496</v>
      </c>
      <c r="L231" t="s">
        <v>3497</v>
      </c>
      <c r="M231" t="s">
        <v>3498</v>
      </c>
      <c r="N231" t="s">
        <v>3499</v>
      </c>
      <c r="P231" t="s">
        <v>2944</v>
      </c>
      <c r="AA231" t="s">
        <v>28</v>
      </c>
      <c r="AF231">
        <f t="shared" si="3"/>
        <v>83</v>
      </c>
    </row>
    <row r="232" spans="1:32" x14ac:dyDescent="0.25">
      <c r="A232" t="s">
        <v>3500</v>
      </c>
      <c r="B232">
        <v>1926</v>
      </c>
      <c r="C232" t="s">
        <v>3501</v>
      </c>
      <c r="D232" t="s">
        <v>3496</v>
      </c>
      <c r="L232" t="s">
        <v>2955</v>
      </c>
      <c r="M232" t="s">
        <v>3498</v>
      </c>
      <c r="N232" t="s">
        <v>2117</v>
      </c>
      <c r="P232" t="s">
        <v>3502</v>
      </c>
      <c r="AA232" t="s">
        <v>28</v>
      </c>
      <c r="AF232">
        <f t="shared" si="3"/>
        <v>80</v>
      </c>
    </row>
    <row r="233" spans="1:32" x14ac:dyDescent="0.25">
      <c r="A233" t="s">
        <v>3503</v>
      </c>
      <c r="B233">
        <v>1926</v>
      </c>
      <c r="C233" t="s">
        <v>3504</v>
      </c>
      <c r="D233" t="s">
        <v>3505</v>
      </c>
      <c r="G233" t="s">
        <v>3504</v>
      </c>
      <c r="L233" t="s">
        <v>238</v>
      </c>
      <c r="T233" t="s">
        <v>28</v>
      </c>
      <c r="U233" t="s">
        <v>28</v>
      </c>
      <c r="AF233">
        <f t="shared" si="3"/>
        <v>145</v>
      </c>
    </row>
    <row r="234" spans="1:32" x14ac:dyDescent="0.25">
      <c r="A234" t="s">
        <v>3506</v>
      </c>
      <c r="B234">
        <v>1926</v>
      </c>
      <c r="C234" t="s">
        <v>3507</v>
      </c>
      <c r="D234" t="s">
        <v>3508</v>
      </c>
      <c r="L234" t="s">
        <v>238</v>
      </c>
      <c r="R234" t="s">
        <v>28</v>
      </c>
      <c r="AF234">
        <f t="shared" si="3"/>
        <v>31</v>
      </c>
    </row>
    <row r="235" spans="1:32" x14ac:dyDescent="0.25">
      <c r="A235" t="s">
        <v>3509</v>
      </c>
      <c r="B235">
        <v>1926</v>
      </c>
      <c r="C235" t="s">
        <v>3510</v>
      </c>
      <c r="D235" t="s">
        <v>3508</v>
      </c>
      <c r="L235" t="s">
        <v>3511</v>
      </c>
      <c r="M235" t="s">
        <v>3512</v>
      </c>
      <c r="N235" t="s">
        <v>3138</v>
      </c>
      <c r="P235" t="s">
        <v>2944</v>
      </c>
      <c r="AA235" t="s">
        <v>28</v>
      </c>
      <c r="AC235" t="s">
        <v>28</v>
      </c>
      <c r="AF235">
        <f t="shared" si="3"/>
        <v>65</v>
      </c>
    </row>
    <row r="236" spans="1:32" x14ac:dyDescent="0.25">
      <c r="A236" t="s">
        <v>3513</v>
      </c>
      <c r="B236">
        <v>1926</v>
      </c>
      <c r="C236" t="s">
        <v>3514</v>
      </c>
      <c r="D236" t="s">
        <v>3508</v>
      </c>
      <c r="L236" t="s">
        <v>3511</v>
      </c>
      <c r="M236" t="s">
        <v>3515</v>
      </c>
      <c r="N236" t="s">
        <v>3516</v>
      </c>
      <c r="P236" t="s">
        <v>3517</v>
      </c>
      <c r="AA236" t="s">
        <v>28</v>
      </c>
      <c r="AC236" t="s">
        <v>28</v>
      </c>
      <c r="AF236">
        <f t="shared" si="3"/>
        <v>59</v>
      </c>
    </row>
    <row r="237" spans="1:32" x14ac:dyDescent="0.25">
      <c r="A237" t="s">
        <v>3518</v>
      </c>
      <c r="B237">
        <v>1926</v>
      </c>
      <c r="C237" t="s">
        <v>3519</v>
      </c>
      <c r="D237" t="s">
        <v>3520</v>
      </c>
      <c r="L237" t="s">
        <v>3521</v>
      </c>
      <c r="Y237" t="s">
        <v>68</v>
      </c>
      <c r="AE237">
        <v>2</v>
      </c>
      <c r="AF237">
        <f t="shared" si="3"/>
        <v>37</v>
      </c>
    </row>
    <row r="238" spans="1:32" s="4" customFormat="1" x14ac:dyDescent="0.25">
      <c r="A238" s="4" t="s">
        <v>3522</v>
      </c>
      <c r="B238" s="4">
        <v>1926</v>
      </c>
      <c r="C238" s="4" t="s">
        <v>3523</v>
      </c>
      <c r="D238" s="4" t="s">
        <v>3520</v>
      </c>
      <c r="L238" s="4" t="s">
        <v>3071</v>
      </c>
      <c r="M238" s="4" t="s">
        <v>3524</v>
      </c>
      <c r="N238" s="4" t="s">
        <v>28</v>
      </c>
      <c r="P238" s="4" t="s">
        <v>2815</v>
      </c>
      <c r="AF238">
        <f t="shared" si="3"/>
        <v>53</v>
      </c>
    </row>
    <row r="239" spans="1:32" x14ac:dyDescent="0.25">
      <c r="A239" t="s">
        <v>3525</v>
      </c>
      <c r="B239">
        <v>1926</v>
      </c>
      <c r="C239" t="s">
        <v>3526</v>
      </c>
      <c r="D239" t="s">
        <v>3527</v>
      </c>
      <c r="L239" t="s">
        <v>3528</v>
      </c>
      <c r="AF239">
        <f t="shared" si="3"/>
        <v>45</v>
      </c>
    </row>
    <row r="240" spans="1:32" x14ac:dyDescent="0.25">
      <c r="A240" t="s">
        <v>3529</v>
      </c>
      <c r="B240">
        <v>1926</v>
      </c>
      <c r="C240" t="s">
        <v>3530</v>
      </c>
      <c r="D240" t="s">
        <v>3531</v>
      </c>
      <c r="L240" t="s">
        <v>3532</v>
      </c>
      <c r="AF240">
        <f t="shared" si="3"/>
        <v>46</v>
      </c>
    </row>
    <row r="241" spans="1:32" x14ac:dyDescent="0.25">
      <c r="A241" t="s">
        <v>3533</v>
      </c>
      <c r="B241">
        <v>1926</v>
      </c>
      <c r="C241" t="s">
        <v>2804</v>
      </c>
      <c r="D241" t="s">
        <v>3534</v>
      </c>
      <c r="J241" t="s">
        <v>2806</v>
      </c>
      <c r="L241" t="s">
        <v>3535</v>
      </c>
      <c r="AF241">
        <f t="shared" si="3"/>
        <v>64</v>
      </c>
    </row>
    <row r="242" spans="1:32" x14ac:dyDescent="0.25">
      <c r="A242" t="s">
        <v>3536</v>
      </c>
      <c r="B242">
        <v>1926</v>
      </c>
      <c r="C242" t="s">
        <v>3537</v>
      </c>
      <c r="D242" t="s">
        <v>3534</v>
      </c>
      <c r="I242" t="s">
        <v>3538</v>
      </c>
      <c r="L242" t="s">
        <v>3535</v>
      </c>
      <c r="AF242">
        <f t="shared" si="3"/>
        <v>66</v>
      </c>
    </row>
    <row r="243" spans="1:32" x14ac:dyDescent="0.25">
      <c r="A243" t="s">
        <v>3539</v>
      </c>
      <c r="B243">
        <v>1926</v>
      </c>
      <c r="C243" t="s">
        <v>3540</v>
      </c>
      <c r="D243" t="s">
        <v>3534</v>
      </c>
      <c r="L243" t="s">
        <v>3532</v>
      </c>
      <c r="M243" t="s">
        <v>3541</v>
      </c>
      <c r="N243" t="s">
        <v>1403</v>
      </c>
      <c r="P243" t="s">
        <v>3310</v>
      </c>
      <c r="AA243" t="s">
        <v>28</v>
      </c>
      <c r="AC243" t="s">
        <v>28</v>
      </c>
      <c r="AF243">
        <f t="shared" si="3"/>
        <v>56</v>
      </c>
    </row>
    <row r="244" spans="1:32" x14ac:dyDescent="0.25">
      <c r="A244" t="s">
        <v>3542</v>
      </c>
      <c r="B244">
        <v>1926</v>
      </c>
      <c r="C244" t="s">
        <v>3543</v>
      </c>
      <c r="D244" t="s">
        <v>3544</v>
      </c>
      <c r="L244" t="s">
        <v>3532</v>
      </c>
      <c r="AF244">
        <f t="shared" si="3"/>
        <v>50</v>
      </c>
    </row>
    <row r="245" spans="1:32" x14ac:dyDescent="0.25">
      <c r="A245" t="s">
        <v>3545</v>
      </c>
      <c r="B245">
        <v>1926</v>
      </c>
      <c r="C245" t="s">
        <v>3546</v>
      </c>
      <c r="D245" t="s">
        <v>3544</v>
      </c>
      <c r="L245" t="s">
        <v>3547</v>
      </c>
      <c r="Y245" t="s">
        <v>28</v>
      </c>
      <c r="AF245">
        <f t="shared" si="3"/>
        <v>67</v>
      </c>
    </row>
    <row r="246" spans="1:32" x14ac:dyDescent="0.25">
      <c r="A246" t="s">
        <v>3548</v>
      </c>
      <c r="B246">
        <v>1926</v>
      </c>
      <c r="C246" t="s">
        <v>3549</v>
      </c>
      <c r="D246" t="s">
        <v>3550</v>
      </c>
      <c r="G246" t="s">
        <v>3549</v>
      </c>
      <c r="L246" t="s">
        <v>3535</v>
      </c>
      <c r="T246" t="s">
        <v>28</v>
      </c>
      <c r="U246" t="s">
        <v>28</v>
      </c>
      <c r="AF246">
        <f t="shared" si="3"/>
        <v>107</v>
      </c>
    </row>
    <row r="247" spans="1:32" x14ac:dyDescent="0.25">
      <c r="A247" t="s">
        <v>3551</v>
      </c>
      <c r="B247">
        <v>1926</v>
      </c>
      <c r="C247" t="s">
        <v>3552</v>
      </c>
      <c r="D247" t="s">
        <v>3553</v>
      </c>
      <c r="K247" t="s">
        <v>3552</v>
      </c>
      <c r="L247" t="s">
        <v>3554</v>
      </c>
      <c r="AF247">
        <f t="shared" si="3"/>
        <v>50</v>
      </c>
    </row>
    <row r="248" spans="1:32" x14ac:dyDescent="0.25">
      <c r="A248" t="s">
        <v>3555</v>
      </c>
      <c r="B248">
        <v>1926</v>
      </c>
      <c r="C248" t="s">
        <v>3556</v>
      </c>
      <c r="D248" t="s">
        <v>3557</v>
      </c>
      <c r="F248" t="s">
        <v>3556</v>
      </c>
      <c r="L248" t="s">
        <v>3554</v>
      </c>
      <c r="AF248">
        <f t="shared" si="3"/>
        <v>47</v>
      </c>
    </row>
    <row r="249" spans="1:32" x14ac:dyDescent="0.25">
      <c r="A249" t="s">
        <v>3558</v>
      </c>
      <c r="B249">
        <v>1926</v>
      </c>
      <c r="C249" t="s">
        <v>3559</v>
      </c>
      <c r="D249" t="s">
        <v>3560</v>
      </c>
      <c r="L249" t="s">
        <v>3561</v>
      </c>
      <c r="AF249">
        <f t="shared" si="3"/>
        <v>47</v>
      </c>
    </row>
    <row r="250" spans="1:32" x14ac:dyDescent="0.25">
      <c r="A250" t="s">
        <v>3562</v>
      </c>
      <c r="B250">
        <v>1926</v>
      </c>
      <c r="C250" t="s">
        <v>3563</v>
      </c>
      <c r="D250" t="s">
        <v>3560</v>
      </c>
      <c r="L250" t="s">
        <v>3564</v>
      </c>
      <c r="M250" t="s">
        <v>3565</v>
      </c>
      <c r="N250" t="s">
        <v>321</v>
      </c>
      <c r="O250" t="s">
        <v>1596</v>
      </c>
      <c r="P250" t="s">
        <v>3566</v>
      </c>
      <c r="AA250" t="s">
        <v>28</v>
      </c>
      <c r="AC250" t="s">
        <v>28</v>
      </c>
      <c r="AF250">
        <f t="shared" si="3"/>
        <v>75</v>
      </c>
    </row>
    <row r="251" spans="1:32" x14ac:dyDescent="0.25">
      <c r="A251" t="s">
        <v>3567</v>
      </c>
      <c r="B251">
        <v>1926</v>
      </c>
      <c r="C251" t="s">
        <v>3568</v>
      </c>
      <c r="D251" t="s">
        <v>3560</v>
      </c>
      <c r="L251" t="s">
        <v>3569</v>
      </c>
      <c r="Y251" t="s">
        <v>28</v>
      </c>
      <c r="AA251" t="s">
        <v>28</v>
      </c>
      <c r="AB251" t="s">
        <v>28</v>
      </c>
      <c r="AC251" t="s">
        <v>28</v>
      </c>
      <c r="AD251" t="s">
        <v>28</v>
      </c>
      <c r="AF251">
        <f t="shared" si="3"/>
        <v>50</v>
      </c>
    </row>
    <row r="252" spans="1:32" x14ac:dyDescent="0.25">
      <c r="A252" t="s">
        <v>3570</v>
      </c>
      <c r="B252">
        <v>1926</v>
      </c>
      <c r="C252" t="s">
        <v>2878</v>
      </c>
      <c r="D252" t="s">
        <v>3571</v>
      </c>
      <c r="I252" t="s">
        <v>2880</v>
      </c>
      <c r="L252" t="s">
        <v>3554</v>
      </c>
      <c r="AF252">
        <f t="shared" si="3"/>
        <v>41</v>
      </c>
    </row>
    <row r="253" spans="1:32" x14ac:dyDescent="0.25">
      <c r="A253" t="s">
        <v>3572</v>
      </c>
      <c r="B253">
        <v>1926</v>
      </c>
      <c r="C253" t="s">
        <v>3573</v>
      </c>
      <c r="D253" t="s">
        <v>3574</v>
      </c>
      <c r="L253" t="s">
        <v>3575</v>
      </c>
      <c r="Y253" t="s">
        <v>28</v>
      </c>
      <c r="AF253">
        <f t="shared" si="3"/>
        <v>63</v>
      </c>
    </row>
    <row r="254" spans="1:32" x14ac:dyDescent="0.25">
      <c r="A254" t="s">
        <v>3576</v>
      </c>
      <c r="B254">
        <v>1926</v>
      </c>
      <c r="C254" t="s">
        <v>3577</v>
      </c>
      <c r="D254" t="s">
        <v>3578</v>
      </c>
      <c r="L254" t="s">
        <v>3579</v>
      </c>
      <c r="AF254">
        <f t="shared" si="3"/>
        <v>44</v>
      </c>
    </row>
    <row r="255" spans="1:32" x14ac:dyDescent="0.25">
      <c r="A255" t="s">
        <v>3580</v>
      </c>
      <c r="B255">
        <v>1926</v>
      </c>
      <c r="C255" t="s">
        <v>3100</v>
      </c>
      <c r="D255" t="s">
        <v>3578</v>
      </c>
      <c r="J255" t="s">
        <v>3101</v>
      </c>
      <c r="L255" t="s">
        <v>3554</v>
      </c>
      <c r="AF255">
        <f t="shared" si="3"/>
        <v>70</v>
      </c>
    </row>
    <row r="256" spans="1:32" x14ac:dyDescent="0.25">
      <c r="A256" t="s">
        <v>3580</v>
      </c>
      <c r="B256">
        <v>1926</v>
      </c>
      <c r="C256" t="s">
        <v>3100</v>
      </c>
      <c r="D256" t="s">
        <v>3578</v>
      </c>
      <c r="J256" t="s">
        <v>3101</v>
      </c>
      <c r="L256" t="s">
        <v>3554</v>
      </c>
      <c r="AF256">
        <f t="shared" si="3"/>
        <v>70</v>
      </c>
    </row>
    <row r="257" spans="1:32" x14ac:dyDescent="0.25">
      <c r="A257" t="s">
        <v>3581</v>
      </c>
      <c r="B257">
        <v>1926</v>
      </c>
      <c r="C257" t="s">
        <v>3582</v>
      </c>
      <c r="D257" t="s">
        <v>3578</v>
      </c>
      <c r="L257" t="s">
        <v>3579</v>
      </c>
      <c r="M257" t="s">
        <v>3583</v>
      </c>
      <c r="N257" t="s">
        <v>3584</v>
      </c>
      <c r="P257" t="s">
        <v>3585</v>
      </c>
      <c r="AF257">
        <f t="shared" si="3"/>
        <v>63</v>
      </c>
    </row>
    <row r="258" spans="1:32" x14ac:dyDescent="0.25">
      <c r="A258" t="s">
        <v>3586</v>
      </c>
      <c r="B258">
        <v>1926</v>
      </c>
      <c r="C258" t="s">
        <v>3587</v>
      </c>
      <c r="D258" t="s">
        <v>3588</v>
      </c>
      <c r="L258" t="s">
        <v>3589</v>
      </c>
      <c r="Y258" t="s">
        <v>28</v>
      </c>
      <c r="AF258">
        <f t="shared" si="3"/>
        <v>34</v>
      </c>
    </row>
    <row r="259" spans="1:32" x14ac:dyDescent="0.25">
      <c r="A259" t="s">
        <v>3586</v>
      </c>
      <c r="B259">
        <v>1926</v>
      </c>
      <c r="C259" t="s">
        <v>3587</v>
      </c>
      <c r="D259" t="s">
        <v>3588</v>
      </c>
      <c r="L259" t="s">
        <v>3589</v>
      </c>
      <c r="Y259" t="s">
        <v>28</v>
      </c>
      <c r="AF259">
        <f t="shared" ref="AF259:AF322" si="4">LEN(D259)+LEN(E259)+LEN(F259)+LEN(G259)+LEN(H259)+LEN(I259)+LEN(J259)+LEN(K259)+LEN(L259)+LEN(M259)+LEN(N259)+LEN(O259)+LEN(P259)</f>
        <v>34</v>
      </c>
    </row>
    <row r="260" spans="1:32" x14ac:dyDescent="0.25">
      <c r="A260" t="s">
        <v>3590</v>
      </c>
      <c r="B260">
        <v>1926</v>
      </c>
      <c r="C260" t="s">
        <v>3591</v>
      </c>
      <c r="D260" t="s">
        <v>3588</v>
      </c>
      <c r="L260" t="s">
        <v>3592</v>
      </c>
      <c r="AF260">
        <f t="shared" si="4"/>
        <v>28</v>
      </c>
    </row>
    <row r="261" spans="1:32" x14ac:dyDescent="0.25">
      <c r="A261" t="s">
        <v>3593</v>
      </c>
      <c r="B261">
        <v>1926</v>
      </c>
      <c r="C261" t="s">
        <v>3594</v>
      </c>
      <c r="D261" t="s">
        <v>3595</v>
      </c>
      <c r="L261" t="s">
        <v>3596</v>
      </c>
      <c r="AF261">
        <f t="shared" si="4"/>
        <v>45</v>
      </c>
    </row>
    <row r="262" spans="1:32" x14ac:dyDescent="0.25">
      <c r="A262" t="s">
        <v>3597</v>
      </c>
      <c r="B262">
        <v>1926</v>
      </c>
      <c r="C262" t="s">
        <v>3598</v>
      </c>
      <c r="D262" t="s">
        <v>3595</v>
      </c>
      <c r="G262" t="s">
        <v>3598</v>
      </c>
      <c r="L262" t="s">
        <v>3599</v>
      </c>
      <c r="AF262">
        <f t="shared" si="4"/>
        <v>107</v>
      </c>
    </row>
    <row r="263" spans="1:32" x14ac:dyDescent="0.25">
      <c r="A263" t="s">
        <v>3597</v>
      </c>
      <c r="B263">
        <v>1926</v>
      </c>
      <c r="C263" t="s">
        <v>3600</v>
      </c>
      <c r="D263" t="s">
        <v>3595</v>
      </c>
      <c r="F263" t="s">
        <v>3600</v>
      </c>
      <c r="L263" t="s">
        <v>3599</v>
      </c>
      <c r="AF263">
        <f t="shared" si="4"/>
        <v>46</v>
      </c>
    </row>
    <row r="264" spans="1:32" x14ac:dyDescent="0.25">
      <c r="A264" t="s">
        <v>3601</v>
      </c>
      <c r="B264">
        <v>1926</v>
      </c>
      <c r="C264" t="s">
        <v>3602</v>
      </c>
      <c r="D264" t="s">
        <v>3595</v>
      </c>
      <c r="L264" t="s">
        <v>3603</v>
      </c>
      <c r="AF264">
        <f t="shared" si="4"/>
        <v>35</v>
      </c>
    </row>
    <row r="265" spans="1:32" x14ac:dyDescent="0.25">
      <c r="A265" t="s">
        <v>3604</v>
      </c>
      <c r="B265">
        <v>1926</v>
      </c>
      <c r="C265" t="s">
        <v>3605</v>
      </c>
      <c r="D265" t="s">
        <v>3595</v>
      </c>
      <c r="L265" t="s">
        <v>3606</v>
      </c>
      <c r="M265" t="s">
        <v>3607</v>
      </c>
      <c r="N265" t="s">
        <v>2213</v>
      </c>
      <c r="P265" t="s">
        <v>3566</v>
      </c>
      <c r="AF265">
        <f t="shared" si="4"/>
        <v>56</v>
      </c>
    </row>
    <row r="266" spans="1:32" x14ac:dyDescent="0.25">
      <c r="A266" t="s">
        <v>3608</v>
      </c>
      <c r="B266">
        <v>1926</v>
      </c>
      <c r="C266" t="s">
        <v>3609</v>
      </c>
      <c r="D266" t="s">
        <v>3595</v>
      </c>
      <c r="L266" t="s">
        <v>3599</v>
      </c>
      <c r="AA266" t="s">
        <v>28</v>
      </c>
      <c r="AB266" t="s">
        <v>28</v>
      </c>
      <c r="AC266" t="s">
        <v>28</v>
      </c>
      <c r="AD266" t="s">
        <v>28</v>
      </c>
      <c r="AF266">
        <f t="shared" si="4"/>
        <v>30</v>
      </c>
    </row>
    <row r="267" spans="1:32" x14ac:dyDescent="0.25">
      <c r="A267" t="s">
        <v>3610</v>
      </c>
      <c r="B267">
        <v>1926</v>
      </c>
      <c r="C267" t="s">
        <v>3611</v>
      </c>
      <c r="D267" t="s">
        <v>3612</v>
      </c>
      <c r="L267" t="s">
        <v>2850</v>
      </c>
      <c r="AF267">
        <f t="shared" si="4"/>
        <v>31</v>
      </c>
    </row>
    <row r="268" spans="1:32" x14ac:dyDescent="0.25">
      <c r="A268" t="s">
        <v>3613</v>
      </c>
      <c r="B268">
        <v>1926</v>
      </c>
      <c r="C268" t="s">
        <v>3614</v>
      </c>
      <c r="D268" t="s">
        <v>3615</v>
      </c>
      <c r="K268" t="s">
        <v>3614</v>
      </c>
      <c r="L268" t="s">
        <v>3599</v>
      </c>
      <c r="AF268">
        <f t="shared" si="4"/>
        <v>49</v>
      </c>
    </row>
    <row r="269" spans="1:32" x14ac:dyDescent="0.25">
      <c r="A269" t="s">
        <v>3616</v>
      </c>
      <c r="B269">
        <v>1926</v>
      </c>
      <c r="C269" t="s">
        <v>3617</v>
      </c>
      <c r="D269" t="s">
        <v>3615</v>
      </c>
      <c r="L269" t="s">
        <v>2850</v>
      </c>
      <c r="M269" t="s">
        <v>2851</v>
      </c>
      <c r="N269" t="s">
        <v>2852</v>
      </c>
      <c r="P269" t="s">
        <v>3585</v>
      </c>
      <c r="AA269" t="s">
        <v>28</v>
      </c>
      <c r="AC269" t="s">
        <v>28</v>
      </c>
      <c r="AF269">
        <f t="shared" si="4"/>
        <v>55</v>
      </c>
    </row>
    <row r="270" spans="1:32" x14ac:dyDescent="0.25">
      <c r="A270" t="s">
        <v>3618</v>
      </c>
      <c r="B270">
        <v>1926</v>
      </c>
      <c r="C270" t="s">
        <v>3619</v>
      </c>
      <c r="D270" t="s">
        <v>3620</v>
      </c>
      <c r="F270" t="s">
        <v>3619</v>
      </c>
      <c r="L270" t="s">
        <v>3599</v>
      </c>
      <c r="AF270">
        <f t="shared" si="4"/>
        <v>53</v>
      </c>
    </row>
    <row r="271" spans="1:32" x14ac:dyDescent="0.25">
      <c r="A271" t="s">
        <v>3621</v>
      </c>
      <c r="B271">
        <v>1926</v>
      </c>
      <c r="C271" t="s">
        <v>3622</v>
      </c>
      <c r="D271" t="s">
        <v>3620</v>
      </c>
      <c r="L271" t="s">
        <v>3623</v>
      </c>
      <c r="M271" t="s">
        <v>3583</v>
      </c>
      <c r="N271" t="s">
        <v>1724</v>
      </c>
      <c r="P271" t="s">
        <v>2784</v>
      </c>
      <c r="AC271" t="s">
        <v>28</v>
      </c>
      <c r="AF271">
        <f t="shared" si="4"/>
        <v>72</v>
      </c>
    </row>
    <row r="272" spans="1:32" x14ac:dyDescent="0.25">
      <c r="A272" t="s">
        <v>3624</v>
      </c>
      <c r="B272">
        <v>1926</v>
      </c>
      <c r="C272" t="s">
        <v>3625</v>
      </c>
      <c r="D272" t="s">
        <v>3626</v>
      </c>
      <c r="L272" t="s">
        <v>3627</v>
      </c>
      <c r="AF272">
        <f t="shared" si="4"/>
        <v>42</v>
      </c>
    </row>
    <row r="273" spans="1:32" x14ac:dyDescent="0.25">
      <c r="A273" t="s">
        <v>3628</v>
      </c>
      <c r="B273">
        <v>1926</v>
      </c>
      <c r="C273" t="s">
        <v>3629</v>
      </c>
      <c r="D273" t="s">
        <v>3626</v>
      </c>
      <c r="L273" t="s">
        <v>2850</v>
      </c>
      <c r="AF273">
        <f t="shared" si="4"/>
        <v>36</v>
      </c>
    </row>
    <row r="274" spans="1:32" x14ac:dyDescent="0.25">
      <c r="A274" t="s">
        <v>3630</v>
      </c>
      <c r="B274">
        <v>1926</v>
      </c>
      <c r="C274" t="s">
        <v>3631</v>
      </c>
      <c r="D274" t="s">
        <v>3626</v>
      </c>
      <c r="L274" t="s">
        <v>2860</v>
      </c>
      <c r="M274" t="s">
        <v>3632</v>
      </c>
      <c r="N274" t="s">
        <v>68</v>
      </c>
      <c r="P274" t="s">
        <v>3566</v>
      </c>
      <c r="AA274" t="s">
        <v>28</v>
      </c>
      <c r="AC274" t="s">
        <v>28</v>
      </c>
      <c r="AF274">
        <f t="shared" si="4"/>
        <v>49</v>
      </c>
    </row>
    <row r="275" spans="1:32" x14ac:dyDescent="0.25">
      <c r="A275" t="s">
        <v>3633</v>
      </c>
      <c r="B275">
        <v>1926</v>
      </c>
      <c r="C275" t="s">
        <v>3634</v>
      </c>
      <c r="D275" t="s">
        <v>3626</v>
      </c>
      <c r="L275" t="s">
        <v>2850</v>
      </c>
      <c r="M275" t="s">
        <v>3635</v>
      </c>
      <c r="N275" t="s">
        <v>960</v>
      </c>
      <c r="P275" t="s">
        <v>880</v>
      </c>
      <c r="AA275" t="s">
        <v>28</v>
      </c>
      <c r="AC275" t="s">
        <v>28</v>
      </c>
      <c r="AF275">
        <f t="shared" si="4"/>
        <v>49</v>
      </c>
    </row>
    <row r="276" spans="1:32" x14ac:dyDescent="0.25">
      <c r="A276" t="s">
        <v>3636</v>
      </c>
      <c r="B276">
        <v>1926</v>
      </c>
      <c r="C276" t="s">
        <v>3637</v>
      </c>
      <c r="D276" t="s">
        <v>3626</v>
      </c>
      <c r="L276" t="s">
        <v>2850</v>
      </c>
      <c r="M276" t="s">
        <v>1264</v>
      </c>
      <c r="N276" t="s">
        <v>1631</v>
      </c>
      <c r="O276" t="s">
        <v>3638</v>
      </c>
      <c r="P276" t="s">
        <v>3082</v>
      </c>
      <c r="AC276" t="s">
        <v>28</v>
      </c>
      <c r="AF276">
        <f t="shared" si="4"/>
        <v>58</v>
      </c>
    </row>
    <row r="277" spans="1:32" x14ac:dyDescent="0.25">
      <c r="A277" t="s">
        <v>3639</v>
      </c>
      <c r="B277">
        <v>1926</v>
      </c>
      <c r="C277" t="s">
        <v>3347</v>
      </c>
      <c r="D277" t="s">
        <v>3640</v>
      </c>
      <c r="L277" t="s">
        <v>3599</v>
      </c>
      <c r="R277" t="s">
        <v>28</v>
      </c>
      <c r="AF277">
        <f t="shared" si="4"/>
        <v>39</v>
      </c>
    </row>
    <row r="278" spans="1:32" x14ac:dyDescent="0.25">
      <c r="A278" t="s">
        <v>3641</v>
      </c>
      <c r="B278">
        <v>1926</v>
      </c>
      <c r="C278" t="s">
        <v>3642</v>
      </c>
      <c r="D278" t="s">
        <v>3640</v>
      </c>
      <c r="J278" t="s">
        <v>3643</v>
      </c>
      <c r="L278" t="s">
        <v>3599</v>
      </c>
      <c r="AF278">
        <f t="shared" si="4"/>
        <v>62</v>
      </c>
    </row>
    <row r="279" spans="1:32" x14ac:dyDescent="0.25">
      <c r="A279" t="s">
        <v>3644</v>
      </c>
      <c r="B279">
        <v>1926</v>
      </c>
      <c r="C279" t="s">
        <v>3645</v>
      </c>
      <c r="D279" t="s">
        <v>3646</v>
      </c>
      <c r="L279" t="s">
        <v>3599</v>
      </c>
      <c r="R279" t="s">
        <v>28</v>
      </c>
      <c r="AF279">
        <f t="shared" si="4"/>
        <v>47</v>
      </c>
    </row>
    <row r="280" spans="1:32" x14ac:dyDescent="0.25">
      <c r="A280" t="s">
        <v>3644</v>
      </c>
      <c r="B280">
        <v>1926</v>
      </c>
      <c r="C280" t="s">
        <v>3645</v>
      </c>
      <c r="D280" t="s">
        <v>3646</v>
      </c>
      <c r="L280" t="s">
        <v>3599</v>
      </c>
      <c r="R280" t="s">
        <v>28</v>
      </c>
      <c r="AF280">
        <f t="shared" si="4"/>
        <v>47</v>
      </c>
    </row>
    <row r="281" spans="1:32" x14ac:dyDescent="0.25">
      <c r="A281" t="s">
        <v>3647</v>
      </c>
      <c r="B281">
        <v>1926</v>
      </c>
      <c r="C281" t="s">
        <v>3648</v>
      </c>
      <c r="D281" t="s">
        <v>3646</v>
      </c>
      <c r="L281" t="s">
        <v>3603</v>
      </c>
      <c r="AF281">
        <f t="shared" si="4"/>
        <v>52</v>
      </c>
    </row>
    <row r="282" spans="1:32" x14ac:dyDescent="0.25">
      <c r="A282" t="s">
        <v>3649</v>
      </c>
      <c r="B282">
        <v>1926</v>
      </c>
      <c r="C282" t="s">
        <v>3650</v>
      </c>
      <c r="D282" t="s">
        <v>3646</v>
      </c>
      <c r="L282" t="s">
        <v>3603</v>
      </c>
      <c r="M282" t="s">
        <v>3651</v>
      </c>
      <c r="N282" t="s">
        <v>1354</v>
      </c>
      <c r="P282" t="s">
        <v>3652</v>
      </c>
      <c r="AC282" t="s">
        <v>28</v>
      </c>
      <c r="AF282">
        <f t="shared" si="4"/>
        <v>79</v>
      </c>
    </row>
    <row r="283" spans="1:32" x14ac:dyDescent="0.25">
      <c r="A283" t="s">
        <v>3653</v>
      </c>
      <c r="B283">
        <v>1926</v>
      </c>
      <c r="C283" t="s">
        <v>3619</v>
      </c>
      <c r="D283" t="s">
        <v>3654</v>
      </c>
      <c r="F283" t="s">
        <v>3619</v>
      </c>
      <c r="L283" t="s">
        <v>3599</v>
      </c>
      <c r="AF283">
        <f t="shared" si="4"/>
        <v>30</v>
      </c>
    </row>
    <row r="284" spans="1:32" x14ac:dyDescent="0.25">
      <c r="A284" t="s">
        <v>3655</v>
      </c>
      <c r="B284">
        <v>1926</v>
      </c>
      <c r="C284" t="s">
        <v>3656</v>
      </c>
      <c r="D284" t="s">
        <v>3654</v>
      </c>
      <c r="L284" t="s">
        <v>3623</v>
      </c>
      <c r="M284" t="s">
        <v>3657</v>
      </c>
      <c r="N284" t="s">
        <v>3658</v>
      </c>
      <c r="P284" t="s">
        <v>3486</v>
      </c>
      <c r="AA284" t="s">
        <v>28</v>
      </c>
      <c r="AC284" t="s">
        <v>28</v>
      </c>
      <c r="AF284">
        <f t="shared" si="4"/>
        <v>56</v>
      </c>
    </row>
    <row r="285" spans="1:32" x14ac:dyDescent="0.25">
      <c r="A285" t="s">
        <v>3659</v>
      </c>
      <c r="B285">
        <v>1926</v>
      </c>
      <c r="C285" t="s">
        <v>3660</v>
      </c>
      <c r="D285" t="s">
        <v>3654</v>
      </c>
      <c r="L285" t="s">
        <v>3623</v>
      </c>
      <c r="M285" t="s">
        <v>3661</v>
      </c>
      <c r="N285" t="s">
        <v>561</v>
      </c>
      <c r="P285" t="s">
        <v>2903</v>
      </c>
      <c r="AA285" t="s">
        <v>28</v>
      </c>
      <c r="AC285" t="s">
        <v>28</v>
      </c>
      <c r="AF285">
        <f t="shared" si="4"/>
        <v>53</v>
      </c>
    </row>
    <row r="286" spans="1:32" x14ac:dyDescent="0.25">
      <c r="A286" t="s">
        <v>3662</v>
      </c>
      <c r="B286">
        <v>1926</v>
      </c>
      <c r="C286" t="s">
        <v>3663</v>
      </c>
      <c r="D286" t="s">
        <v>3664</v>
      </c>
      <c r="L286" t="s">
        <v>3665</v>
      </c>
      <c r="AF286">
        <f t="shared" si="4"/>
        <v>38</v>
      </c>
    </row>
    <row r="287" spans="1:32" x14ac:dyDescent="0.25">
      <c r="A287" t="s">
        <v>3666</v>
      </c>
      <c r="B287">
        <v>1926</v>
      </c>
      <c r="C287" t="s">
        <v>3667</v>
      </c>
      <c r="D287" t="s">
        <v>3668</v>
      </c>
      <c r="K287" t="s">
        <v>3667</v>
      </c>
      <c r="L287" t="s">
        <v>193</v>
      </c>
      <c r="AF287">
        <f t="shared" si="4"/>
        <v>71</v>
      </c>
    </row>
    <row r="288" spans="1:32" x14ac:dyDescent="0.25">
      <c r="A288" t="s">
        <v>3669</v>
      </c>
      <c r="B288">
        <v>1926</v>
      </c>
      <c r="C288" t="s">
        <v>3670</v>
      </c>
      <c r="D288" t="s">
        <v>3668</v>
      </c>
      <c r="G288" t="s">
        <v>3670</v>
      </c>
      <c r="L288" t="s">
        <v>193</v>
      </c>
      <c r="AF288">
        <f t="shared" si="4"/>
        <v>88</v>
      </c>
    </row>
    <row r="289" spans="1:32" x14ac:dyDescent="0.25">
      <c r="A289" t="s">
        <v>3669</v>
      </c>
      <c r="B289">
        <v>1926</v>
      </c>
      <c r="C289" t="s">
        <v>3670</v>
      </c>
      <c r="D289" t="s">
        <v>3668</v>
      </c>
      <c r="G289" t="s">
        <v>3670</v>
      </c>
      <c r="L289" t="s">
        <v>193</v>
      </c>
      <c r="AF289">
        <f t="shared" si="4"/>
        <v>88</v>
      </c>
    </row>
    <row r="290" spans="1:32" x14ac:dyDescent="0.25">
      <c r="A290" t="s">
        <v>3671</v>
      </c>
      <c r="B290">
        <v>1926</v>
      </c>
      <c r="C290" t="s">
        <v>3672</v>
      </c>
      <c r="D290" t="s">
        <v>3668</v>
      </c>
      <c r="L290" t="s">
        <v>193</v>
      </c>
      <c r="AA290" t="s">
        <v>28</v>
      </c>
      <c r="AB290" t="s">
        <v>28</v>
      </c>
      <c r="AC290" t="s">
        <v>28</v>
      </c>
      <c r="AD290" t="s">
        <v>28</v>
      </c>
      <c r="AF290">
        <f t="shared" si="4"/>
        <v>50</v>
      </c>
    </row>
    <row r="291" spans="1:32" x14ac:dyDescent="0.25">
      <c r="A291" t="s">
        <v>3673</v>
      </c>
      <c r="B291">
        <v>1926</v>
      </c>
      <c r="C291" t="s">
        <v>3674</v>
      </c>
      <c r="D291" t="s">
        <v>3668</v>
      </c>
      <c r="L291" t="s">
        <v>3675</v>
      </c>
      <c r="M291" t="s">
        <v>3676</v>
      </c>
      <c r="N291" t="s">
        <v>383</v>
      </c>
      <c r="P291" t="s">
        <v>3677</v>
      </c>
      <c r="AA291" t="s">
        <v>28</v>
      </c>
      <c r="AC291" t="s">
        <v>28</v>
      </c>
      <c r="AF291">
        <f t="shared" si="4"/>
        <v>91</v>
      </c>
    </row>
    <row r="292" spans="1:32" x14ac:dyDescent="0.25">
      <c r="A292" t="s">
        <v>3678</v>
      </c>
      <c r="B292">
        <v>1926</v>
      </c>
      <c r="C292" t="s">
        <v>3679</v>
      </c>
      <c r="D292" t="s">
        <v>3668</v>
      </c>
      <c r="L292" t="s">
        <v>3680</v>
      </c>
      <c r="M292" t="s">
        <v>3681</v>
      </c>
      <c r="N292" t="s">
        <v>383</v>
      </c>
      <c r="P292" t="s">
        <v>3682</v>
      </c>
      <c r="AC292" t="s">
        <v>28</v>
      </c>
      <c r="AF292">
        <f t="shared" si="4"/>
        <v>77</v>
      </c>
    </row>
    <row r="293" spans="1:32" x14ac:dyDescent="0.25">
      <c r="A293" t="s">
        <v>3678</v>
      </c>
      <c r="B293">
        <v>1926</v>
      </c>
      <c r="C293" t="s">
        <v>3679</v>
      </c>
      <c r="D293" t="s">
        <v>3668</v>
      </c>
      <c r="L293" t="s">
        <v>3680</v>
      </c>
      <c r="M293" t="s">
        <v>3681</v>
      </c>
      <c r="N293" t="s">
        <v>383</v>
      </c>
      <c r="P293" t="s">
        <v>3682</v>
      </c>
      <c r="AC293" t="s">
        <v>28</v>
      </c>
      <c r="AF293">
        <f t="shared" si="4"/>
        <v>77</v>
      </c>
    </row>
    <row r="294" spans="1:32" x14ac:dyDescent="0.25">
      <c r="A294" t="s">
        <v>3678</v>
      </c>
      <c r="B294">
        <v>1926</v>
      </c>
      <c r="C294" t="s">
        <v>3679</v>
      </c>
      <c r="D294" t="s">
        <v>3668</v>
      </c>
      <c r="L294" t="s">
        <v>3680</v>
      </c>
      <c r="M294" t="s">
        <v>3681</v>
      </c>
      <c r="N294" t="s">
        <v>383</v>
      </c>
      <c r="P294" t="s">
        <v>3682</v>
      </c>
      <c r="AC294" t="s">
        <v>28</v>
      </c>
      <c r="AF294">
        <f t="shared" si="4"/>
        <v>77</v>
      </c>
    </row>
    <row r="295" spans="1:32" x14ac:dyDescent="0.25">
      <c r="A295" t="s">
        <v>3683</v>
      </c>
      <c r="B295">
        <v>1926</v>
      </c>
      <c r="C295" t="s">
        <v>3684</v>
      </c>
      <c r="D295" t="s">
        <v>3685</v>
      </c>
      <c r="K295" t="s">
        <v>3684</v>
      </c>
      <c r="L295" t="s">
        <v>193</v>
      </c>
      <c r="AF295">
        <f t="shared" si="4"/>
        <v>54</v>
      </c>
    </row>
    <row r="296" spans="1:32" x14ac:dyDescent="0.25">
      <c r="A296" t="s">
        <v>3686</v>
      </c>
      <c r="B296">
        <v>1926</v>
      </c>
      <c r="C296" t="s">
        <v>3687</v>
      </c>
      <c r="D296" t="s">
        <v>3685</v>
      </c>
      <c r="L296" t="s">
        <v>3688</v>
      </c>
      <c r="M296" t="s">
        <v>3689</v>
      </c>
      <c r="N296" t="s">
        <v>3690</v>
      </c>
      <c r="P296" t="s">
        <v>1390</v>
      </c>
      <c r="AA296" t="s">
        <v>28</v>
      </c>
      <c r="AF296">
        <f t="shared" si="4"/>
        <v>55</v>
      </c>
    </row>
    <row r="297" spans="1:32" x14ac:dyDescent="0.25">
      <c r="A297" t="s">
        <v>3691</v>
      </c>
      <c r="B297">
        <v>1926</v>
      </c>
      <c r="C297" t="s">
        <v>3692</v>
      </c>
      <c r="D297" t="s">
        <v>3693</v>
      </c>
      <c r="L297" t="s">
        <v>3071</v>
      </c>
      <c r="M297" t="s">
        <v>3694</v>
      </c>
      <c r="N297" t="s">
        <v>392</v>
      </c>
      <c r="P297" t="s">
        <v>2815</v>
      </c>
      <c r="AA297" t="s">
        <v>28</v>
      </c>
      <c r="AC297" t="s">
        <v>28</v>
      </c>
      <c r="AF297">
        <f t="shared" si="4"/>
        <v>58</v>
      </c>
    </row>
    <row r="298" spans="1:32" x14ac:dyDescent="0.25">
      <c r="A298" t="s">
        <v>3695</v>
      </c>
      <c r="B298">
        <v>1926</v>
      </c>
      <c r="C298" t="s">
        <v>2824</v>
      </c>
      <c r="D298" t="s">
        <v>3696</v>
      </c>
      <c r="F298" t="s">
        <v>2824</v>
      </c>
      <c r="L298" t="s">
        <v>193</v>
      </c>
      <c r="AF298">
        <f t="shared" si="4"/>
        <v>52</v>
      </c>
    </row>
    <row r="299" spans="1:32" x14ac:dyDescent="0.25">
      <c r="A299" t="s">
        <v>3697</v>
      </c>
      <c r="B299">
        <v>1926</v>
      </c>
      <c r="C299" t="s">
        <v>3698</v>
      </c>
      <c r="D299" t="s">
        <v>3696</v>
      </c>
      <c r="L299" t="s">
        <v>3699</v>
      </c>
      <c r="AF299">
        <f t="shared" si="4"/>
        <v>50</v>
      </c>
    </row>
    <row r="300" spans="1:32" x14ac:dyDescent="0.25">
      <c r="A300" t="s">
        <v>3697</v>
      </c>
      <c r="B300">
        <v>1926</v>
      </c>
      <c r="C300" t="s">
        <v>3698</v>
      </c>
      <c r="D300" t="s">
        <v>3696</v>
      </c>
      <c r="L300" t="s">
        <v>3699</v>
      </c>
      <c r="AF300">
        <f t="shared" si="4"/>
        <v>50</v>
      </c>
    </row>
    <row r="301" spans="1:32" x14ac:dyDescent="0.25">
      <c r="A301" t="s">
        <v>3700</v>
      </c>
      <c r="B301">
        <v>1926</v>
      </c>
      <c r="C301" t="s">
        <v>3701</v>
      </c>
      <c r="D301" t="s">
        <v>3696</v>
      </c>
      <c r="J301" t="s">
        <v>3702</v>
      </c>
      <c r="L301" t="s">
        <v>193</v>
      </c>
      <c r="AF301">
        <f t="shared" si="4"/>
        <v>60</v>
      </c>
    </row>
    <row r="302" spans="1:32" x14ac:dyDescent="0.25">
      <c r="A302" t="s">
        <v>3703</v>
      </c>
      <c r="B302">
        <v>1926</v>
      </c>
      <c r="C302" t="s">
        <v>3704</v>
      </c>
      <c r="D302" t="s">
        <v>3696</v>
      </c>
      <c r="L302" t="s">
        <v>3705</v>
      </c>
      <c r="M302" t="s">
        <v>3706</v>
      </c>
      <c r="N302" t="s">
        <v>1265</v>
      </c>
      <c r="O302" t="s">
        <v>1631</v>
      </c>
      <c r="P302" t="s">
        <v>3016</v>
      </c>
      <c r="AC302" t="s">
        <v>28</v>
      </c>
      <c r="AF302">
        <f t="shared" si="4"/>
        <v>60</v>
      </c>
    </row>
    <row r="303" spans="1:32" x14ac:dyDescent="0.25">
      <c r="A303" t="s">
        <v>3707</v>
      </c>
      <c r="B303">
        <v>1926</v>
      </c>
      <c r="C303" t="s">
        <v>3708</v>
      </c>
      <c r="D303" t="s">
        <v>3696</v>
      </c>
      <c r="L303" t="s">
        <v>3705</v>
      </c>
      <c r="M303" t="s">
        <v>3709</v>
      </c>
      <c r="N303" t="s">
        <v>1589</v>
      </c>
      <c r="P303" t="s">
        <v>3082</v>
      </c>
      <c r="AA303" t="s">
        <v>28</v>
      </c>
      <c r="AF303">
        <f t="shared" si="4"/>
        <v>68</v>
      </c>
    </row>
    <row r="304" spans="1:32" x14ac:dyDescent="0.25">
      <c r="A304" t="s">
        <v>3710</v>
      </c>
      <c r="B304">
        <v>1926</v>
      </c>
      <c r="C304" t="s">
        <v>3711</v>
      </c>
      <c r="D304" t="s">
        <v>3696</v>
      </c>
      <c r="L304" t="s">
        <v>3705</v>
      </c>
      <c r="M304" t="s">
        <v>3712</v>
      </c>
      <c r="N304" t="s">
        <v>1265</v>
      </c>
      <c r="P304" t="s">
        <v>2903</v>
      </c>
      <c r="AA304" t="s">
        <v>28</v>
      </c>
      <c r="AC304" t="s">
        <v>28</v>
      </c>
      <c r="AF304">
        <f t="shared" si="4"/>
        <v>59</v>
      </c>
    </row>
    <row r="305" spans="1:32" x14ac:dyDescent="0.25">
      <c r="A305" t="s">
        <v>3710</v>
      </c>
      <c r="B305">
        <v>1926</v>
      </c>
      <c r="C305" t="s">
        <v>3711</v>
      </c>
      <c r="D305" t="s">
        <v>3696</v>
      </c>
      <c r="L305" t="s">
        <v>3705</v>
      </c>
      <c r="M305" t="s">
        <v>3712</v>
      </c>
      <c r="N305" t="s">
        <v>1265</v>
      </c>
      <c r="P305" t="s">
        <v>2903</v>
      </c>
      <c r="AA305" t="s">
        <v>28</v>
      </c>
      <c r="AC305" t="s">
        <v>28</v>
      </c>
      <c r="AF305">
        <f t="shared" si="4"/>
        <v>59</v>
      </c>
    </row>
    <row r="306" spans="1:32" x14ac:dyDescent="0.25">
      <c r="A306" t="s">
        <v>3710</v>
      </c>
      <c r="B306">
        <v>1926</v>
      </c>
      <c r="C306" t="s">
        <v>3711</v>
      </c>
      <c r="D306" t="s">
        <v>3696</v>
      </c>
      <c r="L306" t="s">
        <v>3705</v>
      </c>
      <c r="M306" t="s">
        <v>3712</v>
      </c>
      <c r="N306" t="s">
        <v>1265</v>
      </c>
      <c r="P306" t="s">
        <v>2903</v>
      </c>
      <c r="AA306" t="s">
        <v>28</v>
      </c>
      <c r="AC306" t="s">
        <v>28</v>
      </c>
      <c r="AF306">
        <f t="shared" si="4"/>
        <v>59</v>
      </c>
    </row>
    <row r="307" spans="1:32" x14ac:dyDescent="0.25">
      <c r="A307" t="s">
        <v>3713</v>
      </c>
      <c r="B307">
        <v>1926</v>
      </c>
      <c r="C307" t="s">
        <v>3385</v>
      </c>
      <c r="D307" t="s">
        <v>3714</v>
      </c>
      <c r="F307" t="s">
        <v>3385</v>
      </c>
      <c r="L307" t="s">
        <v>193</v>
      </c>
      <c r="AF307">
        <f t="shared" si="4"/>
        <v>49</v>
      </c>
    </row>
    <row r="308" spans="1:32" x14ac:dyDescent="0.25">
      <c r="A308" t="s">
        <v>3715</v>
      </c>
      <c r="B308">
        <v>1926</v>
      </c>
      <c r="C308" t="s">
        <v>3716</v>
      </c>
      <c r="D308" t="s">
        <v>3714</v>
      </c>
      <c r="L308" t="s">
        <v>3717</v>
      </c>
      <c r="M308" t="s">
        <v>3228</v>
      </c>
      <c r="N308" t="s">
        <v>3718</v>
      </c>
      <c r="P308" t="s">
        <v>3016</v>
      </c>
      <c r="AC308" t="s">
        <v>28</v>
      </c>
      <c r="AF308">
        <f t="shared" si="4"/>
        <v>55</v>
      </c>
    </row>
    <row r="309" spans="1:32" x14ac:dyDescent="0.25">
      <c r="A309" t="s">
        <v>3719</v>
      </c>
      <c r="B309">
        <v>1926</v>
      </c>
      <c r="C309" t="s">
        <v>3720</v>
      </c>
      <c r="D309" t="s">
        <v>3721</v>
      </c>
      <c r="L309" t="s">
        <v>3722</v>
      </c>
      <c r="AF309">
        <f t="shared" si="4"/>
        <v>52</v>
      </c>
    </row>
    <row r="310" spans="1:32" x14ac:dyDescent="0.25">
      <c r="A310" t="s">
        <v>3723</v>
      </c>
      <c r="B310">
        <v>1926</v>
      </c>
      <c r="C310" t="s">
        <v>3724</v>
      </c>
      <c r="D310" t="s">
        <v>3721</v>
      </c>
      <c r="L310" t="s">
        <v>3725</v>
      </c>
      <c r="Y310" t="s">
        <v>28</v>
      </c>
      <c r="AF310">
        <f t="shared" si="4"/>
        <v>47</v>
      </c>
    </row>
    <row r="311" spans="1:32" x14ac:dyDescent="0.25">
      <c r="A311" t="s">
        <v>3726</v>
      </c>
      <c r="B311">
        <v>1926</v>
      </c>
      <c r="C311" t="s">
        <v>3727</v>
      </c>
      <c r="D311" t="s">
        <v>3721</v>
      </c>
      <c r="L311" t="s">
        <v>3071</v>
      </c>
      <c r="M311" t="s">
        <v>3728</v>
      </c>
      <c r="N311" t="s">
        <v>3729</v>
      </c>
      <c r="P311" t="s">
        <v>1390</v>
      </c>
      <c r="AA311" t="s">
        <v>28</v>
      </c>
      <c r="AF311">
        <f t="shared" si="4"/>
        <v>62</v>
      </c>
    </row>
    <row r="312" spans="1:32" x14ac:dyDescent="0.25">
      <c r="A312" t="s">
        <v>3730</v>
      </c>
      <c r="B312">
        <v>1926</v>
      </c>
      <c r="C312" t="s">
        <v>3731</v>
      </c>
      <c r="D312" t="s">
        <v>3732</v>
      </c>
      <c r="L312" t="s">
        <v>3733</v>
      </c>
      <c r="AF312">
        <f t="shared" si="4"/>
        <v>63</v>
      </c>
    </row>
    <row r="313" spans="1:32" x14ac:dyDescent="0.25">
      <c r="A313" t="s">
        <v>3734</v>
      </c>
      <c r="B313">
        <v>1926</v>
      </c>
      <c r="C313" t="s">
        <v>3735</v>
      </c>
      <c r="D313" t="s">
        <v>3732</v>
      </c>
      <c r="L313" t="s">
        <v>3071</v>
      </c>
      <c r="M313" t="s">
        <v>3736</v>
      </c>
      <c r="N313" t="s">
        <v>3737</v>
      </c>
      <c r="P313" t="s">
        <v>2944</v>
      </c>
      <c r="AA313" t="s">
        <v>28</v>
      </c>
      <c r="AB313" t="s">
        <v>28</v>
      </c>
      <c r="AC313" t="s">
        <v>28</v>
      </c>
      <c r="AF313">
        <f t="shared" si="4"/>
        <v>79</v>
      </c>
    </row>
    <row r="314" spans="1:32" x14ac:dyDescent="0.25">
      <c r="A314" t="s">
        <v>3738</v>
      </c>
      <c r="B314">
        <v>1926</v>
      </c>
      <c r="C314" t="s">
        <v>3739</v>
      </c>
      <c r="D314" t="s">
        <v>3740</v>
      </c>
      <c r="L314" t="s">
        <v>2969</v>
      </c>
      <c r="Y314" t="s">
        <v>28</v>
      </c>
      <c r="AF314">
        <f t="shared" si="4"/>
        <v>34</v>
      </c>
    </row>
    <row r="315" spans="1:32" x14ac:dyDescent="0.25">
      <c r="A315" t="s">
        <v>3741</v>
      </c>
      <c r="B315">
        <v>1926</v>
      </c>
      <c r="C315" t="s">
        <v>3742</v>
      </c>
      <c r="D315" t="s">
        <v>3743</v>
      </c>
      <c r="K315" t="s">
        <v>3742</v>
      </c>
      <c r="L315" t="s">
        <v>193</v>
      </c>
      <c r="AF315">
        <f t="shared" si="4"/>
        <v>65</v>
      </c>
    </row>
    <row r="316" spans="1:32" x14ac:dyDescent="0.25">
      <c r="A316" t="s">
        <v>3744</v>
      </c>
      <c r="B316">
        <v>1926</v>
      </c>
      <c r="C316" t="s">
        <v>3745</v>
      </c>
      <c r="D316" t="s">
        <v>3743</v>
      </c>
      <c r="L316" t="s">
        <v>193</v>
      </c>
      <c r="R316" t="s">
        <v>28</v>
      </c>
      <c r="AF316">
        <f t="shared" si="4"/>
        <v>34</v>
      </c>
    </row>
    <row r="317" spans="1:32" x14ac:dyDescent="0.25">
      <c r="A317" t="s">
        <v>3746</v>
      </c>
      <c r="B317">
        <v>1926</v>
      </c>
      <c r="C317" t="s">
        <v>3747</v>
      </c>
      <c r="D317" t="s">
        <v>3748</v>
      </c>
      <c r="L317" t="s">
        <v>3749</v>
      </c>
      <c r="Y317" t="s">
        <v>28</v>
      </c>
      <c r="AF317">
        <f t="shared" si="4"/>
        <v>43</v>
      </c>
    </row>
    <row r="318" spans="1:32" x14ac:dyDescent="0.25">
      <c r="A318" t="s">
        <v>3750</v>
      </c>
      <c r="B318">
        <v>1926</v>
      </c>
      <c r="C318" t="s">
        <v>3751</v>
      </c>
      <c r="D318" t="s">
        <v>3748</v>
      </c>
      <c r="G318" t="s">
        <v>3751</v>
      </c>
      <c r="L318" t="s">
        <v>193</v>
      </c>
      <c r="T318" t="s">
        <v>28</v>
      </c>
      <c r="U318" t="s">
        <v>28</v>
      </c>
      <c r="AF318">
        <f t="shared" si="4"/>
        <v>93</v>
      </c>
    </row>
    <row r="319" spans="1:32" x14ac:dyDescent="0.25">
      <c r="A319" t="s">
        <v>3752</v>
      </c>
      <c r="B319">
        <v>1926</v>
      </c>
      <c r="C319" t="s">
        <v>3605</v>
      </c>
      <c r="D319" t="s">
        <v>3748</v>
      </c>
      <c r="L319" t="s">
        <v>3606</v>
      </c>
      <c r="M319" t="s">
        <v>3607</v>
      </c>
      <c r="N319" t="s">
        <v>2213</v>
      </c>
      <c r="P319" t="s">
        <v>3566</v>
      </c>
      <c r="AF319">
        <f t="shared" si="4"/>
        <v>63</v>
      </c>
    </row>
    <row r="320" spans="1:32" x14ac:dyDescent="0.25">
      <c r="A320" t="s">
        <v>3753</v>
      </c>
      <c r="B320">
        <v>1926</v>
      </c>
      <c r="C320" t="s">
        <v>3754</v>
      </c>
      <c r="D320" t="s">
        <v>3755</v>
      </c>
      <c r="L320" t="s">
        <v>3756</v>
      </c>
      <c r="AF320">
        <f t="shared" si="4"/>
        <v>61</v>
      </c>
    </row>
    <row r="321" spans="1:32" x14ac:dyDescent="0.25">
      <c r="A321" t="s">
        <v>3757</v>
      </c>
      <c r="B321">
        <v>1926</v>
      </c>
      <c r="C321" t="s">
        <v>3758</v>
      </c>
      <c r="D321" t="s">
        <v>3755</v>
      </c>
      <c r="G321" t="s">
        <v>3758</v>
      </c>
      <c r="L321" t="s">
        <v>193</v>
      </c>
      <c r="AF321">
        <f t="shared" si="4"/>
        <v>102</v>
      </c>
    </row>
    <row r="322" spans="1:32" x14ac:dyDescent="0.25">
      <c r="A322" t="s">
        <v>3759</v>
      </c>
      <c r="B322">
        <v>1926</v>
      </c>
      <c r="C322" t="s">
        <v>3760</v>
      </c>
      <c r="D322" t="s">
        <v>3755</v>
      </c>
      <c r="L322" t="s">
        <v>3688</v>
      </c>
      <c r="M322" t="s">
        <v>3761</v>
      </c>
      <c r="N322" t="s">
        <v>960</v>
      </c>
      <c r="P322" t="s">
        <v>2944</v>
      </c>
      <c r="AA322" t="s">
        <v>28</v>
      </c>
      <c r="AC322" t="s">
        <v>28</v>
      </c>
      <c r="AF322">
        <f t="shared" si="4"/>
        <v>67</v>
      </c>
    </row>
    <row r="323" spans="1:32" x14ac:dyDescent="0.25">
      <c r="A323" t="s">
        <v>3762</v>
      </c>
      <c r="B323">
        <v>1926</v>
      </c>
      <c r="C323" t="s">
        <v>3763</v>
      </c>
      <c r="D323" t="s">
        <v>3755</v>
      </c>
      <c r="L323" t="s">
        <v>3606</v>
      </c>
      <c r="M323" t="s">
        <v>3764</v>
      </c>
      <c r="N323" t="s">
        <v>1389</v>
      </c>
      <c r="P323" t="s">
        <v>3765</v>
      </c>
      <c r="AA323" t="s">
        <v>28</v>
      </c>
      <c r="AC323" t="s">
        <v>28</v>
      </c>
      <c r="AF323">
        <f t="shared" ref="AF323:AF369" si="5">LEN(D323)+LEN(E323)+LEN(F323)+LEN(G323)+LEN(H323)+LEN(I323)+LEN(J323)+LEN(K323)+LEN(L323)+LEN(M323)+LEN(N323)+LEN(O323)+LEN(P323)</f>
        <v>71</v>
      </c>
    </row>
    <row r="324" spans="1:32" x14ac:dyDescent="0.25">
      <c r="A324" t="s">
        <v>3766</v>
      </c>
      <c r="B324">
        <v>1926</v>
      </c>
      <c r="C324" t="s">
        <v>3767</v>
      </c>
      <c r="D324" t="s">
        <v>3755</v>
      </c>
      <c r="L324" t="s">
        <v>3606</v>
      </c>
      <c r="M324" t="s">
        <v>3607</v>
      </c>
      <c r="N324" t="s">
        <v>2213</v>
      </c>
      <c r="P324" t="s">
        <v>3768</v>
      </c>
      <c r="AF324">
        <f t="shared" si="5"/>
        <v>74</v>
      </c>
    </row>
    <row r="325" spans="1:32" x14ac:dyDescent="0.25">
      <c r="A325" t="s">
        <v>3769</v>
      </c>
      <c r="B325">
        <v>1926</v>
      </c>
      <c r="C325" t="s">
        <v>3770</v>
      </c>
      <c r="D325" t="s">
        <v>3755</v>
      </c>
      <c r="L325" t="s">
        <v>3606</v>
      </c>
      <c r="M325" t="s">
        <v>3771</v>
      </c>
      <c r="N325" t="s">
        <v>1389</v>
      </c>
      <c r="P325" t="s">
        <v>3082</v>
      </c>
      <c r="AA325" t="s">
        <v>28</v>
      </c>
      <c r="AC325" t="s">
        <v>28</v>
      </c>
      <c r="AF325">
        <f t="shared" si="5"/>
        <v>69</v>
      </c>
    </row>
    <row r="326" spans="1:32" x14ac:dyDescent="0.25">
      <c r="A326" t="s">
        <v>3772</v>
      </c>
      <c r="B326">
        <v>1926</v>
      </c>
      <c r="C326" t="s">
        <v>3773</v>
      </c>
      <c r="D326" t="s">
        <v>3774</v>
      </c>
      <c r="L326" t="s">
        <v>3775</v>
      </c>
      <c r="Y326" t="s">
        <v>28</v>
      </c>
      <c r="AF326">
        <f t="shared" si="5"/>
        <v>37</v>
      </c>
    </row>
    <row r="327" spans="1:32" x14ac:dyDescent="0.25">
      <c r="A327" t="s">
        <v>3776</v>
      </c>
      <c r="B327">
        <v>1926</v>
      </c>
      <c r="C327" t="s">
        <v>3777</v>
      </c>
      <c r="D327" t="s">
        <v>3774</v>
      </c>
      <c r="J327" t="s">
        <v>3778</v>
      </c>
      <c r="L327" t="s">
        <v>193</v>
      </c>
      <c r="AF327">
        <f t="shared" si="5"/>
        <v>67</v>
      </c>
    </row>
    <row r="328" spans="1:32" x14ac:dyDescent="0.25">
      <c r="A328" t="s">
        <v>3779</v>
      </c>
      <c r="B328">
        <v>1926</v>
      </c>
      <c r="C328" t="s">
        <v>3780</v>
      </c>
      <c r="D328" t="s">
        <v>3781</v>
      </c>
      <c r="L328" t="s">
        <v>3775</v>
      </c>
      <c r="M328" t="s">
        <v>3782</v>
      </c>
      <c r="N328" t="s">
        <v>1265</v>
      </c>
      <c r="P328" t="s">
        <v>3783</v>
      </c>
      <c r="Y328" t="s">
        <v>28</v>
      </c>
      <c r="AF328">
        <f t="shared" si="5"/>
        <v>58</v>
      </c>
    </row>
    <row r="329" spans="1:32" x14ac:dyDescent="0.25">
      <c r="A329" t="s">
        <v>3784</v>
      </c>
      <c r="B329">
        <v>1926</v>
      </c>
      <c r="C329" t="s">
        <v>3785</v>
      </c>
      <c r="D329" t="s">
        <v>3786</v>
      </c>
      <c r="G329" t="s">
        <v>3785</v>
      </c>
      <c r="L329" t="s">
        <v>193</v>
      </c>
      <c r="AF329">
        <f t="shared" si="5"/>
        <v>100</v>
      </c>
    </row>
    <row r="330" spans="1:32" x14ac:dyDescent="0.25">
      <c r="A330" t="s">
        <v>3784</v>
      </c>
      <c r="B330">
        <v>1926</v>
      </c>
      <c r="C330" t="s">
        <v>3787</v>
      </c>
      <c r="D330" t="s">
        <v>3786</v>
      </c>
      <c r="F330" t="s">
        <v>3787</v>
      </c>
      <c r="L330" t="s">
        <v>193</v>
      </c>
      <c r="AF330">
        <f t="shared" si="5"/>
        <v>70</v>
      </c>
    </row>
    <row r="331" spans="1:32" x14ac:dyDescent="0.25">
      <c r="A331" t="s">
        <v>3788</v>
      </c>
      <c r="B331">
        <v>1926</v>
      </c>
      <c r="C331" t="s">
        <v>3789</v>
      </c>
      <c r="D331" t="s">
        <v>3786</v>
      </c>
      <c r="L331" t="s">
        <v>3192</v>
      </c>
      <c r="M331" t="s">
        <v>3790</v>
      </c>
      <c r="N331" t="s">
        <v>3791</v>
      </c>
      <c r="P331" t="s">
        <v>3792</v>
      </c>
      <c r="AC331" t="s">
        <v>28</v>
      </c>
      <c r="AF331">
        <f t="shared" si="5"/>
        <v>57</v>
      </c>
    </row>
    <row r="332" spans="1:32" x14ac:dyDescent="0.25">
      <c r="A332" t="s">
        <v>3793</v>
      </c>
      <c r="B332">
        <v>1926</v>
      </c>
      <c r="C332" t="s">
        <v>3794</v>
      </c>
      <c r="D332" t="s">
        <v>3786</v>
      </c>
      <c r="L332" t="s">
        <v>3795</v>
      </c>
      <c r="M332" t="s">
        <v>3796</v>
      </c>
      <c r="N332" t="s">
        <v>3797</v>
      </c>
      <c r="P332" t="s">
        <v>3139</v>
      </c>
      <c r="AA332" t="s">
        <v>28</v>
      </c>
      <c r="AF332">
        <f t="shared" si="5"/>
        <v>70</v>
      </c>
    </row>
    <row r="333" spans="1:32" x14ac:dyDescent="0.25">
      <c r="A333" t="s">
        <v>3793</v>
      </c>
      <c r="B333">
        <v>1926</v>
      </c>
      <c r="C333" t="s">
        <v>3794</v>
      </c>
      <c r="D333" t="s">
        <v>3786</v>
      </c>
      <c r="L333" t="s">
        <v>3795</v>
      </c>
      <c r="M333" t="s">
        <v>3796</v>
      </c>
      <c r="N333" t="s">
        <v>3797</v>
      </c>
      <c r="P333" t="s">
        <v>3139</v>
      </c>
      <c r="AA333" t="s">
        <v>28</v>
      </c>
      <c r="AF333">
        <f t="shared" si="5"/>
        <v>70</v>
      </c>
    </row>
    <row r="334" spans="1:32" x14ac:dyDescent="0.25">
      <c r="A334" t="s">
        <v>3798</v>
      </c>
      <c r="B334">
        <v>1926</v>
      </c>
      <c r="C334" t="s">
        <v>3799</v>
      </c>
      <c r="D334" t="s">
        <v>3786</v>
      </c>
      <c r="L334" t="s">
        <v>3795</v>
      </c>
      <c r="M334" t="s">
        <v>3800</v>
      </c>
      <c r="N334" t="s">
        <v>2213</v>
      </c>
      <c r="P334" t="s">
        <v>2903</v>
      </c>
      <c r="AA334" t="s">
        <v>28</v>
      </c>
      <c r="AC334" t="s">
        <v>28</v>
      </c>
      <c r="AF334">
        <f t="shared" si="5"/>
        <v>66</v>
      </c>
    </row>
    <row r="335" spans="1:32" x14ac:dyDescent="0.25">
      <c r="A335" t="s">
        <v>3801</v>
      </c>
      <c r="B335">
        <v>1926</v>
      </c>
      <c r="C335" t="s">
        <v>3802</v>
      </c>
      <c r="D335" t="s">
        <v>3803</v>
      </c>
      <c r="L335" t="s">
        <v>3804</v>
      </c>
      <c r="AF335">
        <f t="shared" si="5"/>
        <v>39</v>
      </c>
    </row>
    <row r="336" spans="1:32" x14ac:dyDescent="0.25">
      <c r="A336" t="s">
        <v>3805</v>
      </c>
      <c r="B336">
        <v>1926</v>
      </c>
      <c r="C336" t="s">
        <v>3806</v>
      </c>
      <c r="D336" t="s">
        <v>3807</v>
      </c>
      <c r="L336" t="s">
        <v>3606</v>
      </c>
      <c r="AF336">
        <f t="shared" si="5"/>
        <v>35</v>
      </c>
    </row>
    <row r="337" spans="1:32" x14ac:dyDescent="0.25">
      <c r="A337" t="s">
        <v>3808</v>
      </c>
      <c r="B337">
        <v>1926</v>
      </c>
      <c r="C337" t="s">
        <v>3809</v>
      </c>
      <c r="D337" t="s">
        <v>3810</v>
      </c>
      <c r="L337" t="s">
        <v>193</v>
      </c>
      <c r="Q337" s="6" t="s">
        <v>28</v>
      </c>
      <c r="Y337" t="s">
        <v>28</v>
      </c>
      <c r="AF337">
        <f t="shared" si="5"/>
        <v>39</v>
      </c>
    </row>
    <row r="338" spans="1:32" x14ac:dyDescent="0.25">
      <c r="A338" t="s">
        <v>3811</v>
      </c>
      <c r="B338">
        <v>1926</v>
      </c>
      <c r="C338" t="s">
        <v>3812</v>
      </c>
      <c r="D338" t="s">
        <v>3810</v>
      </c>
      <c r="L338" t="s">
        <v>193</v>
      </c>
      <c r="M338" t="s">
        <v>3813</v>
      </c>
      <c r="N338" t="s">
        <v>1631</v>
      </c>
      <c r="P338" t="s">
        <v>3814</v>
      </c>
      <c r="Q338" s="6" t="s">
        <v>28</v>
      </c>
      <c r="Y338" t="s">
        <v>28</v>
      </c>
      <c r="AF338">
        <f t="shared" si="5"/>
        <v>62</v>
      </c>
    </row>
    <row r="339" spans="1:32" x14ac:dyDescent="0.25">
      <c r="A339" t="s">
        <v>3815</v>
      </c>
      <c r="B339">
        <v>1926</v>
      </c>
      <c r="C339" t="s">
        <v>3816</v>
      </c>
      <c r="D339" t="s">
        <v>3810</v>
      </c>
      <c r="L339" t="s">
        <v>2812</v>
      </c>
      <c r="Q339" s="6" t="s">
        <v>28</v>
      </c>
      <c r="AF339">
        <f t="shared" si="5"/>
        <v>43</v>
      </c>
    </row>
    <row r="340" spans="1:32" x14ac:dyDescent="0.25">
      <c r="A340" t="s">
        <v>3817</v>
      </c>
      <c r="B340">
        <v>1926</v>
      </c>
      <c r="C340" t="s">
        <v>3818</v>
      </c>
      <c r="D340" t="s">
        <v>3810</v>
      </c>
      <c r="L340" t="s">
        <v>3819</v>
      </c>
      <c r="Q340" s="6" t="s">
        <v>28</v>
      </c>
      <c r="Y340" t="s">
        <v>28</v>
      </c>
      <c r="AF340">
        <f t="shared" si="5"/>
        <v>54</v>
      </c>
    </row>
    <row r="341" spans="1:32" x14ac:dyDescent="0.25">
      <c r="A341" t="s">
        <v>3820</v>
      </c>
      <c r="B341">
        <v>1926</v>
      </c>
      <c r="C341" t="s">
        <v>3809</v>
      </c>
      <c r="D341" t="s">
        <v>3810</v>
      </c>
      <c r="L341" t="s">
        <v>193</v>
      </c>
      <c r="Q341" s="6" t="s">
        <v>28</v>
      </c>
      <c r="Y341" t="s">
        <v>28</v>
      </c>
      <c r="AF341">
        <f t="shared" si="5"/>
        <v>39</v>
      </c>
    </row>
    <row r="342" spans="1:32" x14ac:dyDescent="0.25">
      <c r="A342" t="s">
        <v>3821</v>
      </c>
      <c r="B342">
        <v>1926</v>
      </c>
      <c r="C342" t="s">
        <v>3822</v>
      </c>
      <c r="D342" t="s">
        <v>3810</v>
      </c>
      <c r="L342" t="s">
        <v>3823</v>
      </c>
      <c r="Q342" s="6" t="s">
        <v>28</v>
      </c>
      <c r="AF342">
        <f t="shared" si="5"/>
        <v>47</v>
      </c>
    </row>
    <row r="343" spans="1:32" x14ac:dyDescent="0.25">
      <c r="A343" t="s">
        <v>3824</v>
      </c>
      <c r="B343">
        <v>1926</v>
      </c>
      <c r="C343" t="s">
        <v>3825</v>
      </c>
      <c r="D343" t="s">
        <v>3810</v>
      </c>
      <c r="L343" t="s">
        <v>2740</v>
      </c>
      <c r="M343" t="s">
        <v>3826</v>
      </c>
      <c r="N343" t="s">
        <v>3827</v>
      </c>
      <c r="P343" t="s">
        <v>3117</v>
      </c>
      <c r="Q343" s="6"/>
      <c r="AC343" t="s">
        <v>28</v>
      </c>
      <c r="AF343">
        <f t="shared" si="5"/>
        <v>63</v>
      </c>
    </row>
    <row r="344" spans="1:32" x14ac:dyDescent="0.25">
      <c r="A344" t="s">
        <v>3828</v>
      </c>
      <c r="B344">
        <v>1926</v>
      </c>
      <c r="C344" t="s">
        <v>3829</v>
      </c>
      <c r="D344" t="s">
        <v>3830</v>
      </c>
      <c r="L344" t="s">
        <v>3831</v>
      </c>
      <c r="Q344" s="6" t="s">
        <v>28</v>
      </c>
      <c r="AF344">
        <f t="shared" si="5"/>
        <v>46</v>
      </c>
    </row>
    <row r="345" spans="1:32" x14ac:dyDescent="0.25">
      <c r="A345" t="s">
        <v>3832</v>
      </c>
      <c r="B345">
        <v>1926</v>
      </c>
      <c r="C345" t="s">
        <v>3833</v>
      </c>
      <c r="D345" t="s">
        <v>3834</v>
      </c>
      <c r="L345" t="s">
        <v>3835</v>
      </c>
      <c r="Q345" s="6" t="s">
        <v>28</v>
      </c>
      <c r="Z345" t="s">
        <v>28</v>
      </c>
      <c r="AF345">
        <f t="shared" si="5"/>
        <v>18</v>
      </c>
    </row>
    <row r="346" spans="1:32" x14ac:dyDescent="0.25">
      <c r="A346" t="s">
        <v>3836</v>
      </c>
      <c r="B346">
        <v>1926</v>
      </c>
      <c r="C346" t="s">
        <v>3837</v>
      </c>
      <c r="D346" t="s">
        <v>3838</v>
      </c>
      <c r="L346" t="s">
        <v>1327</v>
      </c>
      <c r="M346" t="s">
        <v>3839</v>
      </c>
      <c r="N346" t="s">
        <v>2685</v>
      </c>
      <c r="O346" t="s">
        <v>3840</v>
      </c>
      <c r="P346" t="s">
        <v>3841</v>
      </c>
      <c r="Q346" s="6" t="s">
        <v>28</v>
      </c>
      <c r="AC346" t="s">
        <v>28</v>
      </c>
      <c r="AF346">
        <f t="shared" si="5"/>
        <v>53</v>
      </c>
    </row>
    <row r="347" spans="1:32" x14ac:dyDescent="0.25">
      <c r="A347" t="s">
        <v>3842</v>
      </c>
      <c r="B347">
        <v>1926</v>
      </c>
      <c r="C347" t="s">
        <v>3843</v>
      </c>
      <c r="D347" t="s">
        <v>3838</v>
      </c>
      <c r="L347" t="s">
        <v>1327</v>
      </c>
      <c r="M347" t="s">
        <v>3844</v>
      </c>
      <c r="N347" t="s">
        <v>3845</v>
      </c>
      <c r="P347" t="s">
        <v>3841</v>
      </c>
      <c r="Q347" s="6" t="s">
        <v>28</v>
      </c>
      <c r="AC347" t="s">
        <v>28</v>
      </c>
      <c r="AF347">
        <f t="shared" si="5"/>
        <v>43</v>
      </c>
    </row>
    <row r="348" spans="1:32" x14ac:dyDescent="0.25">
      <c r="A348" t="s">
        <v>3846</v>
      </c>
      <c r="B348">
        <v>1926</v>
      </c>
      <c r="C348" t="s">
        <v>3847</v>
      </c>
      <c r="D348" t="s">
        <v>3838</v>
      </c>
      <c r="L348" t="s">
        <v>3848</v>
      </c>
      <c r="Q348" s="6" t="s">
        <v>28</v>
      </c>
      <c r="AF348">
        <f t="shared" si="5"/>
        <v>36</v>
      </c>
    </row>
    <row r="349" spans="1:32" x14ac:dyDescent="0.25">
      <c r="A349" t="s">
        <v>3849</v>
      </c>
      <c r="B349">
        <v>1926</v>
      </c>
      <c r="C349" t="s">
        <v>3850</v>
      </c>
      <c r="D349" t="s">
        <v>3851</v>
      </c>
      <c r="L349" t="s">
        <v>2876</v>
      </c>
      <c r="Q349" s="6" t="s">
        <v>28</v>
      </c>
      <c r="AF349">
        <f t="shared" si="5"/>
        <v>31</v>
      </c>
    </row>
    <row r="350" spans="1:32" x14ac:dyDescent="0.25">
      <c r="A350" t="s">
        <v>3852</v>
      </c>
      <c r="B350">
        <v>1926</v>
      </c>
      <c r="C350" t="s">
        <v>3853</v>
      </c>
      <c r="D350" t="s">
        <v>3854</v>
      </c>
      <c r="L350" t="s">
        <v>3855</v>
      </c>
      <c r="Q350" s="6" t="s">
        <v>28</v>
      </c>
      <c r="AF350">
        <f t="shared" si="5"/>
        <v>31</v>
      </c>
    </row>
    <row r="351" spans="1:32" x14ac:dyDescent="0.25">
      <c r="A351" t="s">
        <v>3856</v>
      </c>
      <c r="B351">
        <v>1926</v>
      </c>
      <c r="C351" t="s">
        <v>3857</v>
      </c>
      <c r="D351" t="s">
        <v>3858</v>
      </c>
      <c r="L351" t="s">
        <v>3859</v>
      </c>
      <c r="Q351" s="6" t="s">
        <v>28</v>
      </c>
      <c r="Y351" t="s">
        <v>28</v>
      </c>
      <c r="AF351">
        <f t="shared" si="5"/>
        <v>28</v>
      </c>
    </row>
    <row r="352" spans="1:32" x14ac:dyDescent="0.25">
      <c r="A352" t="s">
        <v>3860</v>
      </c>
      <c r="B352">
        <v>1926</v>
      </c>
      <c r="C352" t="s">
        <v>3861</v>
      </c>
      <c r="D352" t="s">
        <v>3862</v>
      </c>
      <c r="L352" t="s">
        <v>2973</v>
      </c>
      <c r="M352" t="s">
        <v>3863</v>
      </c>
      <c r="N352" t="s">
        <v>960</v>
      </c>
      <c r="P352" t="s">
        <v>3864</v>
      </c>
      <c r="Q352" s="6"/>
      <c r="AA352" t="s">
        <v>28</v>
      </c>
      <c r="AC352" t="s">
        <v>28</v>
      </c>
      <c r="AD352" t="s">
        <v>28</v>
      </c>
      <c r="AF352">
        <f t="shared" si="5"/>
        <v>75</v>
      </c>
    </row>
    <row r="353" spans="1:32" x14ac:dyDescent="0.25">
      <c r="A353" t="s">
        <v>3865</v>
      </c>
      <c r="B353">
        <v>1926</v>
      </c>
      <c r="C353" t="s">
        <v>3866</v>
      </c>
      <c r="D353" t="s">
        <v>3867</v>
      </c>
      <c r="L353" t="s">
        <v>480</v>
      </c>
      <c r="M353" t="s">
        <v>2212</v>
      </c>
      <c r="N353" t="s">
        <v>1730</v>
      </c>
      <c r="P353" t="s">
        <v>3841</v>
      </c>
      <c r="Q353" s="6" t="s">
        <v>28</v>
      </c>
      <c r="AC353" t="s">
        <v>28</v>
      </c>
      <c r="AF353">
        <f t="shared" si="5"/>
        <v>38</v>
      </c>
    </row>
    <row r="354" spans="1:32" x14ac:dyDescent="0.25">
      <c r="A354" t="s">
        <v>3868</v>
      </c>
      <c r="B354">
        <v>1926</v>
      </c>
      <c r="C354" t="s">
        <v>3869</v>
      </c>
      <c r="D354" t="s">
        <v>3870</v>
      </c>
      <c r="L354" t="s">
        <v>480</v>
      </c>
      <c r="M354" t="s">
        <v>3871</v>
      </c>
      <c r="N354" t="s">
        <v>878</v>
      </c>
      <c r="P354" t="s">
        <v>3841</v>
      </c>
      <c r="Q354" s="6" t="s">
        <v>28</v>
      </c>
      <c r="AC354" t="s">
        <v>28</v>
      </c>
      <c r="AF354">
        <f t="shared" si="5"/>
        <v>27</v>
      </c>
    </row>
    <row r="355" spans="1:32" x14ac:dyDescent="0.25">
      <c r="A355" t="s">
        <v>3872</v>
      </c>
      <c r="B355">
        <v>1926</v>
      </c>
      <c r="C355" t="s">
        <v>3873</v>
      </c>
      <c r="D355" t="s">
        <v>3874</v>
      </c>
      <c r="L355" t="s">
        <v>3532</v>
      </c>
      <c r="Q355" s="6" t="s">
        <v>28</v>
      </c>
      <c r="AF355">
        <f t="shared" si="5"/>
        <v>21</v>
      </c>
    </row>
    <row r="356" spans="1:32" x14ac:dyDescent="0.25">
      <c r="A356" t="s">
        <v>3875</v>
      </c>
      <c r="B356">
        <v>1926</v>
      </c>
      <c r="C356" t="s">
        <v>3876</v>
      </c>
      <c r="D356" t="s">
        <v>3877</v>
      </c>
      <c r="L356" t="s">
        <v>3878</v>
      </c>
      <c r="Q356" s="6" t="s">
        <v>28</v>
      </c>
      <c r="AF356">
        <f t="shared" si="5"/>
        <v>34</v>
      </c>
    </row>
    <row r="357" spans="1:32" x14ac:dyDescent="0.25">
      <c r="A357" t="s">
        <v>3879</v>
      </c>
      <c r="B357">
        <v>1926</v>
      </c>
      <c r="C357" t="s">
        <v>3880</v>
      </c>
      <c r="D357" t="s">
        <v>3881</v>
      </c>
      <c r="L357" t="s">
        <v>3882</v>
      </c>
      <c r="Q357" s="6"/>
      <c r="AF357">
        <f t="shared" si="5"/>
        <v>46</v>
      </c>
    </row>
    <row r="358" spans="1:32" x14ac:dyDescent="0.25">
      <c r="A358" t="s">
        <v>3879</v>
      </c>
      <c r="B358">
        <v>1926</v>
      </c>
      <c r="C358" t="s">
        <v>3880</v>
      </c>
      <c r="D358" t="s">
        <v>3881</v>
      </c>
      <c r="L358" t="s">
        <v>3882</v>
      </c>
      <c r="Q358" s="6"/>
      <c r="AF358">
        <f t="shared" si="5"/>
        <v>46</v>
      </c>
    </row>
    <row r="359" spans="1:32" x14ac:dyDescent="0.25">
      <c r="A359" t="s">
        <v>3883</v>
      </c>
      <c r="B359">
        <v>1926</v>
      </c>
      <c r="C359" t="s">
        <v>3884</v>
      </c>
      <c r="D359" t="s">
        <v>3885</v>
      </c>
      <c r="L359" t="s">
        <v>3535</v>
      </c>
      <c r="M359" t="s">
        <v>3886</v>
      </c>
      <c r="N359" t="s">
        <v>1837</v>
      </c>
      <c r="P359" t="s">
        <v>3887</v>
      </c>
      <c r="Q359" s="6"/>
      <c r="Y359" t="s">
        <v>28</v>
      </c>
      <c r="AA359" t="s">
        <v>28</v>
      </c>
      <c r="AF359">
        <f t="shared" si="5"/>
        <v>79</v>
      </c>
    </row>
    <row r="360" spans="1:32" x14ac:dyDescent="0.25">
      <c r="A360" t="s">
        <v>3888</v>
      </c>
      <c r="B360">
        <v>1926</v>
      </c>
      <c r="C360" t="s">
        <v>3889</v>
      </c>
      <c r="D360" t="s">
        <v>3885</v>
      </c>
      <c r="L360" t="s">
        <v>3535</v>
      </c>
      <c r="Q360" s="6"/>
      <c r="Y360" t="s">
        <v>28</v>
      </c>
      <c r="AA360" t="s">
        <v>28</v>
      </c>
      <c r="AB360" t="s">
        <v>28</v>
      </c>
      <c r="AC360" t="s">
        <v>28</v>
      </c>
      <c r="AD360" t="s">
        <v>28</v>
      </c>
      <c r="AF360">
        <f t="shared" si="5"/>
        <v>43</v>
      </c>
    </row>
    <row r="361" spans="1:32" x14ac:dyDescent="0.25">
      <c r="A361" t="s">
        <v>3890</v>
      </c>
      <c r="B361">
        <v>1926</v>
      </c>
      <c r="C361" t="s">
        <v>3891</v>
      </c>
      <c r="D361" t="s">
        <v>3885</v>
      </c>
      <c r="L361" t="s">
        <v>3535</v>
      </c>
      <c r="M361" t="s">
        <v>3892</v>
      </c>
      <c r="N361" t="s">
        <v>392</v>
      </c>
      <c r="P361" t="s">
        <v>3893</v>
      </c>
      <c r="Q361" s="6"/>
      <c r="Y361" t="s">
        <v>28</v>
      </c>
      <c r="AA361" t="s">
        <v>28</v>
      </c>
      <c r="AC361" t="s">
        <v>28</v>
      </c>
      <c r="AF361">
        <f t="shared" si="5"/>
        <v>69</v>
      </c>
    </row>
    <row r="362" spans="1:32" x14ac:dyDescent="0.25">
      <c r="A362" t="s">
        <v>3894</v>
      </c>
      <c r="B362">
        <v>1926</v>
      </c>
      <c r="C362" t="s">
        <v>3895</v>
      </c>
      <c r="D362" t="s">
        <v>3896</v>
      </c>
      <c r="L362" t="s">
        <v>3897</v>
      </c>
      <c r="M362" t="s">
        <v>3898</v>
      </c>
      <c r="N362" t="s">
        <v>23</v>
      </c>
      <c r="P362" t="s">
        <v>3899</v>
      </c>
      <c r="Q362" s="6"/>
      <c r="AA362" t="s">
        <v>28</v>
      </c>
      <c r="AF362">
        <f t="shared" si="5"/>
        <v>53</v>
      </c>
    </row>
    <row r="363" spans="1:32" x14ac:dyDescent="0.25">
      <c r="A363" t="s">
        <v>3900</v>
      </c>
      <c r="B363">
        <v>1926</v>
      </c>
      <c r="C363" t="s">
        <v>3901</v>
      </c>
      <c r="D363" t="s">
        <v>3854</v>
      </c>
      <c r="L363" t="s">
        <v>3854</v>
      </c>
      <c r="Q363" s="6" t="s">
        <v>28</v>
      </c>
      <c r="AF363">
        <f t="shared" si="5"/>
        <v>26</v>
      </c>
    </row>
    <row r="364" spans="1:32" x14ac:dyDescent="0.25">
      <c r="A364" t="s">
        <v>3902</v>
      </c>
      <c r="B364">
        <v>1926</v>
      </c>
      <c r="C364" t="s">
        <v>3903</v>
      </c>
      <c r="D364" t="s">
        <v>3854</v>
      </c>
      <c r="L364" t="s">
        <v>1327</v>
      </c>
      <c r="M364" t="s">
        <v>3904</v>
      </c>
      <c r="N364" t="s">
        <v>392</v>
      </c>
      <c r="P364" t="s">
        <v>3905</v>
      </c>
      <c r="Q364" s="6" t="s">
        <v>28</v>
      </c>
      <c r="AA364" t="s">
        <v>28</v>
      </c>
      <c r="AF364">
        <f t="shared" si="5"/>
        <v>35</v>
      </c>
    </row>
    <row r="365" spans="1:32" x14ac:dyDescent="0.25">
      <c r="A365" t="s">
        <v>3906</v>
      </c>
      <c r="B365">
        <v>1926</v>
      </c>
      <c r="C365" t="s">
        <v>3907</v>
      </c>
      <c r="D365" t="s">
        <v>3854</v>
      </c>
      <c r="L365" t="s">
        <v>2973</v>
      </c>
      <c r="M365" t="s">
        <v>3908</v>
      </c>
      <c r="N365" t="s">
        <v>391</v>
      </c>
      <c r="P365" t="s">
        <v>3909</v>
      </c>
      <c r="Q365" s="6" t="s">
        <v>28</v>
      </c>
      <c r="AA365" t="s">
        <v>28</v>
      </c>
      <c r="AC365" t="s">
        <v>28</v>
      </c>
      <c r="AF365">
        <f t="shared" si="5"/>
        <v>37</v>
      </c>
    </row>
    <row r="366" spans="1:32" x14ac:dyDescent="0.25">
      <c r="A366" t="s">
        <v>3910</v>
      </c>
      <c r="B366">
        <v>1926</v>
      </c>
      <c r="C366" t="s">
        <v>3911</v>
      </c>
      <c r="D366" t="s">
        <v>3854</v>
      </c>
      <c r="L366" t="s">
        <v>2973</v>
      </c>
      <c r="M366" t="s">
        <v>3912</v>
      </c>
      <c r="N366" t="s">
        <v>384</v>
      </c>
      <c r="O366" t="s">
        <v>3913</v>
      </c>
      <c r="P366" t="s">
        <v>3914</v>
      </c>
      <c r="Q366" s="6" t="s">
        <v>28</v>
      </c>
      <c r="AC366" t="s">
        <v>28</v>
      </c>
      <c r="AF366">
        <f t="shared" si="5"/>
        <v>61</v>
      </c>
    </row>
    <row r="367" spans="1:32" x14ac:dyDescent="0.25">
      <c r="A367" t="s">
        <v>3915</v>
      </c>
      <c r="B367">
        <v>1926</v>
      </c>
      <c r="C367" t="s">
        <v>3916</v>
      </c>
      <c r="D367" t="s">
        <v>3917</v>
      </c>
      <c r="L367" t="s">
        <v>3465</v>
      </c>
      <c r="M367" t="s">
        <v>3918</v>
      </c>
      <c r="N367" t="s">
        <v>879</v>
      </c>
      <c r="P367" t="s">
        <v>3919</v>
      </c>
      <c r="Y367" t="s">
        <v>28</v>
      </c>
      <c r="AA367" t="s">
        <v>28</v>
      </c>
      <c r="AC367" t="s">
        <v>28</v>
      </c>
      <c r="AF367">
        <f t="shared" si="5"/>
        <v>62</v>
      </c>
    </row>
    <row r="368" spans="1:32" x14ac:dyDescent="0.25">
      <c r="A368" t="s">
        <v>3920</v>
      </c>
      <c r="B368">
        <v>1926</v>
      </c>
      <c r="C368" t="s">
        <v>3921</v>
      </c>
      <c r="D368" t="s">
        <v>3922</v>
      </c>
      <c r="L368" t="s">
        <v>193</v>
      </c>
      <c r="M368" t="s">
        <v>3923</v>
      </c>
      <c r="N368" t="s">
        <v>3924</v>
      </c>
      <c r="P368" t="s">
        <v>1355</v>
      </c>
      <c r="Y368" t="s">
        <v>28</v>
      </c>
      <c r="AA368" t="s">
        <v>28</v>
      </c>
      <c r="AC368" t="s">
        <v>28</v>
      </c>
      <c r="AF368">
        <f t="shared" si="5"/>
        <v>61</v>
      </c>
    </row>
    <row r="369" spans="1:32" s="3" customFormat="1" x14ac:dyDescent="0.25">
      <c r="A369" s="3" t="s">
        <v>3925</v>
      </c>
      <c r="B369" s="3">
        <v>1926</v>
      </c>
      <c r="C369" s="3" t="s">
        <v>3926</v>
      </c>
      <c r="D369" s="3" t="s">
        <v>3612</v>
      </c>
      <c r="G369" s="3" t="s">
        <v>3926</v>
      </c>
      <c r="L369" s="3" t="s">
        <v>3599</v>
      </c>
      <c r="AF369">
        <f t="shared" si="5"/>
        <v>173</v>
      </c>
    </row>
    <row r="370" spans="1:32" x14ac:dyDescent="0.25">
      <c r="Q370">
        <f>COUNTIF(Q2:Q369, "f") + COUNTIF(Q2:Q369, "a") + COUNTIF(Q2:Q369, "b") + COUNTIF(Q2:Q369, "a/b")</f>
        <v>30</v>
      </c>
      <c r="R370">
        <f t="shared" ref="R370:AD370" si="6">COUNTIF(R2:R369, "f") + COUNTIF(R2:R369, "a") + COUNTIF(R2:R369, "b") + COUNTIF(R2:R369, "a/b")</f>
        <v>13</v>
      </c>
      <c r="S370">
        <f t="shared" si="6"/>
        <v>0</v>
      </c>
      <c r="T370">
        <f t="shared" si="6"/>
        <v>9</v>
      </c>
      <c r="U370">
        <f t="shared" si="6"/>
        <v>8</v>
      </c>
      <c r="V370">
        <f t="shared" si="6"/>
        <v>0</v>
      </c>
      <c r="W370">
        <f t="shared" si="6"/>
        <v>0</v>
      </c>
      <c r="X370">
        <f t="shared" si="6"/>
        <v>1</v>
      </c>
      <c r="Y370">
        <f t="shared" si="6"/>
        <v>45</v>
      </c>
      <c r="Z370">
        <f t="shared" si="6"/>
        <v>1</v>
      </c>
      <c r="AA370">
        <f t="shared" si="6"/>
        <v>106</v>
      </c>
      <c r="AB370">
        <f t="shared" si="6"/>
        <v>22</v>
      </c>
      <c r="AC370">
        <f t="shared" si="6"/>
        <v>96</v>
      </c>
      <c r="AD370">
        <f t="shared" si="6"/>
        <v>15</v>
      </c>
      <c r="AE370">
        <f>SUM(AE2:AE369)</f>
        <v>36</v>
      </c>
      <c r="AF370">
        <f>SUM(AF2:AF369)</f>
        <v>22153</v>
      </c>
    </row>
    <row r="371" spans="1:32" x14ac:dyDescent="0.25">
      <c r="Q371">
        <f>1-(Q370/409)</f>
        <v>0.92665036674816625</v>
      </c>
      <c r="R371">
        <f t="shared" ref="R371:AD371" si="7">1-(R370/409)</f>
        <v>0.9682151589242054</v>
      </c>
      <c r="S371">
        <f t="shared" si="7"/>
        <v>1</v>
      </c>
      <c r="T371">
        <f t="shared" si="7"/>
        <v>0.97799511002444983</v>
      </c>
      <c r="U371">
        <f t="shared" si="7"/>
        <v>0.98044009779951102</v>
      </c>
      <c r="V371">
        <f t="shared" si="7"/>
        <v>1</v>
      </c>
      <c r="W371">
        <f t="shared" si="7"/>
        <v>1</v>
      </c>
      <c r="X371">
        <f t="shared" si="7"/>
        <v>0.99755501222493892</v>
      </c>
      <c r="Y371">
        <f t="shared" si="7"/>
        <v>0.88997555012224938</v>
      </c>
      <c r="Z371">
        <f t="shared" si="7"/>
        <v>0.99755501222493892</v>
      </c>
      <c r="AA371">
        <f t="shared" si="7"/>
        <v>0.74083129584352081</v>
      </c>
      <c r="AB371">
        <f t="shared" si="7"/>
        <v>0.94621026894865523</v>
      </c>
      <c r="AC371">
        <f t="shared" si="7"/>
        <v>0.76528117359413206</v>
      </c>
      <c r="AD371">
        <f t="shared" si="7"/>
        <v>0.96332518337408313</v>
      </c>
      <c r="AE371">
        <f>AE370/AF370</f>
        <v>1.625062068342888E-3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BFBB0-C534-4092-A8E3-BE424DBDDC25}">
  <dimension ref="A1:V387"/>
  <sheetViews>
    <sheetView workbookViewId="0">
      <pane ySplit="1" topLeftCell="A2" activePane="bottomLeft" state="frozen"/>
      <selection pane="bottomLeft" activeCell="I38" sqref="I38"/>
    </sheetView>
  </sheetViews>
  <sheetFormatPr defaultRowHeight="15" x14ac:dyDescent="0.25"/>
  <sheetData>
    <row r="1" spans="1:22" x14ac:dyDescent="0.25">
      <c r="A1" t="s">
        <v>0</v>
      </c>
      <c r="B1" t="s">
        <v>3927</v>
      </c>
      <c r="C1" t="s">
        <v>1</v>
      </c>
      <c r="D1" t="s">
        <v>10</v>
      </c>
      <c r="E1" t="s">
        <v>11</v>
      </c>
      <c r="F1" t="s">
        <v>12</v>
      </c>
      <c r="G1" t="s">
        <v>13</v>
      </c>
      <c r="H1" t="s">
        <v>3928</v>
      </c>
      <c r="I1" t="s">
        <v>8</v>
      </c>
      <c r="J1" t="s">
        <v>1</v>
      </c>
      <c r="K1" t="s">
        <v>10</v>
      </c>
      <c r="L1" t="s">
        <v>11</v>
      </c>
      <c r="M1" t="s">
        <v>12</v>
      </c>
      <c r="N1" t="s">
        <v>13</v>
      </c>
      <c r="O1" t="s">
        <v>3928</v>
      </c>
      <c r="P1" t="s">
        <v>8</v>
      </c>
      <c r="Q1" t="s">
        <v>6906</v>
      </c>
      <c r="R1" t="s">
        <v>6909</v>
      </c>
      <c r="T1" t="s">
        <v>14</v>
      </c>
      <c r="U1" t="s">
        <v>15</v>
      </c>
      <c r="V1" t="s">
        <v>16</v>
      </c>
    </row>
    <row r="2" spans="1:22" x14ac:dyDescent="0.25">
      <c r="A2" t="s">
        <v>3929</v>
      </c>
      <c r="B2" t="s">
        <v>3930</v>
      </c>
      <c r="C2">
        <v>1898</v>
      </c>
      <c r="D2" t="s">
        <v>3931</v>
      </c>
      <c r="E2" t="s">
        <v>1265</v>
      </c>
      <c r="F2" t="s">
        <v>1631</v>
      </c>
      <c r="G2" t="s">
        <v>3932</v>
      </c>
      <c r="H2" t="s">
        <v>3930</v>
      </c>
      <c r="I2" t="s">
        <v>19</v>
      </c>
      <c r="P2">
        <v>1</v>
      </c>
      <c r="R2">
        <f>LEN(C2)+LEN(D2)+LEN(E2)+LEN(F2)+LEN(G2)+LEN(H2)</f>
        <v>25</v>
      </c>
      <c r="T2" t="s">
        <v>15</v>
      </c>
      <c r="U2" t="s">
        <v>22</v>
      </c>
      <c r="V2" t="s">
        <v>23</v>
      </c>
    </row>
    <row r="3" spans="1:22" x14ac:dyDescent="0.25">
      <c r="A3" t="s">
        <v>3933</v>
      </c>
      <c r="B3" t="s">
        <v>3930</v>
      </c>
      <c r="C3">
        <v>1905</v>
      </c>
      <c r="D3" t="s">
        <v>3934</v>
      </c>
      <c r="E3" t="s">
        <v>68</v>
      </c>
      <c r="F3" t="s">
        <v>1265</v>
      </c>
      <c r="G3" t="s">
        <v>3932</v>
      </c>
      <c r="H3" t="s">
        <v>3930</v>
      </c>
      <c r="I3" t="s">
        <v>19</v>
      </c>
      <c r="P3">
        <v>1</v>
      </c>
      <c r="R3">
        <f t="shared" ref="R3:R66" si="0">LEN(C3)+LEN(D3)+LEN(E3)+LEN(F3)+LEN(G3)+LEN(H3)</f>
        <v>30</v>
      </c>
      <c r="T3" t="s">
        <v>16</v>
      </c>
      <c r="U3" t="s">
        <v>23</v>
      </c>
      <c r="V3" t="s">
        <v>22</v>
      </c>
    </row>
    <row r="4" spans="1:22" x14ac:dyDescent="0.25">
      <c r="A4" t="s">
        <v>3935</v>
      </c>
      <c r="B4" t="s">
        <v>3930</v>
      </c>
      <c r="C4">
        <v>1902</v>
      </c>
      <c r="D4" t="s">
        <v>3936</v>
      </c>
      <c r="E4" t="s">
        <v>23</v>
      </c>
      <c r="F4" t="s">
        <v>3924</v>
      </c>
      <c r="G4" t="s">
        <v>3932</v>
      </c>
      <c r="H4" t="s">
        <v>3930</v>
      </c>
      <c r="I4" t="s">
        <v>19</v>
      </c>
      <c r="P4">
        <v>1</v>
      </c>
      <c r="R4">
        <f t="shared" si="0"/>
        <v>26</v>
      </c>
    </row>
    <row r="5" spans="1:22" x14ac:dyDescent="0.25">
      <c r="A5" t="s">
        <v>3937</v>
      </c>
      <c r="B5" t="s">
        <v>3938</v>
      </c>
      <c r="C5">
        <v>1892</v>
      </c>
      <c r="D5" t="s">
        <v>3939</v>
      </c>
      <c r="E5" t="s">
        <v>879</v>
      </c>
      <c r="G5" t="s">
        <v>3932</v>
      </c>
      <c r="H5" t="s">
        <v>3938</v>
      </c>
      <c r="I5" t="s">
        <v>5194</v>
      </c>
      <c r="R5">
        <f t="shared" si="0"/>
        <v>20</v>
      </c>
      <c r="T5" t="s">
        <v>36</v>
      </c>
    </row>
    <row r="6" spans="1:22" x14ac:dyDescent="0.25">
      <c r="A6" t="s">
        <v>3940</v>
      </c>
      <c r="B6" t="s">
        <v>3938</v>
      </c>
      <c r="C6">
        <v>1911</v>
      </c>
      <c r="D6" t="s">
        <v>1724</v>
      </c>
      <c r="E6" t="s">
        <v>3941</v>
      </c>
      <c r="G6" t="s">
        <v>3932</v>
      </c>
      <c r="H6" t="s">
        <v>3938</v>
      </c>
      <c r="I6" t="s">
        <v>5194</v>
      </c>
      <c r="J6" t="s">
        <v>28</v>
      </c>
      <c r="R6">
        <f t="shared" si="0"/>
        <v>23</v>
      </c>
      <c r="T6" t="s">
        <v>14</v>
      </c>
      <c r="U6" t="s">
        <v>15</v>
      </c>
      <c r="V6" t="s">
        <v>16</v>
      </c>
    </row>
    <row r="7" spans="1:22" x14ac:dyDescent="0.25">
      <c r="A7" t="s">
        <v>3942</v>
      </c>
      <c r="B7" t="s">
        <v>3938</v>
      </c>
      <c r="C7">
        <v>1907</v>
      </c>
      <c r="D7" t="s">
        <v>3943</v>
      </c>
      <c r="E7" t="s">
        <v>68</v>
      </c>
      <c r="G7" t="s">
        <v>3932</v>
      </c>
      <c r="H7" t="s">
        <v>3938</v>
      </c>
      <c r="I7" t="s">
        <v>5194</v>
      </c>
      <c r="R7">
        <f t="shared" si="0"/>
        <v>23</v>
      </c>
      <c r="T7" t="s">
        <v>15</v>
      </c>
      <c r="V7" t="s">
        <v>23</v>
      </c>
    </row>
    <row r="8" spans="1:22" x14ac:dyDescent="0.25">
      <c r="A8" t="s">
        <v>3944</v>
      </c>
      <c r="B8" t="s">
        <v>3938</v>
      </c>
      <c r="C8">
        <v>1898</v>
      </c>
      <c r="D8" t="s">
        <v>3945</v>
      </c>
      <c r="E8" t="s">
        <v>3946</v>
      </c>
      <c r="G8" t="s">
        <v>3932</v>
      </c>
      <c r="H8" t="s">
        <v>3938</v>
      </c>
      <c r="I8" t="s">
        <v>5194</v>
      </c>
      <c r="M8" t="s">
        <v>28</v>
      </c>
      <c r="R8">
        <f t="shared" si="0"/>
        <v>22</v>
      </c>
      <c r="T8" t="s">
        <v>16</v>
      </c>
      <c r="U8" t="s">
        <v>23</v>
      </c>
    </row>
    <row r="9" spans="1:22" x14ac:dyDescent="0.25">
      <c r="A9" t="s">
        <v>3947</v>
      </c>
      <c r="B9" t="s">
        <v>3938</v>
      </c>
      <c r="C9">
        <v>1892</v>
      </c>
      <c r="D9" t="s">
        <v>3948</v>
      </c>
      <c r="E9" t="s">
        <v>68</v>
      </c>
      <c r="G9" t="s">
        <v>3932</v>
      </c>
      <c r="H9" t="s">
        <v>3938</v>
      </c>
      <c r="I9" t="s">
        <v>5194</v>
      </c>
      <c r="R9">
        <f t="shared" si="0"/>
        <v>17</v>
      </c>
    </row>
    <row r="10" spans="1:22" x14ac:dyDescent="0.25">
      <c r="A10" t="s">
        <v>3949</v>
      </c>
      <c r="B10" t="s">
        <v>3938</v>
      </c>
      <c r="C10">
        <v>1911</v>
      </c>
      <c r="D10" t="s">
        <v>3950</v>
      </c>
      <c r="E10" t="s">
        <v>68</v>
      </c>
      <c r="F10" t="s">
        <v>1631</v>
      </c>
      <c r="G10" t="s">
        <v>3932</v>
      </c>
      <c r="H10" t="s">
        <v>3938</v>
      </c>
      <c r="I10" t="s">
        <v>5194</v>
      </c>
      <c r="R10">
        <f t="shared" si="0"/>
        <v>21</v>
      </c>
      <c r="T10" t="s">
        <v>57</v>
      </c>
    </row>
    <row r="11" spans="1:22" x14ac:dyDescent="0.25">
      <c r="A11" t="s">
        <v>3951</v>
      </c>
      <c r="B11" t="s">
        <v>3938</v>
      </c>
      <c r="C11">
        <v>1885</v>
      </c>
      <c r="D11" t="s">
        <v>3952</v>
      </c>
      <c r="E11" t="s">
        <v>3924</v>
      </c>
      <c r="G11" t="s">
        <v>3932</v>
      </c>
      <c r="H11" t="s">
        <v>3938</v>
      </c>
      <c r="I11" t="s">
        <v>5194</v>
      </c>
      <c r="M11" t="s">
        <v>28</v>
      </c>
      <c r="R11">
        <f t="shared" si="0"/>
        <v>23</v>
      </c>
      <c r="T11" t="s">
        <v>62</v>
      </c>
    </row>
    <row r="12" spans="1:22" x14ac:dyDescent="0.25">
      <c r="A12" t="s">
        <v>3953</v>
      </c>
      <c r="B12" t="s">
        <v>3938</v>
      </c>
      <c r="C12">
        <v>1904</v>
      </c>
      <c r="D12" t="s">
        <v>3954</v>
      </c>
      <c r="E12" t="s">
        <v>68</v>
      </c>
      <c r="F12" t="s">
        <v>68</v>
      </c>
      <c r="G12" t="s">
        <v>3932</v>
      </c>
      <c r="H12" t="s">
        <v>3938</v>
      </c>
      <c r="I12" t="s">
        <v>5194</v>
      </c>
      <c r="M12" t="s">
        <v>28</v>
      </c>
      <c r="R12">
        <f t="shared" si="0"/>
        <v>19</v>
      </c>
      <c r="T12" t="s">
        <v>1437</v>
      </c>
      <c r="U12" t="s">
        <v>68</v>
      </c>
    </row>
    <row r="13" spans="1:22" x14ac:dyDescent="0.25">
      <c r="A13" t="s">
        <v>3955</v>
      </c>
      <c r="B13" t="s">
        <v>3938</v>
      </c>
      <c r="C13">
        <v>1909</v>
      </c>
      <c r="D13" t="s">
        <v>3956</v>
      </c>
      <c r="E13" t="s">
        <v>1730</v>
      </c>
      <c r="F13" t="s">
        <v>392</v>
      </c>
      <c r="G13" t="s">
        <v>3932</v>
      </c>
      <c r="H13" t="s">
        <v>3938</v>
      </c>
      <c r="I13" t="s">
        <v>5194</v>
      </c>
      <c r="R13">
        <f t="shared" si="0"/>
        <v>30</v>
      </c>
      <c r="T13" t="s">
        <v>2769</v>
      </c>
      <c r="U13" t="s">
        <v>28</v>
      </c>
    </row>
    <row r="14" spans="1:22" x14ac:dyDescent="0.25">
      <c r="A14" t="s">
        <v>3957</v>
      </c>
      <c r="B14" t="s">
        <v>3938</v>
      </c>
      <c r="C14">
        <v>1884</v>
      </c>
      <c r="D14" t="s">
        <v>3958</v>
      </c>
      <c r="E14" t="s">
        <v>3123</v>
      </c>
      <c r="F14" t="s">
        <v>960</v>
      </c>
      <c r="G14" t="s">
        <v>3932</v>
      </c>
      <c r="H14" t="s">
        <v>3938</v>
      </c>
      <c r="I14" t="s">
        <v>5194</v>
      </c>
      <c r="R14">
        <f t="shared" si="0"/>
        <v>26</v>
      </c>
    </row>
    <row r="15" spans="1:22" x14ac:dyDescent="0.25">
      <c r="A15" t="s">
        <v>3959</v>
      </c>
      <c r="B15" t="s">
        <v>3938</v>
      </c>
      <c r="C15">
        <v>1912</v>
      </c>
      <c r="D15" t="s">
        <v>3960</v>
      </c>
      <c r="E15" t="s">
        <v>1667</v>
      </c>
      <c r="F15" t="s">
        <v>1667</v>
      </c>
      <c r="G15" t="s">
        <v>3932</v>
      </c>
      <c r="H15" t="s">
        <v>3938</v>
      </c>
      <c r="I15" t="s">
        <v>5194</v>
      </c>
      <c r="R15">
        <f t="shared" si="0"/>
        <v>25</v>
      </c>
    </row>
    <row r="16" spans="1:22" x14ac:dyDescent="0.25">
      <c r="A16" t="s">
        <v>3961</v>
      </c>
      <c r="B16" t="s">
        <v>3938</v>
      </c>
      <c r="C16">
        <v>1885</v>
      </c>
      <c r="D16" t="s">
        <v>3962</v>
      </c>
      <c r="E16" t="s">
        <v>3963</v>
      </c>
      <c r="F16" t="s">
        <v>68</v>
      </c>
      <c r="G16" t="s">
        <v>3932</v>
      </c>
      <c r="H16" t="s">
        <v>3938</v>
      </c>
      <c r="I16" t="s">
        <v>5194</v>
      </c>
      <c r="R16">
        <f t="shared" si="0"/>
        <v>26</v>
      </c>
    </row>
    <row r="17" spans="1:18" x14ac:dyDescent="0.25">
      <c r="A17" t="s">
        <v>3964</v>
      </c>
      <c r="B17" t="s">
        <v>3938</v>
      </c>
      <c r="C17">
        <v>1912</v>
      </c>
      <c r="D17" t="s">
        <v>3965</v>
      </c>
      <c r="E17" t="s">
        <v>1631</v>
      </c>
      <c r="G17" t="s">
        <v>3932</v>
      </c>
      <c r="H17" t="s">
        <v>3938</v>
      </c>
      <c r="I17" t="s">
        <v>5194</v>
      </c>
      <c r="M17" t="s">
        <v>28</v>
      </c>
      <c r="R17">
        <f t="shared" si="0"/>
        <v>21</v>
      </c>
    </row>
    <row r="18" spans="1:18" x14ac:dyDescent="0.25">
      <c r="A18" t="s">
        <v>3966</v>
      </c>
      <c r="B18" t="s">
        <v>3938</v>
      </c>
      <c r="C18">
        <v>1906</v>
      </c>
      <c r="D18" t="s">
        <v>3967</v>
      </c>
      <c r="E18" t="s">
        <v>392</v>
      </c>
      <c r="G18" t="s">
        <v>3932</v>
      </c>
      <c r="H18" t="s">
        <v>3938</v>
      </c>
      <c r="I18" t="s">
        <v>5194</v>
      </c>
      <c r="R18">
        <f t="shared" si="0"/>
        <v>20</v>
      </c>
    </row>
    <row r="19" spans="1:18" x14ac:dyDescent="0.25">
      <c r="A19" t="s">
        <v>3968</v>
      </c>
      <c r="B19" t="s">
        <v>3938</v>
      </c>
      <c r="C19">
        <v>1910</v>
      </c>
      <c r="D19" t="s">
        <v>3969</v>
      </c>
      <c r="E19" t="s">
        <v>68</v>
      </c>
      <c r="G19" t="s">
        <v>3932</v>
      </c>
      <c r="H19" t="s">
        <v>3938</v>
      </c>
      <c r="I19" t="s">
        <v>5194</v>
      </c>
      <c r="M19" t="s">
        <v>28</v>
      </c>
      <c r="R19">
        <f t="shared" si="0"/>
        <v>21</v>
      </c>
    </row>
    <row r="20" spans="1:18" x14ac:dyDescent="0.25">
      <c r="A20" t="s">
        <v>3970</v>
      </c>
      <c r="B20" t="s">
        <v>3938</v>
      </c>
      <c r="C20">
        <v>1894</v>
      </c>
      <c r="D20" t="s">
        <v>2300</v>
      </c>
      <c r="E20" t="s">
        <v>3924</v>
      </c>
      <c r="G20" t="s">
        <v>3932</v>
      </c>
      <c r="H20" t="s">
        <v>3938</v>
      </c>
      <c r="I20" t="s">
        <v>5194</v>
      </c>
      <c r="L20" t="s">
        <v>28</v>
      </c>
      <c r="R20">
        <f t="shared" si="0"/>
        <v>20</v>
      </c>
    </row>
    <row r="21" spans="1:18" x14ac:dyDescent="0.25">
      <c r="A21" t="s">
        <v>3971</v>
      </c>
      <c r="B21" t="s">
        <v>3938</v>
      </c>
      <c r="C21">
        <v>1912</v>
      </c>
      <c r="D21" t="s">
        <v>3972</v>
      </c>
      <c r="E21" t="s">
        <v>22</v>
      </c>
      <c r="G21" t="s">
        <v>3932</v>
      </c>
      <c r="H21" t="s">
        <v>3938</v>
      </c>
      <c r="I21" t="s">
        <v>5194</v>
      </c>
      <c r="K21" t="s">
        <v>28</v>
      </c>
      <c r="M21" t="s">
        <v>28</v>
      </c>
      <c r="R21">
        <f t="shared" si="0"/>
        <v>17</v>
      </c>
    </row>
    <row r="22" spans="1:18" x14ac:dyDescent="0.25">
      <c r="A22" t="s">
        <v>3973</v>
      </c>
      <c r="B22" t="s">
        <v>3938</v>
      </c>
      <c r="C22">
        <v>1902</v>
      </c>
      <c r="D22" t="s">
        <v>3974</v>
      </c>
      <c r="E22" t="s">
        <v>1631</v>
      </c>
      <c r="F22" t="s">
        <v>879</v>
      </c>
      <c r="G22" t="s">
        <v>3932</v>
      </c>
      <c r="H22" t="s">
        <v>3938</v>
      </c>
      <c r="I22" t="s">
        <v>5194</v>
      </c>
      <c r="K22" t="s">
        <v>68</v>
      </c>
      <c r="Q22">
        <v>1</v>
      </c>
      <c r="R22">
        <f t="shared" si="0"/>
        <v>23</v>
      </c>
    </row>
    <row r="23" spans="1:18" x14ac:dyDescent="0.25">
      <c r="A23" t="s">
        <v>3975</v>
      </c>
      <c r="B23" t="s">
        <v>3938</v>
      </c>
      <c r="C23">
        <v>1884</v>
      </c>
      <c r="D23" t="s">
        <v>3976</v>
      </c>
      <c r="E23" t="s">
        <v>1265</v>
      </c>
      <c r="G23" t="s">
        <v>3932</v>
      </c>
      <c r="H23" t="s">
        <v>3938</v>
      </c>
      <c r="I23" t="s">
        <v>5194</v>
      </c>
      <c r="R23">
        <f t="shared" si="0"/>
        <v>19</v>
      </c>
    </row>
    <row r="24" spans="1:18" x14ac:dyDescent="0.25">
      <c r="A24" t="s">
        <v>3977</v>
      </c>
      <c r="B24" t="s">
        <v>3938</v>
      </c>
      <c r="C24">
        <v>1903</v>
      </c>
      <c r="D24" t="s">
        <v>3978</v>
      </c>
      <c r="E24" t="s">
        <v>23</v>
      </c>
      <c r="F24" t="s">
        <v>879</v>
      </c>
      <c r="G24" t="s">
        <v>3932</v>
      </c>
      <c r="H24" t="s">
        <v>3938</v>
      </c>
      <c r="I24" t="s">
        <v>5194</v>
      </c>
      <c r="R24">
        <f t="shared" si="0"/>
        <v>25</v>
      </c>
    </row>
    <row r="25" spans="1:18" x14ac:dyDescent="0.25">
      <c r="A25" t="s">
        <v>3979</v>
      </c>
      <c r="B25" t="s">
        <v>3938</v>
      </c>
      <c r="C25">
        <v>1892</v>
      </c>
      <c r="D25" t="s">
        <v>3980</v>
      </c>
      <c r="E25" t="s">
        <v>1389</v>
      </c>
      <c r="F25" t="s">
        <v>1631</v>
      </c>
      <c r="G25" t="s">
        <v>3932</v>
      </c>
      <c r="H25" t="s">
        <v>3938</v>
      </c>
      <c r="I25" t="s">
        <v>5194</v>
      </c>
      <c r="R25">
        <f t="shared" si="0"/>
        <v>24</v>
      </c>
    </row>
    <row r="26" spans="1:18" x14ac:dyDescent="0.25">
      <c r="A26" t="s">
        <v>3981</v>
      </c>
      <c r="B26" t="s">
        <v>3938</v>
      </c>
      <c r="C26">
        <v>1893</v>
      </c>
      <c r="D26" t="s">
        <v>3982</v>
      </c>
      <c r="E26" t="s">
        <v>68</v>
      </c>
      <c r="G26" t="s">
        <v>3932</v>
      </c>
      <c r="H26" t="s">
        <v>3938</v>
      </c>
      <c r="I26" t="s">
        <v>5194</v>
      </c>
      <c r="R26">
        <f t="shared" si="0"/>
        <v>19</v>
      </c>
    </row>
    <row r="27" spans="1:18" x14ac:dyDescent="0.25">
      <c r="A27" t="s">
        <v>3983</v>
      </c>
      <c r="B27" t="s">
        <v>3938</v>
      </c>
      <c r="C27">
        <v>1906</v>
      </c>
      <c r="D27" t="s">
        <v>3984</v>
      </c>
      <c r="E27" t="s">
        <v>960</v>
      </c>
      <c r="F27" t="s">
        <v>68</v>
      </c>
      <c r="G27" t="s">
        <v>3932</v>
      </c>
      <c r="H27" t="s">
        <v>3938</v>
      </c>
      <c r="I27" t="s">
        <v>5194</v>
      </c>
      <c r="R27">
        <f t="shared" si="0"/>
        <v>21</v>
      </c>
    </row>
    <row r="28" spans="1:18" x14ac:dyDescent="0.25">
      <c r="A28" t="s">
        <v>3985</v>
      </c>
      <c r="B28" t="s">
        <v>3986</v>
      </c>
      <c r="C28">
        <v>1905</v>
      </c>
      <c r="D28" t="s">
        <v>3987</v>
      </c>
      <c r="E28" t="s">
        <v>960</v>
      </c>
      <c r="G28" t="s">
        <v>3932</v>
      </c>
      <c r="H28" t="s">
        <v>3986</v>
      </c>
      <c r="I28" t="s">
        <v>5315</v>
      </c>
      <c r="J28" s="6" t="s">
        <v>28</v>
      </c>
      <c r="R28">
        <f t="shared" si="0"/>
        <v>20</v>
      </c>
    </row>
    <row r="29" spans="1:18" x14ac:dyDescent="0.25">
      <c r="A29" t="s">
        <v>3988</v>
      </c>
      <c r="B29" t="s">
        <v>3986</v>
      </c>
      <c r="C29">
        <v>1905</v>
      </c>
      <c r="D29" t="s">
        <v>3989</v>
      </c>
      <c r="E29" t="s">
        <v>878</v>
      </c>
      <c r="G29" t="s">
        <v>3932</v>
      </c>
      <c r="H29" t="s">
        <v>3986</v>
      </c>
      <c r="I29" t="s">
        <v>5315</v>
      </c>
      <c r="J29" s="6" t="s">
        <v>28</v>
      </c>
      <c r="R29">
        <f t="shared" si="0"/>
        <v>22</v>
      </c>
    </row>
    <row r="30" spans="1:18" x14ac:dyDescent="0.25">
      <c r="A30" t="s">
        <v>3990</v>
      </c>
      <c r="B30" t="s">
        <v>3986</v>
      </c>
      <c r="C30">
        <v>1905</v>
      </c>
      <c r="D30" t="s">
        <v>3991</v>
      </c>
      <c r="E30" t="s">
        <v>1667</v>
      </c>
      <c r="G30" t="s">
        <v>3932</v>
      </c>
      <c r="H30" t="s">
        <v>3986</v>
      </c>
      <c r="I30" t="s">
        <v>5315</v>
      </c>
      <c r="J30" s="6" t="s">
        <v>28</v>
      </c>
      <c r="R30">
        <f t="shared" si="0"/>
        <v>22</v>
      </c>
    </row>
    <row r="31" spans="1:18" x14ac:dyDescent="0.25">
      <c r="A31" t="s">
        <v>3992</v>
      </c>
      <c r="B31" t="s">
        <v>3993</v>
      </c>
      <c r="C31">
        <v>1865</v>
      </c>
      <c r="D31" t="s">
        <v>3994</v>
      </c>
      <c r="E31" t="s">
        <v>392</v>
      </c>
      <c r="I31" t="s">
        <v>7293</v>
      </c>
      <c r="J31" t="s">
        <v>28</v>
      </c>
      <c r="M31" t="s">
        <v>28</v>
      </c>
      <c r="N31" t="s">
        <v>28</v>
      </c>
      <c r="O31" t="s">
        <v>28</v>
      </c>
      <c r="R31">
        <f t="shared" si="0"/>
        <v>13</v>
      </c>
    </row>
    <row r="32" spans="1:18" x14ac:dyDescent="0.25">
      <c r="A32" t="s">
        <v>3995</v>
      </c>
      <c r="B32" t="s">
        <v>3993</v>
      </c>
      <c r="C32">
        <v>1871</v>
      </c>
      <c r="D32" t="s">
        <v>3996</v>
      </c>
      <c r="E32" t="s">
        <v>3997</v>
      </c>
      <c r="F32" t="s">
        <v>3998</v>
      </c>
      <c r="I32" t="s">
        <v>7294</v>
      </c>
      <c r="J32" t="s">
        <v>3999</v>
      </c>
      <c r="N32" t="s">
        <v>28</v>
      </c>
      <c r="O32" t="s">
        <v>28</v>
      </c>
      <c r="R32">
        <f t="shared" si="0"/>
        <v>21</v>
      </c>
    </row>
    <row r="33" spans="1:18" x14ac:dyDescent="0.25">
      <c r="A33" t="s">
        <v>4000</v>
      </c>
      <c r="B33" t="s">
        <v>3993</v>
      </c>
      <c r="C33">
        <v>1871</v>
      </c>
      <c r="D33" t="s">
        <v>1648</v>
      </c>
      <c r="E33" t="s">
        <v>2852</v>
      </c>
      <c r="F33" t="s">
        <v>4001</v>
      </c>
      <c r="G33" t="s">
        <v>3932</v>
      </c>
      <c r="H33" t="s">
        <v>4002</v>
      </c>
      <c r="I33" t="s">
        <v>7295</v>
      </c>
      <c r="R33">
        <f t="shared" si="0"/>
        <v>43</v>
      </c>
    </row>
    <row r="34" spans="1:18" x14ac:dyDescent="0.25">
      <c r="A34" t="s">
        <v>4003</v>
      </c>
      <c r="B34" t="s">
        <v>3993</v>
      </c>
      <c r="C34">
        <v>1871</v>
      </c>
      <c r="D34" t="s">
        <v>4004</v>
      </c>
      <c r="E34" t="s">
        <v>4005</v>
      </c>
      <c r="G34" t="s">
        <v>3932</v>
      </c>
      <c r="H34" t="s">
        <v>4002</v>
      </c>
      <c r="I34" t="s">
        <v>7296</v>
      </c>
      <c r="J34" t="s">
        <v>28</v>
      </c>
      <c r="R34">
        <f t="shared" si="0"/>
        <v>39</v>
      </c>
    </row>
    <row r="35" spans="1:18" x14ac:dyDescent="0.25">
      <c r="A35" t="s">
        <v>4006</v>
      </c>
      <c r="B35" t="s">
        <v>3993</v>
      </c>
      <c r="C35">
        <v>1873</v>
      </c>
      <c r="D35" t="s">
        <v>4007</v>
      </c>
      <c r="E35" t="s">
        <v>4008</v>
      </c>
      <c r="F35" t="s">
        <v>3997</v>
      </c>
      <c r="G35" t="s">
        <v>3932</v>
      </c>
      <c r="H35" t="s">
        <v>4002</v>
      </c>
      <c r="I35" t="s">
        <v>7297</v>
      </c>
      <c r="R35">
        <f t="shared" si="0"/>
        <v>44</v>
      </c>
    </row>
    <row r="36" spans="1:18" x14ac:dyDescent="0.25">
      <c r="A36" t="s">
        <v>4009</v>
      </c>
      <c r="B36" t="s">
        <v>3993</v>
      </c>
      <c r="C36">
        <v>1874</v>
      </c>
      <c r="D36" t="s">
        <v>4010</v>
      </c>
      <c r="E36" t="s">
        <v>494</v>
      </c>
      <c r="I36" t="s">
        <v>7298</v>
      </c>
      <c r="J36" t="s">
        <v>28</v>
      </c>
      <c r="N36" t="s">
        <v>28</v>
      </c>
      <c r="O36" t="s">
        <v>28</v>
      </c>
      <c r="R36">
        <f t="shared" si="0"/>
        <v>12</v>
      </c>
    </row>
    <row r="37" spans="1:18" x14ac:dyDescent="0.25">
      <c r="A37" t="s">
        <v>4011</v>
      </c>
      <c r="B37" t="s">
        <v>3993</v>
      </c>
      <c r="C37">
        <v>1876</v>
      </c>
      <c r="D37" t="s">
        <v>4012</v>
      </c>
      <c r="E37" t="s">
        <v>4013</v>
      </c>
      <c r="F37" t="s">
        <v>4014</v>
      </c>
      <c r="I37" t="s">
        <v>7299</v>
      </c>
      <c r="J37" t="s">
        <v>28</v>
      </c>
      <c r="K37" t="s">
        <v>68</v>
      </c>
      <c r="M37" t="s">
        <v>68</v>
      </c>
      <c r="N37" t="s">
        <v>28</v>
      </c>
      <c r="O37" t="s">
        <v>28</v>
      </c>
      <c r="Q37">
        <v>3</v>
      </c>
      <c r="R37">
        <f t="shared" si="0"/>
        <v>26</v>
      </c>
    </row>
    <row r="38" spans="1:18" x14ac:dyDescent="0.25">
      <c r="A38" t="s">
        <v>4015</v>
      </c>
      <c r="B38" t="s">
        <v>3993</v>
      </c>
      <c r="C38">
        <v>1877</v>
      </c>
      <c r="D38" t="s">
        <v>4016</v>
      </c>
      <c r="E38" t="s">
        <v>494</v>
      </c>
      <c r="F38" t="s">
        <v>4008</v>
      </c>
      <c r="G38" t="s">
        <v>3932</v>
      </c>
      <c r="H38" t="s">
        <v>4002</v>
      </c>
      <c r="I38" t="s">
        <v>7300</v>
      </c>
      <c r="K38" t="s">
        <v>68</v>
      </c>
      <c r="Q38">
        <v>1</v>
      </c>
      <c r="R38">
        <f t="shared" si="0"/>
        <v>40</v>
      </c>
    </row>
    <row r="39" spans="1:18" x14ac:dyDescent="0.25">
      <c r="A39" t="s">
        <v>4017</v>
      </c>
      <c r="B39" t="s">
        <v>3993</v>
      </c>
      <c r="C39">
        <v>1876</v>
      </c>
      <c r="D39" t="s">
        <v>4018</v>
      </c>
      <c r="E39" t="s">
        <v>4019</v>
      </c>
      <c r="F39" t="s">
        <v>3963</v>
      </c>
      <c r="I39" t="s">
        <v>7301</v>
      </c>
      <c r="N39" t="s">
        <v>28</v>
      </c>
      <c r="O39" t="s">
        <v>28</v>
      </c>
      <c r="R39">
        <f t="shared" si="0"/>
        <v>24</v>
      </c>
    </row>
    <row r="40" spans="1:18" x14ac:dyDescent="0.25">
      <c r="A40" t="s">
        <v>4020</v>
      </c>
      <c r="B40" t="s">
        <v>3993</v>
      </c>
      <c r="C40">
        <v>1883</v>
      </c>
      <c r="D40" t="s">
        <v>4021</v>
      </c>
      <c r="E40" t="s">
        <v>4019</v>
      </c>
      <c r="F40" t="s">
        <v>494</v>
      </c>
      <c r="G40" t="s">
        <v>3932</v>
      </c>
      <c r="H40" t="s">
        <v>4002</v>
      </c>
      <c r="I40" t="s">
        <v>7302</v>
      </c>
      <c r="R40">
        <f t="shared" si="0"/>
        <v>45</v>
      </c>
    </row>
    <row r="41" spans="1:18" x14ac:dyDescent="0.25">
      <c r="A41" t="s">
        <v>4022</v>
      </c>
      <c r="B41" t="s">
        <v>3993</v>
      </c>
      <c r="C41">
        <v>1877</v>
      </c>
      <c r="D41" t="s">
        <v>4023</v>
      </c>
      <c r="E41" t="s">
        <v>4024</v>
      </c>
      <c r="I41" t="s">
        <v>7303</v>
      </c>
      <c r="J41" t="s">
        <v>28</v>
      </c>
      <c r="N41" t="s">
        <v>28</v>
      </c>
      <c r="O41" t="s">
        <v>28</v>
      </c>
      <c r="R41">
        <f t="shared" si="0"/>
        <v>20</v>
      </c>
    </row>
    <row r="42" spans="1:18" x14ac:dyDescent="0.25">
      <c r="A42" t="s">
        <v>4025</v>
      </c>
      <c r="B42" t="s">
        <v>3993</v>
      </c>
      <c r="C42">
        <v>1886</v>
      </c>
      <c r="D42" t="s">
        <v>4026</v>
      </c>
      <c r="E42" t="s">
        <v>4027</v>
      </c>
      <c r="F42" t="s">
        <v>4028</v>
      </c>
      <c r="G42" t="s">
        <v>3932</v>
      </c>
      <c r="H42" t="s">
        <v>4002</v>
      </c>
      <c r="I42" t="s">
        <v>7304</v>
      </c>
      <c r="R42">
        <f t="shared" si="0"/>
        <v>47</v>
      </c>
    </row>
    <row r="43" spans="1:18" x14ac:dyDescent="0.25">
      <c r="A43" t="s">
        <v>4029</v>
      </c>
      <c r="B43" t="s">
        <v>3993</v>
      </c>
      <c r="C43">
        <v>1883</v>
      </c>
      <c r="D43" t="s">
        <v>4030</v>
      </c>
      <c r="E43" t="s">
        <v>4031</v>
      </c>
      <c r="I43" t="s">
        <v>7305</v>
      </c>
      <c r="J43" t="s">
        <v>28</v>
      </c>
      <c r="N43" t="s">
        <v>28</v>
      </c>
      <c r="O43" t="s">
        <v>28</v>
      </c>
      <c r="R43">
        <f t="shared" si="0"/>
        <v>14</v>
      </c>
    </row>
    <row r="44" spans="1:18" x14ac:dyDescent="0.25">
      <c r="A44" t="s">
        <v>4032</v>
      </c>
      <c r="B44" t="s">
        <v>3993</v>
      </c>
      <c r="C44">
        <v>1883</v>
      </c>
      <c r="D44" t="s">
        <v>3950</v>
      </c>
      <c r="E44" t="s">
        <v>1702</v>
      </c>
      <c r="F44" t="s">
        <v>4033</v>
      </c>
      <c r="I44" t="s">
        <v>7306</v>
      </c>
      <c r="J44" t="s">
        <v>28</v>
      </c>
      <c r="N44" t="s">
        <v>28</v>
      </c>
      <c r="O44" t="s">
        <v>28</v>
      </c>
      <c r="R44">
        <f t="shared" si="0"/>
        <v>19</v>
      </c>
    </row>
    <row r="45" spans="1:18" x14ac:dyDescent="0.25">
      <c r="A45" t="s">
        <v>4034</v>
      </c>
      <c r="B45" t="s">
        <v>3993</v>
      </c>
      <c r="C45">
        <v>1884</v>
      </c>
      <c r="D45" t="s">
        <v>4035</v>
      </c>
      <c r="G45" t="s">
        <v>3932</v>
      </c>
      <c r="H45" t="s">
        <v>4002</v>
      </c>
      <c r="I45" t="s">
        <v>19</v>
      </c>
      <c r="L45" t="s">
        <v>28</v>
      </c>
      <c r="M45" t="s">
        <v>28</v>
      </c>
      <c r="R45">
        <f t="shared" si="0"/>
        <v>33</v>
      </c>
    </row>
    <row r="46" spans="1:18" x14ac:dyDescent="0.25">
      <c r="A46" t="s">
        <v>4036</v>
      </c>
      <c r="B46" t="s">
        <v>3993</v>
      </c>
      <c r="C46">
        <v>1885</v>
      </c>
      <c r="D46" t="s">
        <v>4037</v>
      </c>
      <c r="E46" t="s">
        <v>4038</v>
      </c>
      <c r="G46" t="s">
        <v>3932</v>
      </c>
      <c r="H46" t="s">
        <v>4002</v>
      </c>
      <c r="I46" t="s">
        <v>7307</v>
      </c>
      <c r="R46">
        <f t="shared" si="0"/>
        <v>41</v>
      </c>
    </row>
    <row r="47" spans="1:18" x14ac:dyDescent="0.25">
      <c r="A47" t="s">
        <v>4039</v>
      </c>
      <c r="B47" t="s">
        <v>3993</v>
      </c>
      <c r="C47">
        <v>1889</v>
      </c>
      <c r="D47" t="s">
        <v>4040</v>
      </c>
      <c r="G47" t="s">
        <v>3932</v>
      </c>
      <c r="H47" t="s">
        <v>4002</v>
      </c>
      <c r="I47" t="s">
        <v>19</v>
      </c>
      <c r="L47" t="s">
        <v>28</v>
      </c>
      <c r="R47">
        <f t="shared" si="0"/>
        <v>39</v>
      </c>
    </row>
    <row r="48" spans="1:18" x14ac:dyDescent="0.25">
      <c r="A48" t="s">
        <v>4041</v>
      </c>
      <c r="B48" t="s">
        <v>3993</v>
      </c>
      <c r="C48">
        <v>1887</v>
      </c>
      <c r="D48" t="s">
        <v>4042</v>
      </c>
      <c r="E48" t="s">
        <v>3791</v>
      </c>
      <c r="G48" t="s">
        <v>3932</v>
      </c>
      <c r="H48" t="s">
        <v>4002</v>
      </c>
      <c r="I48" t="s">
        <v>7308</v>
      </c>
      <c r="R48">
        <f t="shared" si="0"/>
        <v>33</v>
      </c>
    </row>
    <row r="49" spans="1:18" x14ac:dyDescent="0.25">
      <c r="A49" t="s">
        <v>4043</v>
      </c>
      <c r="B49" t="s">
        <v>3993</v>
      </c>
      <c r="C49">
        <v>1889</v>
      </c>
      <c r="D49" t="s">
        <v>4044</v>
      </c>
      <c r="E49" t="s">
        <v>4045</v>
      </c>
      <c r="G49" t="s">
        <v>3932</v>
      </c>
      <c r="H49" t="s">
        <v>4002</v>
      </c>
      <c r="I49" t="s">
        <v>7309</v>
      </c>
      <c r="R49">
        <f t="shared" si="0"/>
        <v>39</v>
      </c>
    </row>
    <row r="50" spans="1:18" x14ac:dyDescent="0.25">
      <c r="A50" t="s">
        <v>4046</v>
      </c>
      <c r="B50" t="s">
        <v>3993</v>
      </c>
      <c r="C50">
        <v>1889</v>
      </c>
      <c r="D50" t="s">
        <v>4047</v>
      </c>
      <c r="E50" t="s">
        <v>4048</v>
      </c>
      <c r="F50" t="s">
        <v>4049</v>
      </c>
      <c r="I50" t="s">
        <v>7294</v>
      </c>
      <c r="J50" t="s">
        <v>28</v>
      </c>
      <c r="N50" t="s">
        <v>28</v>
      </c>
      <c r="O50" t="s">
        <v>28</v>
      </c>
      <c r="R50">
        <f t="shared" si="0"/>
        <v>18</v>
      </c>
    </row>
    <row r="51" spans="1:18" x14ac:dyDescent="0.25">
      <c r="A51" t="s">
        <v>4050</v>
      </c>
      <c r="B51" t="s">
        <v>3993</v>
      </c>
      <c r="C51">
        <v>1890</v>
      </c>
      <c r="D51" t="s">
        <v>4051</v>
      </c>
      <c r="E51" t="s">
        <v>4052</v>
      </c>
      <c r="F51" t="s">
        <v>4053</v>
      </c>
      <c r="G51" t="s">
        <v>3932</v>
      </c>
      <c r="H51" t="s">
        <v>4002</v>
      </c>
      <c r="I51" t="s">
        <v>7310</v>
      </c>
      <c r="R51">
        <f t="shared" si="0"/>
        <v>49</v>
      </c>
    </row>
    <row r="52" spans="1:18" x14ac:dyDescent="0.25">
      <c r="A52" t="s">
        <v>4054</v>
      </c>
      <c r="B52" t="s">
        <v>3993</v>
      </c>
      <c r="C52">
        <v>1890</v>
      </c>
      <c r="D52" t="s">
        <v>4055</v>
      </c>
      <c r="E52" t="s">
        <v>4056</v>
      </c>
      <c r="F52" t="s">
        <v>494</v>
      </c>
      <c r="G52" t="s">
        <v>3932</v>
      </c>
      <c r="H52" t="s">
        <v>4002</v>
      </c>
      <c r="I52" t="s">
        <v>189</v>
      </c>
      <c r="R52">
        <f t="shared" si="0"/>
        <v>44</v>
      </c>
    </row>
    <row r="53" spans="1:18" x14ac:dyDescent="0.25">
      <c r="A53" t="s">
        <v>4057</v>
      </c>
      <c r="B53" t="s">
        <v>3993</v>
      </c>
      <c r="C53">
        <v>1890</v>
      </c>
      <c r="D53" t="s">
        <v>4058</v>
      </c>
      <c r="E53" t="s">
        <v>4059</v>
      </c>
      <c r="I53" t="s">
        <v>7311</v>
      </c>
      <c r="J53" t="s">
        <v>28</v>
      </c>
      <c r="N53" t="s">
        <v>28</v>
      </c>
      <c r="O53" t="s">
        <v>28</v>
      </c>
      <c r="R53">
        <f t="shared" si="0"/>
        <v>22</v>
      </c>
    </row>
    <row r="54" spans="1:18" x14ac:dyDescent="0.25">
      <c r="A54" t="s">
        <v>4060</v>
      </c>
      <c r="B54" t="s">
        <v>3993</v>
      </c>
      <c r="C54">
        <v>1891</v>
      </c>
      <c r="D54" t="s">
        <v>4061</v>
      </c>
      <c r="E54" t="s">
        <v>4062</v>
      </c>
      <c r="F54" t="s">
        <v>4063</v>
      </c>
      <c r="G54" t="s">
        <v>3932</v>
      </c>
      <c r="H54" t="s">
        <v>4002</v>
      </c>
      <c r="I54" t="s">
        <v>7312</v>
      </c>
      <c r="R54">
        <f t="shared" si="0"/>
        <v>48</v>
      </c>
    </row>
    <row r="55" spans="1:18" x14ac:dyDescent="0.25">
      <c r="A55" t="s">
        <v>4064</v>
      </c>
      <c r="B55" t="s">
        <v>3993</v>
      </c>
      <c r="C55">
        <v>1893</v>
      </c>
      <c r="D55" t="s">
        <v>4065</v>
      </c>
      <c r="E55" t="s">
        <v>4045</v>
      </c>
      <c r="G55" t="s">
        <v>3932</v>
      </c>
      <c r="H55" t="s">
        <v>4002</v>
      </c>
      <c r="I55" t="s">
        <v>7313</v>
      </c>
      <c r="R55">
        <f t="shared" si="0"/>
        <v>36</v>
      </c>
    </row>
    <row r="56" spans="1:18" x14ac:dyDescent="0.25">
      <c r="A56" t="s">
        <v>4066</v>
      </c>
      <c r="B56" t="s">
        <v>3993</v>
      </c>
      <c r="C56">
        <v>1893</v>
      </c>
      <c r="D56" t="s">
        <v>4067</v>
      </c>
      <c r="E56" t="s">
        <v>561</v>
      </c>
      <c r="F56" t="s">
        <v>2708</v>
      </c>
      <c r="G56" t="s">
        <v>3932</v>
      </c>
      <c r="H56" t="s">
        <v>4002</v>
      </c>
      <c r="I56" t="s">
        <v>7314</v>
      </c>
      <c r="R56">
        <f t="shared" si="0"/>
        <v>45</v>
      </c>
    </row>
    <row r="57" spans="1:18" x14ac:dyDescent="0.25">
      <c r="A57" t="s">
        <v>4068</v>
      </c>
      <c r="B57" t="s">
        <v>3993</v>
      </c>
      <c r="C57">
        <v>1897</v>
      </c>
      <c r="D57" t="s">
        <v>4069</v>
      </c>
      <c r="E57" t="s">
        <v>4048</v>
      </c>
      <c r="F57" t="s">
        <v>4059</v>
      </c>
      <c r="I57" t="s">
        <v>7315</v>
      </c>
      <c r="N57" t="s">
        <v>28</v>
      </c>
      <c r="O57" t="s">
        <v>28</v>
      </c>
      <c r="R57">
        <f t="shared" si="0"/>
        <v>25</v>
      </c>
    </row>
    <row r="58" spans="1:18" x14ac:dyDescent="0.25">
      <c r="A58" t="s">
        <v>4070</v>
      </c>
      <c r="B58" t="s">
        <v>3993</v>
      </c>
      <c r="C58">
        <v>1895</v>
      </c>
      <c r="D58" t="s">
        <v>4071</v>
      </c>
      <c r="E58" t="s">
        <v>4072</v>
      </c>
      <c r="F58" t="s">
        <v>4027</v>
      </c>
      <c r="I58" t="s">
        <v>7316</v>
      </c>
      <c r="J58" t="s">
        <v>28</v>
      </c>
      <c r="N58" t="s">
        <v>28</v>
      </c>
      <c r="O58" t="s">
        <v>28</v>
      </c>
      <c r="R58">
        <f t="shared" si="0"/>
        <v>24</v>
      </c>
    </row>
    <row r="59" spans="1:18" x14ac:dyDescent="0.25">
      <c r="A59" t="s">
        <v>4073</v>
      </c>
      <c r="B59" t="s">
        <v>3993</v>
      </c>
      <c r="C59">
        <v>1900</v>
      </c>
      <c r="D59" t="s">
        <v>4074</v>
      </c>
      <c r="E59" t="s">
        <v>4075</v>
      </c>
      <c r="I59" t="s">
        <v>7317</v>
      </c>
      <c r="N59" t="s">
        <v>28</v>
      </c>
      <c r="O59" t="s">
        <v>28</v>
      </c>
      <c r="R59">
        <f t="shared" si="0"/>
        <v>18</v>
      </c>
    </row>
    <row r="60" spans="1:18" x14ac:dyDescent="0.25">
      <c r="A60" t="s">
        <v>4076</v>
      </c>
      <c r="B60" t="s">
        <v>3993</v>
      </c>
      <c r="C60">
        <v>1896</v>
      </c>
      <c r="D60" t="s">
        <v>4077</v>
      </c>
      <c r="E60" t="s">
        <v>4052</v>
      </c>
      <c r="F60" t="s">
        <v>4078</v>
      </c>
      <c r="G60" t="s">
        <v>3932</v>
      </c>
      <c r="H60" t="s">
        <v>4002</v>
      </c>
      <c r="I60" t="s">
        <v>7318</v>
      </c>
      <c r="R60">
        <f t="shared" si="0"/>
        <v>44</v>
      </c>
    </row>
    <row r="61" spans="1:18" x14ac:dyDescent="0.25">
      <c r="A61" t="s">
        <v>4079</v>
      </c>
      <c r="B61" t="s">
        <v>3993</v>
      </c>
      <c r="C61">
        <v>1897</v>
      </c>
      <c r="D61" t="s">
        <v>4080</v>
      </c>
      <c r="E61" t="s">
        <v>4081</v>
      </c>
      <c r="G61" t="s">
        <v>3932</v>
      </c>
      <c r="H61" t="s">
        <v>4002</v>
      </c>
      <c r="I61" t="s">
        <v>7319</v>
      </c>
      <c r="R61">
        <f t="shared" si="0"/>
        <v>45</v>
      </c>
    </row>
    <row r="62" spans="1:18" x14ac:dyDescent="0.25">
      <c r="A62" t="s">
        <v>4082</v>
      </c>
      <c r="B62" t="s">
        <v>3993</v>
      </c>
      <c r="C62">
        <v>1897</v>
      </c>
      <c r="D62" t="s">
        <v>4083</v>
      </c>
      <c r="E62" t="s">
        <v>4084</v>
      </c>
      <c r="F62" t="s">
        <v>3791</v>
      </c>
      <c r="I62" t="s">
        <v>7320</v>
      </c>
      <c r="J62" t="s">
        <v>28</v>
      </c>
      <c r="N62" t="s">
        <v>28</v>
      </c>
      <c r="O62" t="s">
        <v>28</v>
      </c>
      <c r="R62">
        <f t="shared" si="0"/>
        <v>24</v>
      </c>
    </row>
    <row r="63" spans="1:18" x14ac:dyDescent="0.25">
      <c r="A63" t="s">
        <v>4085</v>
      </c>
      <c r="B63" t="s">
        <v>3993</v>
      </c>
      <c r="C63">
        <v>1897</v>
      </c>
      <c r="D63" t="s">
        <v>4086</v>
      </c>
      <c r="E63" t="s">
        <v>4072</v>
      </c>
      <c r="F63" t="s">
        <v>3998</v>
      </c>
      <c r="I63" t="s">
        <v>7321</v>
      </c>
      <c r="J63" t="s">
        <v>28</v>
      </c>
      <c r="N63" t="s">
        <v>28</v>
      </c>
      <c r="O63" t="s">
        <v>28</v>
      </c>
      <c r="R63">
        <f t="shared" si="0"/>
        <v>23</v>
      </c>
    </row>
    <row r="64" spans="1:18" x14ac:dyDescent="0.25">
      <c r="A64" t="s">
        <v>4087</v>
      </c>
      <c r="B64" t="s">
        <v>3993</v>
      </c>
      <c r="C64">
        <v>1898</v>
      </c>
      <c r="D64" t="s">
        <v>4088</v>
      </c>
      <c r="E64" t="s">
        <v>3138</v>
      </c>
      <c r="F64" t="s">
        <v>4013</v>
      </c>
      <c r="G64" t="s">
        <v>3932</v>
      </c>
      <c r="H64" t="s">
        <v>4002</v>
      </c>
      <c r="I64" t="s">
        <v>7299</v>
      </c>
      <c r="R64">
        <f t="shared" si="0"/>
        <v>43</v>
      </c>
    </row>
    <row r="65" spans="1:18" x14ac:dyDescent="0.25">
      <c r="A65" t="s">
        <v>4089</v>
      </c>
      <c r="B65" t="s">
        <v>3993</v>
      </c>
      <c r="C65">
        <v>1899</v>
      </c>
      <c r="D65" t="s">
        <v>4090</v>
      </c>
      <c r="E65" t="s">
        <v>4008</v>
      </c>
      <c r="F65" t="s">
        <v>4027</v>
      </c>
      <c r="G65" t="s">
        <v>3932</v>
      </c>
      <c r="H65" t="s">
        <v>4002</v>
      </c>
      <c r="I65" t="s">
        <v>7322</v>
      </c>
      <c r="R65">
        <f t="shared" si="0"/>
        <v>50</v>
      </c>
    </row>
    <row r="66" spans="1:18" x14ac:dyDescent="0.25">
      <c r="A66" t="s">
        <v>4091</v>
      </c>
      <c r="B66" t="s">
        <v>3993</v>
      </c>
      <c r="C66">
        <v>1904</v>
      </c>
      <c r="D66" t="s">
        <v>4092</v>
      </c>
      <c r="E66" t="s">
        <v>4093</v>
      </c>
      <c r="G66" t="s">
        <v>3932</v>
      </c>
      <c r="H66" t="s">
        <v>4002</v>
      </c>
      <c r="I66" t="s">
        <v>7323</v>
      </c>
      <c r="R66">
        <f t="shared" si="0"/>
        <v>38</v>
      </c>
    </row>
    <row r="67" spans="1:18" x14ac:dyDescent="0.25">
      <c r="A67" t="s">
        <v>4094</v>
      </c>
      <c r="B67" t="s">
        <v>3993</v>
      </c>
      <c r="C67">
        <v>1904</v>
      </c>
      <c r="D67" t="s">
        <v>4095</v>
      </c>
      <c r="E67" t="s">
        <v>4096</v>
      </c>
      <c r="F67" t="s">
        <v>1502</v>
      </c>
      <c r="I67" t="s">
        <v>7324</v>
      </c>
      <c r="N67" t="s">
        <v>28</v>
      </c>
      <c r="O67" t="s">
        <v>28</v>
      </c>
      <c r="R67">
        <f t="shared" ref="R67:R130" si="1">LEN(C67)+LEN(D67)+LEN(E67)+LEN(F67)+LEN(G67)+LEN(H67)</f>
        <v>26</v>
      </c>
    </row>
    <row r="68" spans="1:18" x14ac:dyDescent="0.25">
      <c r="A68" t="s">
        <v>4097</v>
      </c>
      <c r="B68" t="s">
        <v>3993</v>
      </c>
      <c r="C68">
        <v>1899</v>
      </c>
      <c r="D68" t="s">
        <v>3963</v>
      </c>
      <c r="E68" t="s">
        <v>1502</v>
      </c>
      <c r="I68" t="s">
        <v>7325</v>
      </c>
      <c r="J68" t="s">
        <v>28</v>
      </c>
      <c r="N68" t="s">
        <v>28</v>
      </c>
      <c r="O68" t="s">
        <v>28</v>
      </c>
      <c r="R68">
        <f t="shared" si="1"/>
        <v>15</v>
      </c>
    </row>
    <row r="69" spans="1:18" x14ac:dyDescent="0.25">
      <c r="A69" t="s">
        <v>4098</v>
      </c>
      <c r="B69" t="s">
        <v>3993</v>
      </c>
      <c r="C69">
        <v>1905</v>
      </c>
      <c r="D69" t="s">
        <v>4099</v>
      </c>
      <c r="E69" t="s">
        <v>4069</v>
      </c>
      <c r="G69" t="s">
        <v>3932</v>
      </c>
      <c r="H69" t="s">
        <v>4002</v>
      </c>
      <c r="I69" t="s">
        <v>7326</v>
      </c>
      <c r="R69">
        <f t="shared" si="1"/>
        <v>39</v>
      </c>
    </row>
    <row r="70" spans="1:18" x14ac:dyDescent="0.25">
      <c r="A70" t="s">
        <v>4100</v>
      </c>
      <c r="B70" t="s">
        <v>3993</v>
      </c>
      <c r="C70">
        <v>1900</v>
      </c>
      <c r="D70" t="s">
        <v>4101</v>
      </c>
      <c r="E70" t="s">
        <v>4102</v>
      </c>
      <c r="G70" t="s">
        <v>3932</v>
      </c>
      <c r="H70" t="s">
        <v>4002</v>
      </c>
      <c r="I70" t="s">
        <v>7327</v>
      </c>
      <c r="J70" t="s">
        <v>28</v>
      </c>
      <c r="R70">
        <f t="shared" si="1"/>
        <v>41</v>
      </c>
    </row>
    <row r="71" spans="1:18" x14ac:dyDescent="0.25">
      <c r="A71" t="s">
        <v>4103</v>
      </c>
      <c r="B71" t="s">
        <v>3993</v>
      </c>
      <c r="C71">
        <v>1900</v>
      </c>
      <c r="D71" t="s">
        <v>4104</v>
      </c>
      <c r="E71" t="s">
        <v>3963</v>
      </c>
      <c r="G71" t="s">
        <v>3932</v>
      </c>
      <c r="H71" t="s">
        <v>4002</v>
      </c>
      <c r="I71" t="s">
        <v>7328</v>
      </c>
      <c r="J71" t="s">
        <v>28</v>
      </c>
      <c r="R71">
        <f t="shared" si="1"/>
        <v>36</v>
      </c>
    </row>
    <row r="72" spans="1:18" x14ac:dyDescent="0.25">
      <c r="A72" t="s">
        <v>4105</v>
      </c>
      <c r="B72" t="s">
        <v>3993</v>
      </c>
      <c r="C72">
        <v>1900</v>
      </c>
      <c r="D72" t="s">
        <v>4106</v>
      </c>
      <c r="E72" t="s">
        <v>4107</v>
      </c>
      <c r="G72" t="s">
        <v>3932</v>
      </c>
      <c r="H72" t="s">
        <v>4002</v>
      </c>
      <c r="I72" t="s">
        <v>7329</v>
      </c>
      <c r="J72" t="s">
        <v>28</v>
      </c>
      <c r="R72">
        <f t="shared" si="1"/>
        <v>43</v>
      </c>
    </row>
    <row r="73" spans="1:18" x14ac:dyDescent="0.25">
      <c r="A73" t="s">
        <v>4108</v>
      </c>
      <c r="B73" t="s">
        <v>3993</v>
      </c>
      <c r="C73">
        <v>1902</v>
      </c>
      <c r="D73" t="s">
        <v>4109</v>
      </c>
      <c r="E73" t="s">
        <v>4110</v>
      </c>
      <c r="G73" t="s">
        <v>3932</v>
      </c>
      <c r="H73" t="s">
        <v>4002</v>
      </c>
      <c r="I73" t="s">
        <v>7330</v>
      </c>
      <c r="R73">
        <f t="shared" si="1"/>
        <v>38</v>
      </c>
    </row>
    <row r="74" spans="1:18" x14ac:dyDescent="0.25">
      <c r="A74" t="s">
        <v>4111</v>
      </c>
      <c r="B74" t="s">
        <v>3993</v>
      </c>
      <c r="C74">
        <v>1904</v>
      </c>
      <c r="D74" t="s">
        <v>4112</v>
      </c>
      <c r="E74" t="s">
        <v>321</v>
      </c>
      <c r="G74" t="s">
        <v>3932</v>
      </c>
      <c r="H74" t="s">
        <v>4002</v>
      </c>
      <c r="I74" t="s">
        <v>7297</v>
      </c>
      <c r="R74">
        <f t="shared" si="1"/>
        <v>38</v>
      </c>
    </row>
    <row r="75" spans="1:18" x14ac:dyDescent="0.25">
      <c r="A75" t="s">
        <v>4113</v>
      </c>
      <c r="B75" t="s">
        <v>3993</v>
      </c>
      <c r="C75">
        <v>1903</v>
      </c>
      <c r="D75" t="s">
        <v>4114</v>
      </c>
      <c r="E75" t="s">
        <v>4115</v>
      </c>
      <c r="I75" t="s">
        <v>7331</v>
      </c>
      <c r="J75" t="s">
        <v>28</v>
      </c>
      <c r="N75" t="s">
        <v>28</v>
      </c>
      <c r="O75" t="s">
        <v>28</v>
      </c>
      <c r="R75">
        <f t="shared" si="1"/>
        <v>20</v>
      </c>
    </row>
    <row r="76" spans="1:18" x14ac:dyDescent="0.25">
      <c r="A76" t="s">
        <v>4116</v>
      </c>
      <c r="B76" t="s">
        <v>3993</v>
      </c>
      <c r="C76">
        <v>1904</v>
      </c>
      <c r="D76" t="s">
        <v>4117</v>
      </c>
      <c r="E76" t="s">
        <v>4118</v>
      </c>
      <c r="G76" t="s">
        <v>3932</v>
      </c>
      <c r="H76" t="s">
        <v>4002</v>
      </c>
      <c r="I76" t="s">
        <v>7332</v>
      </c>
      <c r="R76">
        <f t="shared" si="1"/>
        <v>37</v>
      </c>
    </row>
    <row r="77" spans="1:18" x14ac:dyDescent="0.25">
      <c r="A77" t="s">
        <v>4119</v>
      </c>
      <c r="B77" t="s">
        <v>3993</v>
      </c>
      <c r="C77">
        <v>1903</v>
      </c>
      <c r="D77" t="s">
        <v>4120</v>
      </c>
      <c r="E77" t="s">
        <v>4019</v>
      </c>
      <c r="F77" t="s">
        <v>3963</v>
      </c>
      <c r="I77" t="s">
        <v>7333</v>
      </c>
      <c r="J77" t="s">
        <v>28</v>
      </c>
      <c r="N77" t="s">
        <v>28</v>
      </c>
      <c r="O77" t="s">
        <v>28</v>
      </c>
      <c r="R77">
        <f t="shared" si="1"/>
        <v>24</v>
      </c>
    </row>
    <row r="78" spans="1:18" x14ac:dyDescent="0.25">
      <c r="A78" t="s">
        <v>4121</v>
      </c>
      <c r="B78" t="s">
        <v>3993</v>
      </c>
      <c r="C78">
        <v>1905</v>
      </c>
      <c r="D78" t="s">
        <v>4122</v>
      </c>
      <c r="E78" t="s">
        <v>494</v>
      </c>
      <c r="F78" t="s">
        <v>4123</v>
      </c>
      <c r="G78" t="s">
        <v>3932</v>
      </c>
      <c r="H78" t="s">
        <v>4002</v>
      </c>
      <c r="I78" t="s">
        <v>7334</v>
      </c>
      <c r="R78">
        <f t="shared" si="1"/>
        <v>42</v>
      </c>
    </row>
    <row r="79" spans="1:18" x14ac:dyDescent="0.25">
      <c r="A79" t="s">
        <v>4124</v>
      </c>
      <c r="B79" t="s">
        <v>3993</v>
      </c>
      <c r="C79">
        <v>1905</v>
      </c>
      <c r="D79" t="s">
        <v>4125</v>
      </c>
      <c r="E79" t="s">
        <v>4126</v>
      </c>
      <c r="F79" t="s">
        <v>4127</v>
      </c>
      <c r="G79" t="s">
        <v>3932</v>
      </c>
      <c r="H79" t="s">
        <v>4002</v>
      </c>
      <c r="I79" t="s">
        <v>5258</v>
      </c>
      <c r="R79">
        <f t="shared" si="1"/>
        <v>45</v>
      </c>
    </row>
    <row r="80" spans="1:18" x14ac:dyDescent="0.25">
      <c r="A80" t="s">
        <v>4128</v>
      </c>
      <c r="B80" t="s">
        <v>3993</v>
      </c>
      <c r="C80">
        <v>1904</v>
      </c>
      <c r="D80" t="s">
        <v>4129</v>
      </c>
      <c r="E80" t="s">
        <v>4130</v>
      </c>
      <c r="I80" t="s">
        <v>7335</v>
      </c>
      <c r="J80" t="s">
        <v>28</v>
      </c>
      <c r="N80" t="s">
        <v>28</v>
      </c>
      <c r="O80" t="s">
        <v>28</v>
      </c>
      <c r="R80">
        <f t="shared" si="1"/>
        <v>14</v>
      </c>
    </row>
    <row r="81" spans="1:18" x14ac:dyDescent="0.25">
      <c r="A81" t="s">
        <v>4131</v>
      </c>
      <c r="B81" t="s">
        <v>3993</v>
      </c>
      <c r="C81">
        <v>1904</v>
      </c>
      <c r="D81" t="s">
        <v>4132</v>
      </c>
      <c r="E81" t="s">
        <v>3963</v>
      </c>
      <c r="F81" t="s">
        <v>4133</v>
      </c>
      <c r="I81" t="s">
        <v>7336</v>
      </c>
      <c r="J81" t="s">
        <v>28</v>
      </c>
      <c r="K81" t="s">
        <v>68</v>
      </c>
      <c r="N81" t="s">
        <v>28</v>
      </c>
      <c r="O81" t="s">
        <v>28</v>
      </c>
      <c r="Q81">
        <v>1</v>
      </c>
      <c r="R81">
        <f t="shared" si="1"/>
        <v>20</v>
      </c>
    </row>
    <row r="82" spans="1:18" x14ac:dyDescent="0.25">
      <c r="A82" t="s">
        <v>4134</v>
      </c>
      <c r="B82" t="s">
        <v>3993</v>
      </c>
      <c r="C82">
        <v>1904</v>
      </c>
      <c r="D82" t="s">
        <v>4135</v>
      </c>
      <c r="E82" t="s">
        <v>4136</v>
      </c>
      <c r="F82" t="s">
        <v>4137</v>
      </c>
      <c r="I82" t="s">
        <v>7337</v>
      </c>
      <c r="J82" t="s">
        <v>28</v>
      </c>
      <c r="N82" t="s">
        <v>28</v>
      </c>
      <c r="O82" t="s">
        <v>28</v>
      </c>
      <c r="R82">
        <f t="shared" si="1"/>
        <v>21</v>
      </c>
    </row>
    <row r="83" spans="1:18" x14ac:dyDescent="0.25">
      <c r="A83" t="s">
        <v>4138</v>
      </c>
      <c r="B83" t="s">
        <v>3993</v>
      </c>
      <c r="C83">
        <v>1905</v>
      </c>
      <c r="D83" t="s">
        <v>4139</v>
      </c>
      <c r="E83" t="s">
        <v>4140</v>
      </c>
      <c r="F83" t="s">
        <v>4062</v>
      </c>
      <c r="I83" t="s">
        <v>7338</v>
      </c>
      <c r="J83" t="s">
        <v>28</v>
      </c>
      <c r="N83" t="s">
        <v>28</v>
      </c>
      <c r="O83" t="s">
        <v>28</v>
      </c>
      <c r="R83">
        <f t="shared" si="1"/>
        <v>21</v>
      </c>
    </row>
    <row r="84" spans="1:18" x14ac:dyDescent="0.25">
      <c r="A84" t="s">
        <v>4141</v>
      </c>
      <c r="B84" t="s">
        <v>3993</v>
      </c>
      <c r="C84">
        <v>1906</v>
      </c>
      <c r="D84" t="s">
        <v>4142</v>
      </c>
      <c r="E84" t="s">
        <v>4143</v>
      </c>
      <c r="F84" t="s">
        <v>4144</v>
      </c>
      <c r="I84" t="s">
        <v>7339</v>
      </c>
      <c r="J84" t="s">
        <v>28</v>
      </c>
      <c r="N84" t="s">
        <v>28</v>
      </c>
      <c r="O84" t="s">
        <v>28</v>
      </c>
      <c r="R84">
        <f t="shared" si="1"/>
        <v>22</v>
      </c>
    </row>
    <row r="85" spans="1:18" x14ac:dyDescent="0.25">
      <c r="A85" t="s">
        <v>4145</v>
      </c>
      <c r="B85" t="s">
        <v>3993</v>
      </c>
      <c r="C85">
        <v>1906</v>
      </c>
      <c r="D85" t="s">
        <v>4146</v>
      </c>
      <c r="E85" t="s">
        <v>4008</v>
      </c>
      <c r="F85" t="s">
        <v>4147</v>
      </c>
      <c r="I85" t="s">
        <v>7340</v>
      </c>
      <c r="J85" t="s">
        <v>28</v>
      </c>
      <c r="N85" t="s">
        <v>28</v>
      </c>
      <c r="O85" t="s">
        <v>28</v>
      </c>
      <c r="R85">
        <f t="shared" si="1"/>
        <v>19</v>
      </c>
    </row>
    <row r="86" spans="1:18" x14ac:dyDescent="0.25">
      <c r="A86" t="s">
        <v>4148</v>
      </c>
      <c r="B86" t="s">
        <v>3993</v>
      </c>
      <c r="C86">
        <v>1912</v>
      </c>
      <c r="D86" t="s">
        <v>4149</v>
      </c>
      <c r="E86" t="s">
        <v>4150</v>
      </c>
      <c r="F86" t="s">
        <v>4151</v>
      </c>
      <c r="I86" t="s">
        <v>7341</v>
      </c>
      <c r="N86" t="s">
        <v>28</v>
      </c>
      <c r="O86" t="s">
        <v>28</v>
      </c>
      <c r="R86">
        <f t="shared" si="1"/>
        <v>29</v>
      </c>
    </row>
    <row r="87" spans="1:18" x14ac:dyDescent="0.25">
      <c r="A87" t="s">
        <v>4152</v>
      </c>
      <c r="B87" t="s">
        <v>3993</v>
      </c>
      <c r="C87">
        <v>1908</v>
      </c>
      <c r="D87" t="s">
        <v>4153</v>
      </c>
      <c r="E87" t="s">
        <v>4154</v>
      </c>
      <c r="F87" t="s">
        <v>1678</v>
      </c>
      <c r="G87" t="s">
        <v>3932</v>
      </c>
      <c r="H87" t="s">
        <v>4002</v>
      </c>
      <c r="I87" t="s">
        <v>7342</v>
      </c>
      <c r="R87">
        <f t="shared" si="1"/>
        <v>41</v>
      </c>
    </row>
    <row r="88" spans="1:18" x14ac:dyDescent="0.25">
      <c r="A88" t="s">
        <v>4155</v>
      </c>
      <c r="B88" t="s">
        <v>3993</v>
      </c>
      <c r="C88">
        <v>1911</v>
      </c>
      <c r="D88" t="s">
        <v>4156</v>
      </c>
      <c r="E88" t="s">
        <v>3963</v>
      </c>
      <c r="F88" t="s">
        <v>4140</v>
      </c>
      <c r="G88" t="s">
        <v>3932</v>
      </c>
      <c r="H88" t="s">
        <v>4002</v>
      </c>
      <c r="I88" t="s">
        <v>7343</v>
      </c>
      <c r="R88">
        <f t="shared" si="1"/>
        <v>41</v>
      </c>
    </row>
    <row r="89" spans="1:18" x14ac:dyDescent="0.25">
      <c r="A89" t="s">
        <v>4157</v>
      </c>
      <c r="B89" t="s">
        <v>3993</v>
      </c>
      <c r="C89">
        <v>1911</v>
      </c>
      <c r="D89" t="s">
        <v>4158</v>
      </c>
      <c r="E89" t="s">
        <v>4013</v>
      </c>
      <c r="F89" t="s">
        <v>4062</v>
      </c>
      <c r="G89" t="s">
        <v>3932</v>
      </c>
      <c r="H89" t="s">
        <v>4002</v>
      </c>
      <c r="I89" t="s">
        <v>7344</v>
      </c>
      <c r="R89">
        <f t="shared" si="1"/>
        <v>47</v>
      </c>
    </row>
    <row r="90" spans="1:18" x14ac:dyDescent="0.25">
      <c r="A90" t="s">
        <v>4159</v>
      </c>
      <c r="B90" t="s">
        <v>3993</v>
      </c>
      <c r="C90">
        <v>1910</v>
      </c>
      <c r="D90" t="s">
        <v>4160</v>
      </c>
      <c r="E90" t="s">
        <v>4140</v>
      </c>
      <c r="F90" t="s">
        <v>1678</v>
      </c>
      <c r="I90" t="s">
        <v>7294</v>
      </c>
      <c r="J90" t="s">
        <v>28</v>
      </c>
      <c r="N90" t="s">
        <v>28</v>
      </c>
      <c r="O90" t="s">
        <v>28</v>
      </c>
      <c r="R90">
        <f t="shared" si="1"/>
        <v>25</v>
      </c>
    </row>
    <row r="91" spans="1:18" x14ac:dyDescent="0.25">
      <c r="A91" t="s">
        <v>4161</v>
      </c>
      <c r="B91" t="s">
        <v>3993</v>
      </c>
      <c r="C91">
        <v>1912</v>
      </c>
      <c r="D91" t="s">
        <v>4162</v>
      </c>
      <c r="E91" t="s">
        <v>4140</v>
      </c>
      <c r="F91" t="s">
        <v>4163</v>
      </c>
      <c r="I91" t="s">
        <v>7345</v>
      </c>
      <c r="J91" t="s">
        <v>28</v>
      </c>
      <c r="N91" t="s">
        <v>28</v>
      </c>
      <c r="O91" t="s">
        <v>28</v>
      </c>
      <c r="R91">
        <f t="shared" si="1"/>
        <v>24</v>
      </c>
    </row>
    <row r="92" spans="1:18" x14ac:dyDescent="0.25">
      <c r="A92" t="s">
        <v>4164</v>
      </c>
      <c r="B92" t="s">
        <v>3993</v>
      </c>
      <c r="C92">
        <v>1913</v>
      </c>
      <c r="D92" t="s">
        <v>4165</v>
      </c>
      <c r="E92" t="s">
        <v>4166</v>
      </c>
      <c r="F92" t="s">
        <v>4167</v>
      </c>
      <c r="G92" t="s">
        <v>3932</v>
      </c>
      <c r="H92" t="s">
        <v>4002</v>
      </c>
      <c r="I92" t="s">
        <v>7346</v>
      </c>
      <c r="K92" t="s">
        <v>68</v>
      </c>
      <c r="Q92">
        <v>2</v>
      </c>
      <c r="R92">
        <f t="shared" si="1"/>
        <v>46</v>
      </c>
    </row>
    <row r="93" spans="1:18" x14ac:dyDescent="0.25">
      <c r="A93" t="s">
        <v>4168</v>
      </c>
      <c r="B93" t="s">
        <v>3993</v>
      </c>
      <c r="C93">
        <v>1914</v>
      </c>
      <c r="D93" t="s">
        <v>4169</v>
      </c>
      <c r="E93" t="s">
        <v>4170</v>
      </c>
      <c r="I93" t="s">
        <v>7294</v>
      </c>
      <c r="J93" t="s">
        <v>28</v>
      </c>
      <c r="N93" t="s">
        <v>28</v>
      </c>
      <c r="O93" t="s">
        <v>28</v>
      </c>
      <c r="R93">
        <f t="shared" si="1"/>
        <v>17</v>
      </c>
    </row>
    <row r="94" spans="1:18" s="4" customFormat="1" x14ac:dyDescent="0.25">
      <c r="A94" s="4" t="s">
        <v>4171</v>
      </c>
      <c r="B94" s="4" t="s">
        <v>3993</v>
      </c>
      <c r="C94" s="4">
        <v>1916</v>
      </c>
      <c r="D94" s="4" t="s">
        <v>4172</v>
      </c>
      <c r="E94" s="4" t="s">
        <v>4059</v>
      </c>
      <c r="G94" s="4" t="s">
        <v>3932</v>
      </c>
      <c r="H94" s="4" t="s">
        <v>4002</v>
      </c>
      <c r="I94" t="s">
        <v>7347</v>
      </c>
      <c r="R94">
        <f t="shared" si="1"/>
        <v>41</v>
      </c>
    </row>
    <row r="95" spans="1:18" s="4" customFormat="1" x14ac:dyDescent="0.25">
      <c r="A95" s="4" t="s">
        <v>4173</v>
      </c>
      <c r="B95" s="4" t="s">
        <v>3993</v>
      </c>
      <c r="C95" s="4">
        <v>1922</v>
      </c>
      <c r="D95" s="4" t="s">
        <v>4174</v>
      </c>
      <c r="E95" s="4" t="s">
        <v>4013</v>
      </c>
      <c r="G95" s="4" t="s">
        <v>4175</v>
      </c>
      <c r="H95" s="4" t="s">
        <v>4002</v>
      </c>
      <c r="I95" t="s">
        <v>7348</v>
      </c>
      <c r="R95">
        <f t="shared" si="1"/>
        <v>39</v>
      </c>
    </row>
    <row r="96" spans="1:18" s="4" customFormat="1" x14ac:dyDescent="0.25">
      <c r="A96" s="4" t="s">
        <v>4176</v>
      </c>
      <c r="B96" s="4" t="s">
        <v>3993</v>
      </c>
      <c r="C96" s="4">
        <v>1918</v>
      </c>
      <c r="D96" s="4" t="s">
        <v>4153</v>
      </c>
      <c r="E96" s="4" t="s">
        <v>4053</v>
      </c>
      <c r="G96" s="4" t="s">
        <v>3932</v>
      </c>
      <c r="H96" s="4" t="s">
        <v>4002</v>
      </c>
      <c r="I96" t="s">
        <v>7349</v>
      </c>
      <c r="R96">
        <f t="shared" si="1"/>
        <v>39</v>
      </c>
    </row>
    <row r="97" spans="1:18" s="4" customFormat="1" x14ac:dyDescent="0.25">
      <c r="A97" s="4" t="s">
        <v>4177</v>
      </c>
      <c r="B97" s="4" t="s">
        <v>3993</v>
      </c>
      <c r="C97" s="4">
        <v>1917</v>
      </c>
      <c r="D97" s="4" t="s">
        <v>4178</v>
      </c>
      <c r="E97" s="4" t="s">
        <v>4144</v>
      </c>
      <c r="I97" t="s">
        <v>7350</v>
      </c>
      <c r="R97">
        <f t="shared" si="1"/>
        <v>20</v>
      </c>
    </row>
    <row r="98" spans="1:18" s="4" customFormat="1" x14ac:dyDescent="0.25">
      <c r="A98" s="4" t="s">
        <v>4179</v>
      </c>
      <c r="B98" s="4" t="s">
        <v>3993</v>
      </c>
      <c r="C98" s="4">
        <v>1917</v>
      </c>
      <c r="D98" s="4" t="s">
        <v>4180</v>
      </c>
      <c r="E98" s="4" t="s">
        <v>4140</v>
      </c>
      <c r="I98" t="s">
        <v>7351</v>
      </c>
      <c r="R98">
        <f t="shared" si="1"/>
        <v>17</v>
      </c>
    </row>
    <row r="99" spans="1:18" s="4" customFormat="1" x14ac:dyDescent="0.25">
      <c r="A99" s="4" t="s">
        <v>4181</v>
      </c>
      <c r="B99" s="4" t="s">
        <v>3993</v>
      </c>
      <c r="C99" s="4">
        <v>1922</v>
      </c>
      <c r="D99" s="4" t="s">
        <v>4182</v>
      </c>
      <c r="G99" s="4" t="s">
        <v>4183</v>
      </c>
      <c r="I99" t="s">
        <v>19</v>
      </c>
      <c r="R99">
        <f t="shared" si="1"/>
        <v>20</v>
      </c>
    </row>
    <row r="100" spans="1:18" s="4" customFormat="1" x14ac:dyDescent="0.25">
      <c r="A100" s="4" t="s">
        <v>4184</v>
      </c>
      <c r="B100" s="4" t="s">
        <v>3993</v>
      </c>
      <c r="C100" s="4">
        <v>1918</v>
      </c>
      <c r="D100" s="4" t="s">
        <v>4185</v>
      </c>
      <c r="E100" s="4" t="s">
        <v>4140</v>
      </c>
      <c r="I100" t="s">
        <v>7352</v>
      </c>
      <c r="R100">
        <f t="shared" si="1"/>
        <v>15</v>
      </c>
    </row>
    <row r="101" spans="1:18" s="4" customFormat="1" x14ac:dyDescent="0.25">
      <c r="A101" s="4" t="s">
        <v>4186</v>
      </c>
      <c r="B101" s="4" t="s">
        <v>3993</v>
      </c>
      <c r="C101" s="4">
        <v>1921</v>
      </c>
      <c r="D101" s="4" t="s">
        <v>4187</v>
      </c>
      <c r="E101" s="4" t="s">
        <v>4188</v>
      </c>
      <c r="G101" s="4" t="s">
        <v>1390</v>
      </c>
      <c r="H101" s="4" t="s">
        <v>4002</v>
      </c>
      <c r="I101" t="s">
        <v>7353</v>
      </c>
      <c r="R101">
        <f t="shared" si="1"/>
        <v>41</v>
      </c>
    </row>
    <row r="102" spans="1:18" s="4" customFormat="1" x14ac:dyDescent="0.25">
      <c r="A102" s="4" t="s">
        <v>4189</v>
      </c>
      <c r="B102" s="4" t="s">
        <v>3993</v>
      </c>
      <c r="C102" s="4">
        <v>1921</v>
      </c>
      <c r="D102" s="4" t="s">
        <v>4190</v>
      </c>
      <c r="E102" s="4" t="s">
        <v>1354</v>
      </c>
      <c r="I102" t="s">
        <v>7354</v>
      </c>
      <c r="R102">
        <f t="shared" si="1"/>
        <v>14</v>
      </c>
    </row>
    <row r="103" spans="1:18" s="4" customFormat="1" x14ac:dyDescent="0.25">
      <c r="A103" s="4" t="s">
        <v>4191</v>
      </c>
      <c r="B103" s="4" t="s">
        <v>3993</v>
      </c>
      <c r="C103" s="4">
        <v>1921</v>
      </c>
      <c r="D103" s="4" t="s">
        <v>4192</v>
      </c>
      <c r="I103" t="s">
        <v>19</v>
      </c>
      <c r="R103">
        <f t="shared" si="1"/>
        <v>10</v>
      </c>
    </row>
    <row r="104" spans="1:18" s="4" customFormat="1" x14ac:dyDescent="0.25">
      <c r="A104" s="4" t="s">
        <v>4193</v>
      </c>
      <c r="B104" s="4" t="s">
        <v>3993</v>
      </c>
      <c r="C104" s="4">
        <v>1922</v>
      </c>
      <c r="D104" s="4" t="s">
        <v>4194</v>
      </c>
      <c r="E104" s="4" t="s">
        <v>4133</v>
      </c>
      <c r="G104" s="4" t="s">
        <v>4175</v>
      </c>
      <c r="H104" s="4" t="s">
        <v>4002</v>
      </c>
      <c r="I104" t="s">
        <v>7355</v>
      </c>
      <c r="R104">
        <f t="shared" si="1"/>
        <v>40</v>
      </c>
    </row>
    <row r="105" spans="1:18" s="4" customFormat="1" x14ac:dyDescent="0.25">
      <c r="A105" s="4" t="s">
        <v>4195</v>
      </c>
      <c r="B105" s="4" t="s">
        <v>3993</v>
      </c>
      <c r="C105" s="4">
        <v>1929</v>
      </c>
      <c r="D105" s="4" t="s">
        <v>4196</v>
      </c>
      <c r="E105" s="4" t="s">
        <v>4140</v>
      </c>
      <c r="I105" t="s">
        <v>7350</v>
      </c>
      <c r="R105">
        <f t="shared" si="1"/>
        <v>15</v>
      </c>
    </row>
    <row r="106" spans="1:18" s="4" customFormat="1" x14ac:dyDescent="0.25">
      <c r="A106" s="4" t="s">
        <v>4197</v>
      </c>
      <c r="B106" s="4" t="s">
        <v>3993</v>
      </c>
      <c r="C106" s="4">
        <v>1922</v>
      </c>
      <c r="D106" s="4" t="s">
        <v>4198</v>
      </c>
      <c r="E106" s="4" t="s">
        <v>4188</v>
      </c>
      <c r="I106" t="s">
        <v>7356</v>
      </c>
      <c r="R106">
        <f t="shared" si="1"/>
        <v>14</v>
      </c>
    </row>
    <row r="107" spans="1:18" s="4" customFormat="1" x14ac:dyDescent="0.25">
      <c r="A107" s="4" t="s">
        <v>4199</v>
      </c>
      <c r="B107" s="4" t="s">
        <v>3993</v>
      </c>
      <c r="C107" s="4">
        <v>1931</v>
      </c>
      <c r="D107" s="4" t="s">
        <v>4200</v>
      </c>
      <c r="E107" s="4" t="s">
        <v>4133</v>
      </c>
      <c r="G107" s="4" t="s">
        <v>1355</v>
      </c>
      <c r="I107" t="s">
        <v>7350</v>
      </c>
      <c r="R107">
        <f t="shared" si="1"/>
        <v>26</v>
      </c>
    </row>
    <row r="108" spans="1:18" s="4" customFormat="1" x14ac:dyDescent="0.25">
      <c r="A108" s="4" t="s">
        <v>4201</v>
      </c>
      <c r="B108" s="4" t="s">
        <v>3993</v>
      </c>
      <c r="C108" s="4">
        <v>1925</v>
      </c>
      <c r="D108" s="4" t="s">
        <v>4202</v>
      </c>
      <c r="E108" s="4" t="s">
        <v>4203</v>
      </c>
      <c r="G108" s="4" t="s">
        <v>1355</v>
      </c>
      <c r="I108" t="s">
        <v>7357</v>
      </c>
      <c r="R108">
        <f t="shared" si="1"/>
        <v>23</v>
      </c>
    </row>
    <row r="109" spans="1:18" s="4" customFormat="1" x14ac:dyDescent="0.25">
      <c r="A109" s="4" t="s">
        <v>4204</v>
      </c>
      <c r="B109" s="4" t="s">
        <v>3993</v>
      </c>
      <c r="C109" s="4">
        <v>1927</v>
      </c>
      <c r="D109" s="4" t="s">
        <v>4205</v>
      </c>
      <c r="E109" s="4" t="s">
        <v>4147</v>
      </c>
      <c r="G109" s="4" t="s">
        <v>4206</v>
      </c>
      <c r="H109" s="4" t="s">
        <v>4002</v>
      </c>
      <c r="I109" t="s">
        <v>7358</v>
      </c>
      <c r="R109">
        <f t="shared" si="1"/>
        <v>37</v>
      </c>
    </row>
    <row r="110" spans="1:18" s="4" customFormat="1" x14ac:dyDescent="0.25">
      <c r="A110" s="4" t="s">
        <v>4207</v>
      </c>
      <c r="B110" s="4" t="s">
        <v>3993</v>
      </c>
      <c r="C110" s="4">
        <v>1926</v>
      </c>
      <c r="D110" s="4" t="s">
        <v>4035</v>
      </c>
      <c r="E110" s="4" t="s">
        <v>4208</v>
      </c>
      <c r="I110" t="s">
        <v>7359</v>
      </c>
      <c r="R110">
        <f t="shared" si="1"/>
        <v>19</v>
      </c>
    </row>
    <row r="111" spans="1:18" s="4" customFormat="1" x14ac:dyDescent="0.25">
      <c r="A111" s="4" t="s">
        <v>4209</v>
      </c>
      <c r="B111" s="4" t="s">
        <v>3993</v>
      </c>
      <c r="C111" s="4">
        <v>1927</v>
      </c>
      <c r="D111" s="4" t="s">
        <v>4210</v>
      </c>
      <c r="E111" s="4" t="s">
        <v>4211</v>
      </c>
      <c r="G111" s="4" t="s">
        <v>3932</v>
      </c>
      <c r="H111" s="4" t="s">
        <v>4002</v>
      </c>
      <c r="I111" t="s">
        <v>7360</v>
      </c>
      <c r="R111">
        <f t="shared" si="1"/>
        <v>37</v>
      </c>
    </row>
    <row r="112" spans="1:18" s="4" customFormat="1" x14ac:dyDescent="0.25">
      <c r="A112" s="4" t="s">
        <v>4212</v>
      </c>
      <c r="B112" s="4" t="s">
        <v>3993</v>
      </c>
      <c r="C112" s="4">
        <v>1932</v>
      </c>
      <c r="D112" s="4" t="s">
        <v>1723</v>
      </c>
      <c r="E112" s="4" t="s">
        <v>4213</v>
      </c>
      <c r="G112" s="4" t="s">
        <v>4175</v>
      </c>
      <c r="H112" s="4" t="s">
        <v>4002</v>
      </c>
      <c r="I112" t="s">
        <v>7361</v>
      </c>
      <c r="R112">
        <f t="shared" si="1"/>
        <v>36</v>
      </c>
    </row>
    <row r="113" spans="1:18" s="4" customFormat="1" x14ac:dyDescent="0.25">
      <c r="A113" s="4" t="s">
        <v>4212</v>
      </c>
      <c r="B113" s="4" t="s">
        <v>3993</v>
      </c>
      <c r="C113" s="4">
        <v>1932</v>
      </c>
      <c r="D113" s="4" t="s">
        <v>1723</v>
      </c>
      <c r="E113" s="4" t="s">
        <v>4213</v>
      </c>
      <c r="G113" s="4" t="s">
        <v>4175</v>
      </c>
      <c r="H113" s="4" t="s">
        <v>4002</v>
      </c>
      <c r="I113" t="s">
        <v>7361</v>
      </c>
      <c r="R113">
        <f t="shared" si="1"/>
        <v>36</v>
      </c>
    </row>
    <row r="114" spans="1:18" s="4" customFormat="1" x14ac:dyDescent="0.25">
      <c r="A114" s="4" t="s">
        <v>4214</v>
      </c>
      <c r="B114" s="4" t="s">
        <v>3993</v>
      </c>
      <c r="C114" s="4">
        <v>1934</v>
      </c>
      <c r="D114" s="4" t="s">
        <v>4215</v>
      </c>
      <c r="E114" s="4" t="s">
        <v>1631</v>
      </c>
      <c r="F114" s="4" t="s">
        <v>2198</v>
      </c>
      <c r="I114" t="s">
        <v>7362</v>
      </c>
      <c r="R114">
        <f t="shared" si="1"/>
        <v>15</v>
      </c>
    </row>
    <row r="115" spans="1:18" s="4" customFormat="1" x14ac:dyDescent="0.25">
      <c r="A115" s="4" t="s">
        <v>4216</v>
      </c>
      <c r="B115" s="4" t="s">
        <v>3993</v>
      </c>
      <c r="C115" s="4">
        <v>1928</v>
      </c>
      <c r="D115" s="4" t="s">
        <v>4217</v>
      </c>
      <c r="E115" s="4" t="s">
        <v>4208</v>
      </c>
      <c r="I115" t="s">
        <v>7363</v>
      </c>
      <c r="R115">
        <f t="shared" si="1"/>
        <v>22</v>
      </c>
    </row>
    <row r="116" spans="1:18" x14ac:dyDescent="0.25">
      <c r="A116" t="s">
        <v>4218</v>
      </c>
      <c r="B116" t="s">
        <v>4219</v>
      </c>
      <c r="C116">
        <v>1906</v>
      </c>
      <c r="D116" t="s">
        <v>4220</v>
      </c>
      <c r="E116" t="s">
        <v>3924</v>
      </c>
      <c r="F116" t="s">
        <v>878</v>
      </c>
      <c r="G116" t="s">
        <v>3932</v>
      </c>
      <c r="H116" t="s">
        <v>4219</v>
      </c>
      <c r="I116" t="s">
        <v>7364</v>
      </c>
      <c r="R116">
        <f t="shared" si="1"/>
        <v>29</v>
      </c>
    </row>
    <row r="117" spans="1:18" x14ac:dyDescent="0.25">
      <c r="A117" t="s">
        <v>4221</v>
      </c>
      <c r="B117" t="s">
        <v>4219</v>
      </c>
      <c r="C117">
        <v>1905</v>
      </c>
      <c r="D117" t="s">
        <v>4222</v>
      </c>
      <c r="E117" t="s">
        <v>878</v>
      </c>
      <c r="F117" t="s">
        <v>524</v>
      </c>
      <c r="G117" t="s">
        <v>3932</v>
      </c>
      <c r="H117" t="s">
        <v>4219</v>
      </c>
      <c r="I117" t="s">
        <v>7364</v>
      </c>
      <c r="R117">
        <f t="shared" si="1"/>
        <v>30</v>
      </c>
    </row>
    <row r="118" spans="1:18" x14ac:dyDescent="0.25">
      <c r="A118" t="s">
        <v>4223</v>
      </c>
      <c r="B118" t="s">
        <v>4219</v>
      </c>
      <c r="C118">
        <v>1907</v>
      </c>
      <c r="D118" t="s">
        <v>3972</v>
      </c>
      <c r="E118" t="s">
        <v>960</v>
      </c>
      <c r="F118" t="s">
        <v>1265</v>
      </c>
      <c r="G118" t="s">
        <v>3932</v>
      </c>
      <c r="H118" t="s">
        <v>4219</v>
      </c>
      <c r="I118" t="s">
        <v>7364</v>
      </c>
      <c r="K118" t="s">
        <v>28</v>
      </c>
      <c r="R118">
        <f t="shared" si="1"/>
        <v>24</v>
      </c>
    </row>
    <row r="119" spans="1:18" x14ac:dyDescent="0.25">
      <c r="A119" t="s">
        <v>4224</v>
      </c>
      <c r="B119" t="s">
        <v>4219</v>
      </c>
      <c r="C119">
        <v>1898</v>
      </c>
      <c r="D119" t="s">
        <v>4225</v>
      </c>
      <c r="E119" t="s">
        <v>68</v>
      </c>
      <c r="G119" t="s">
        <v>3932</v>
      </c>
      <c r="H119" t="s">
        <v>4219</v>
      </c>
      <c r="I119" t="s">
        <v>7364</v>
      </c>
      <c r="R119">
        <f t="shared" si="1"/>
        <v>27</v>
      </c>
    </row>
    <row r="120" spans="1:18" s="4" customFormat="1" x14ac:dyDescent="0.25">
      <c r="A120" s="4" t="s">
        <v>4226</v>
      </c>
      <c r="B120" s="4" t="s">
        <v>4227</v>
      </c>
      <c r="C120" s="4">
        <v>1915</v>
      </c>
      <c r="D120" s="4" t="s">
        <v>4228</v>
      </c>
      <c r="F120" s="4" t="s">
        <v>1667</v>
      </c>
      <c r="G120" s="4" t="s">
        <v>3932</v>
      </c>
      <c r="H120" s="4" t="s">
        <v>4227</v>
      </c>
      <c r="I120" t="s">
        <v>19</v>
      </c>
      <c r="R120">
        <f t="shared" si="1"/>
        <v>20</v>
      </c>
    </row>
    <row r="121" spans="1:18" x14ac:dyDescent="0.25">
      <c r="A121" t="s">
        <v>4229</v>
      </c>
      <c r="B121" t="s">
        <v>4227</v>
      </c>
      <c r="C121">
        <v>1901</v>
      </c>
      <c r="D121" t="s">
        <v>4230</v>
      </c>
      <c r="F121" t="s">
        <v>1403</v>
      </c>
      <c r="G121" t="s">
        <v>3932</v>
      </c>
      <c r="H121" t="s">
        <v>4227</v>
      </c>
      <c r="I121" t="s">
        <v>19</v>
      </c>
      <c r="K121" t="s">
        <v>68</v>
      </c>
      <c r="L121" t="s">
        <v>28</v>
      </c>
      <c r="Q121">
        <v>4</v>
      </c>
      <c r="R121">
        <f t="shared" si="1"/>
        <v>20</v>
      </c>
    </row>
    <row r="122" spans="1:18" x14ac:dyDescent="0.25">
      <c r="A122" t="s">
        <v>4231</v>
      </c>
      <c r="B122" t="s">
        <v>4227</v>
      </c>
      <c r="C122">
        <v>1893</v>
      </c>
      <c r="D122" t="s">
        <v>4232</v>
      </c>
      <c r="F122" t="s">
        <v>22</v>
      </c>
      <c r="G122" t="s">
        <v>3932</v>
      </c>
      <c r="H122" t="s">
        <v>4227</v>
      </c>
      <c r="I122" t="s">
        <v>19</v>
      </c>
      <c r="L122" t="s">
        <v>28</v>
      </c>
      <c r="R122">
        <f t="shared" si="1"/>
        <v>24</v>
      </c>
    </row>
    <row r="123" spans="1:18" x14ac:dyDescent="0.25">
      <c r="A123" t="s">
        <v>4233</v>
      </c>
      <c r="B123" t="s">
        <v>4227</v>
      </c>
      <c r="C123">
        <v>1901</v>
      </c>
      <c r="D123" t="s">
        <v>4125</v>
      </c>
      <c r="E123" t="s">
        <v>952</v>
      </c>
      <c r="F123" t="s">
        <v>4234</v>
      </c>
      <c r="G123" t="s">
        <v>3932</v>
      </c>
      <c r="H123" t="s">
        <v>4227</v>
      </c>
      <c r="I123" t="s">
        <v>7365</v>
      </c>
      <c r="M123" t="s">
        <v>28</v>
      </c>
      <c r="R123">
        <f t="shared" si="1"/>
        <v>28</v>
      </c>
    </row>
    <row r="124" spans="1:18" x14ac:dyDescent="0.25">
      <c r="A124" t="s">
        <v>4235</v>
      </c>
      <c r="B124" t="s">
        <v>4227</v>
      </c>
      <c r="C124">
        <v>1885</v>
      </c>
      <c r="D124" t="s">
        <v>4236</v>
      </c>
      <c r="E124" t="s">
        <v>3946</v>
      </c>
      <c r="F124" t="s">
        <v>524</v>
      </c>
      <c r="G124" t="s">
        <v>3932</v>
      </c>
      <c r="H124" t="s">
        <v>4227</v>
      </c>
      <c r="I124" t="s">
        <v>7366</v>
      </c>
      <c r="R124">
        <f t="shared" si="1"/>
        <v>24</v>
      </c>
    </row>
    <row r="125" spans="1:18" x14ac:dyDescent="0.25">
      <c r="A125" t="s">
        <v>4237</v>
      </c>
      <c r="B125" t="s">
        <v>4227</v>
      </c>
      <c r="C125">
        <v>1903</v>
      </c>
      <c r="D125" t="s">
        <v>4238</v>
      </c>
      <c r="E125" t="s">
        <v>4239</v>
      </c>
      <c r="F125" t="s">
        <v>391</v>
      </c>
      <c r="G125" t="s">
        <v>3932</v>
      </c>
      <c r="H125" t="s">
        <v>4227</v>
      </c>
      <c r="I125" t="s">
        <v>7366</v>
      </c>
      <c r="R125">
        <f t="shared" si="1"/>
        <v>28</v>
      </c>
    </row>
    <row r="126" spans="1:18" x14ac:dyDescent="0.25">
      <c r="A126" t="s">
        <v>4240</v>
      </c>
      <c r="B126" t="s">
        <v>4227</v>
      </c>
      <c r="C126">
        <v>1910</v>
      </c>
      <c r="D126" t="s">
        <v>4241</v>
      </c>
      <c r="E126" t="s">
        <v>4242</v>
      </c>
      <c r="F126" t="s">
        <v>2198</v>
      </c>
      <c r="G126" t="s">
        <v>3932</v>
      </c>
      <c r="H126" t="s">
        <v>4227</v>
      </c>
      <c r="I126" t="s">
        <v>7367</v>
      </c>
      <c r="M126" t="s">
        <v>28</v>
      </c>
      <c r="R126">
        <f t="shared" si="1"/>
        <v>25</v>
      </c>
    </row>
    <row r="127" spans="1:18" x14ac:dyDescent="0.25">
      <c r="A127" t="s">
        <v>4243</v>
      </c>
      <c r="B127" t="s">
        <v>4227</v>
      </c>
      <c r="C127">
        <v>1915</v>
      </c>
      <c r="D127" t="s">
        <v>4244</v>
      </c>
      <c r="E127" t="s">
        <v>563</v>
      </c>
      <c r="F127" t="s">
        <v>1265</v>
      </c>
      <c r="G127" t="s">
        <v>3932</v>
      </c>
      <c r="H127" t="s">
        <v>4227</v>
      </c>
      <c r="I127" t="s">
        <v>19</v>
      </c>
      <c r="J127" t="s">
        <v>28</v>
      </c>
      <c r="R127">
        <f t="shared" si="1"/>
        <v>26</v>
      </c>
    </row>
    <row r="128" spans="1:18" x14ac:dyDescent="0.25">
      <c r="A128" t="s">
        <v>4245</v>
      </c>
      <c r="B128" t="s">
        <v>4227</v>
      </c>
      <c r="C128">
        <v>1900</v>
      </c>
      <c r="D128" t="s">
        <v>4246</v>
      </c>
      <c r="E128" t="s">
        <v>3963</v>
      </c>
      <c r="F128" t="s">
        <v>1631</v>
      </c>
      <c r="G128" t="s">
        <v>3932</v>
      </c>
      <c r="H128" t="s">
        <v>4227</v>
      </c>
      <c r="I128" t="s">
        <v>7368</v>
      </c>
      <c r="J128" t="s">
        <v>28</v>
      </c>
      <c r="R128">
        <f t="shared" si="1"/>
        <v>26</v>
      </c>
    </row>
    <row r="129" spans="1:18" x14ac:dyDescent="0.25">
      <c r="A129" t="s">
        <v>4247</v>
      </c>
      <c r="B129" t="s">
        <v>4227</v>
      </c>
      <c r="C129">
        <v>1902</v>
      </c>
      <c r="D129" t="s">
        <v>4248</v>
      </c>
      <c r="F129" t="s">
        <v>23</v>
      </c>
      <c r="G129" t="s">
        <v>3932</v>
      </c>
      <c r="H129" t="s">
        <v>4227</v>
      </c>
      <c r="I129" t="s">
        <v>19</v>
      </c>
      <c r="K129" t="s">
        <v>68</v>
      </c>
      <c r="L129" t="s">
        <v>28</v>
      </c>
      <c r="Q129">
        <v>4</v>
      </c>
      <c r="R129">
        <f t="shared" si="1"/>
        <v>24</v>
      </c>
    </row>
    <row r="130" spans="1:18" x14ac:dyDescent="0.25">
      <c r="A130" t="s">
        <v>4249</v>
      </c>
      <c r="B130" t="s">
        <v>4227</v>
      </c>
      <c r="C130">
        <v>1892</v>
      </c>
      <c r="D130" t="s">
        <v>4250</v>
      </c>
      <c r="E130" t="s">
        <v>4251</v>
      </c>
      <c r="F130" t="s">
        <v>960</v>
      </c>
      <c r="G130" t="s">
        <v>3932</v>
      </c>
      <c r="H130" t="s">
        <v>4227</v>
      </c>
      <c r="I130" t="s">
        <v>7369</v>
      </c>
      <c r="R130">
        <f t="shared" si="1"/>
        <v>24</v>
      </c>
    </row>
    <row r="131" spans="1:18" x14ac:dyDescent="0.25">
      <c r="A131" t="s">
        <v>4252</v>
      </c>
      <c r="B131" t="s">
        <v>4227</v>
      </c>
      <c r="C131">
        <v>1915</v>
      </c>
      <c r="D131" t="s">
        <v>4253</v>
      </c>
      <c r="E131" t="s">
        <v>4254</v>
      </c>
      <c r="F131" t="s">
        <v>2198</v>
      </c>
      <c r="G131" t="s">
        <v>3932</v>
      </c>
      <c r="H131" t="s">
        <v>4227</v>
      </c>
      <c r="I131" t="s">
        <v>19</v>
      </c>
      <c r="J131" t="s">
        <v>28</v>
      </c>
      <c r="M131" t="s">
        <v>28</v>
      </c>
      <c r="R131">
        <f t="shared" ref="R131:R194" si="2">LEN(C131)+LEN(D131)+LEN(E131)+LEN(F131)+LEN(G131)+LEN(H131)</f>
        <v>26</v>
      </c>
    </row>
    <row r="132" spans="1:18" s="4" customFormat="1" x14ac:dyDescent="0.25">
      <c r="A132" s="4" t="s">
        <v>4255</v>
      </c>
      <c r="B132" s="4" t="s">
        <v>4227</v>
      </c>
      <c r="C132" s="4">
        <v>1909</v>
      </c>
      <c r="D132" s="4" t="s">
        <v>320</v>
      </c>
      <c r="E132" s="4" t="s">
        <v>210</v>
      </c>
      <c r="F132" s="4" t="s">
        <v>23</v>
      </c>
      <c r="G132" s="4" t="s">
        <v>3932</v>
      </c>
      <c r="H132" s="4" t="s">
        <v>4227</v>
      </c>
      <c r="I132" t="s">
        <v>7370</v>
      </c>
      <c r="R132">
        <f t="shared" si="2"/>
        <v>29</v>
      </c>
    </row>
    <row r="133" spans="1:18" x14ac:dyDescent="0.25">
      <c r="A133" t="s">
        <v>4256</v>
      </c>
      <c r="B133" t="s">
        <v>4227</v>
      </c>
      <c r="C133">
        <v>1876</v>
      </c>
      <c r="D133" t="s">
        <v>211</v>
      </c>
      <c r="E133" t="s">
        <v>1730</v>
      </c>
      <c r="F133" t="s">
        <v>68</v>
      </c>
      <c r="G133" t="s">
        <v>3932</v>
      </c>
      <c r="H133" t="s">
        <v>4227</v>
      </c>
      <c r="I133" t="s">
        <v>7371</v>
      </c>
      <c r="R133">
        <f t="shared" si="2"/>
        <v>27</v>
      </c>
    </row>
    <row r="134" spans="1:18" x14ac:dyDescent="0.25">
      <c r="A134" t="s">
        <v>4257</v>
      </c>
      <c r="B134" t="s">
        <v>4227</v>
      </c>
      <c r="C134">
        <v>1911</v>
      </c>
      <c r="D134" t="s">
        <v>4258</v>
      </c>
      <c r="F134" t="s">
        <v>960</v>
      </c>
      <c r="G134" t="s">
        <v>3932</v>
      </c>
      <c r="H134" t="s">
        <v>4227</v>
      </c>
      <c r="I134" t="s">
        <v>19</v>
      </c>
      <c r="K134" t="s">
        <v>68</v>
      </c>
      <c r="L134" t="s">
        <v>28</v>
      </c>
      <c r="Q134">
        <v>2</v>
      </c>
      <c r="R134">
        <f t="shared" si="2"/>
        <v>19</v>
      </c>
    </row>
    <row r="135" spans="1:18" x14ac:dyDescent="0.25">
      <c r="A135" t="s">
        <v>4259</v>
      </c>
      <c r="B135" t="s">
        <v>4227</v>
      </c>
      <c r="C135">
        <v>1885</v>
      </c>
      <c r="D135" t="s">
        <v>4260</v>
      </c>
      <c r="F135" t="s">
        <v>1631</v>
      </c>
      <c r="G135" t="s">
        <v>3932</v>
      </c>
      <c r="H135" t="s">
        <v>4227</v>
      </c>
      <c r="I135" t="s">
        <v>19</v>
      </c>
      <c r="L135" t="s">
        <v>28</v>
      </c>
      <c r="R135">
        <f t="shared" si="2"/>
        <v>20</v>
      </c>
    </row>
    <row r="136" spans="1:18" x14ac:dyDescent="0.25">
      <c r="A136" t="s">
        <v>4261</v>
      </c>
      <c r="B136" t="s">
        <v>4227</v>
      </c>
      <c r="C136">
        <v>1903</v>
      </c>
      <c r="D136" t="s">
        <v>4262</v>
      </c>
      <c r="E136" t="s">
        <v>4263</v>
      </c>
      <c r="F136" t="s">
        <v>392</v>
      </c>
      <c r="G136" t="s">
        <v>3932</v>
      </c>
      <c r="H136" t="s">
        <v>4227</v>
      </c>
      <c r="I136" t="s">
        <v>7372</v>
      </c>
      <c r="R136">
        <f t="shared" si="2"/>
        <v>26</v>
      </c>
    </row>
    <row r="137" spans="1:18" s="4" customFormat="1" x14ac:dyDescent="0.25">
      <c r="A137" s="4" t="s">
        <v>4264</v>
      </c>
      <c r="B137" s="4" t="s">
        <v>4227</v>
      </c>
      <c r="C137" s="4">
        <v>1913</v>
      </c>
      <c r="D137" s="4" t="s">
        <v>1667</v>
      </c>
      <c r="F137" s="4" t="s">
        <v>392</v>
      </c>
      <c r="G137" s="4" t="s">
        <v>3932</v>
      </c>
      <c r="H137" s="4" t="s">
        <v>4227</v>
      </c>
      <c r="I137" t="s">
        <v>19</v>
      </c>
      <c r="R137">
        <f t="shared" si="2"/>
        <v>16</v>
      </c>
    </row>
    <row r="138" spans="1:18" x14ac:dyDescent="0.25">
      <c r="A138" t="s">
        <v>4265</v>
      </c>
      <c r="B138" t="s">
        <v>4227</v>
      </c>
      <c r="C138">
        <v>1915</v>
      </c>
      <c r="D138" t="s">
        <v>4266</v>
      </c>
      <c r="F138" t="s">
        <v>879</v>
      </c>
      <c r="G138" t="s">
        <v>3932</v>
      </c>
      <c r="H138" t="s">
        <v>4227</v>
      </c>
      <c r="I138" t="s">
        <v>19</v>
      </c>
      <c r="J138" t="s">
        <v>28</v>
      </c>
      <c r="K138" t="s">
        <v>68</v>
      </c>
      <c r="L138" t="s">
        <v>28</v>
      </c>
      <c r="Q138">
        <v>2</v>
      </c>
      <c r="R138">
        <f t="shared" si="2"/>
        <v>19</v>
      </c>
    </row>
    <row r="139" spans="1:18" x14ac:dyDescent="0.25">
      <c r="A139" t="s">
        <v>4267</v>
      </c>
      <c r="B139" t="s">
        <v>4227</v>
      </c>
      <c r="C139">
        <v>1906</v>
      </c>
      <c r="D139" t="s">
        <v>3111</v>
      </c>
      <c r="E139" t="s">
        <v>4268</v>
      </c>
      <c r="F139" t="s">
        <v>1631</v>
      </c>
      <c r="G139" t="s">
        <v>3932</v>
      </c>
      <c r="H139" t="s">
        <v>4227</v>
      </c>
      <c r="I139" t="s">
        <v>7373</v>
      </c>
      <c r="J139" t="s">
        <v>28</v>
      </c>
      <c r="R139">
        <f t="shared" si="2"/>
        <v>28</v>
      </c>
    </row>
    <row r="140" spans="1:18" x14ac:dyDescent="0.25">
      <c r="A140" t="s">
        <v>4269</v>
      </c>
      <c r="B140" t="s">
        <v>4227</v>
      </c>
      <c r="C140">
        <v>1903</v>
      </c>
      <c r="D140" t="s">
        <v>4270</v>
      </c>
      <c r="E140" t="s">
        <v>2708</v>
      </c>
      <c r="F140" t="s">
        <v>878</v>
      </c>
      <c r="G140" t="s">
        <v>3932</v>
      </c>
      <c r="H140" t="s">
        <v>4227</v>
      </c>
      <c r="I140" t="s">
        <v>7374</v>
      </c>
      <c r="R140">
        <f t="shared" si="2"/>
        <v>29</v>
      </c>
    </row>
    <row r="141" spans="1:18" x14ac:dyDescent="0.25">
      <c r="A141" t="s">
        <v>4271</v>
      </c>
      <c r="B141" t="s">
        <v>4227</v>
      </c>
      <c r="C141">
        <v>1868</v>
      </c>
      <c r="D141" t="s">
        <v>4272</v>
      </c>
      <c r="E141" t="s">
        <v>392</v>
      </c>
      <c r="F141" t="s">
        <v>1667</v>
      </c>
      <c r="G141" t="s">
        <v>3932</v>
      </c>
      <c r="H141" t="s">
        <v>4227</v>
      </c>
      <c r="I141" t="s">
        <v>7375</v>
      </c>
      <c r="R141">
        <f t="shared" si="2"/>
        <v>23</v>
      </c>
    </row>
    <row r="142" spans="1:18" x14ac:dyDescent="0.25">
      <c r="A142" t="s">
        <v>4273</v>
      </c>
      <c r="B142" t="s">
        <v>4227</v>
      </c>
      <c r="C142">
        <v>1915</v>
      </c>
      <c r="D142" t="s">
        <v>4274</v>
      </c>
      <c r="F142" t="s">
        <v>392</v>
      </c>
      <c r="G142" t="s">
        <v>3932</v>
      </c>
      <c r="H142" t="s">
        <v>4227</v>
      </c>
      <c r="I142" t="s">
        <v>19</v>
      </c>
      <c r="J142" t="s">
        <v>28</v>
      </c>
      <c r="K142" t="s">
        <v>68</v>
      </c>
      <c r="L142" t="s">
        <v>28</v>
      </c>
      <c r="Q142">
        <v>2</v>
      </c>
      <c r="R142">
        <f t="shared" si="2"/>
        <v>22</v>
      </c>
    </row>
    <row r="143" spans="1:18" x14ac:dyDescent="0.25">
      <c r="A143" t="s">
        <v>4275</v>
      </c>
      <c r="B143" t="s">
        <v>4227</v>
      </c>
      <c r="C143">
        <v>1915</v>
      </c>
      <c r="D143" t="s">
        <v>4276</v>
      </c>
      <c r="F143" t="s">
        <v>392</v>
      </c>
      <c r="G143" t="s">
        <v>3932</v>
      </c>
      <c r="H143" t="s">
        <v>4227</v>
      </c>
      <c r="I143" t="s">
        <v>19</v>
      </c>
      <c r="J143" t="s">
        <v>28</v>
      </c>
      <c r="K143" t="s">
        <v>68</v>
      </c>
      <c r="L143" t="s">
        <v>28</v>
      </c>
      <c r="Q143">
        <v>1</v>
      </c>
      <c r="R143">
        <f t="shared" si="2"/>
        <v>21</v>
      </c>
    </row>
    <row r="144" spans="1:18" x14ac:dyDescent="0.25">
      <c r="A144" t="s">
        <v>4277</v>
      </c>
      <c r="B144" t="s">
        <v>4227</v>
      </c>
      <c r="C144">
        <v>1906</v>
      </c>
      <c r="D144" t="s">
        <v>3936</v>
      </c>
      <c r="E144" t="s">
        <v>3138</v>
      </c>
      <c r="F144" t="s">
        <v>960</v>
      </c>
      <c r="G144" t="s">
        <v>3932</v>
      </c>
      <c r="H144" t="s">
        <v>4227</v>
      </c>
      <c r="I144" t="s">
        <v>7368</v>
      </c>
      <c r="J144" t="s">
        <v>28</v>
      </c>
      <c r="R144">
        <f t="shared" si="2"/>
        <v>26</v>
      </c>
    </row>
    <row r="145" spans="1:18" x14ac:dyDescent="0.25">
      <c r="A145" t="s">
        <v>4278</v>
      </c>
      <c r="B145" t="s">
        <v>4227</v>
      </c>
      <c r="C145">
        <v>1897</v>
      </c>
      <c r="D145" t="s">
        <v>4279</v>
      </c>
      <c r="E145" t="s">
        <v>322</v>
      </c>
      <c r="F145" t="s">
        <v>878</v>
      </c>
      <c r="G145" t="s">
        <v>3932</v>
      </c>
      <c r="H145" t="s">
        <v>4227</v>
      </c>
      <c r="I145" t="s">
        <v>7376</v>
      </c>
      <c r="R145">
        <f t="shared" si="2"/>
        <v>29</v>
      </c>
    </row>
    <row r="146" spans="1:18" x14ac:dyDescent="0.25">
      <c r="A146" t="s">
        <v>4280</v>
      </c>
      <c r="B146" t="s">
        <v>4227</v>
      </c>
      <c r="C146">
        <v>1895</v>
      </c>
      <c r="D146" t="s">
        <v>3651</v>
      </c>
      <c r="E146" t="s">
        <v>4281</v>
      </c>
      <c r="G146" t="s">
        <v>3932</v>
      </c>
      <c r="H146" t="s">
        <v>4227</v>
      </c>
      <c r="I146" t="s">
        <v>7377</v>
      </c>
      <c r="R146">
        <f t="shared" si="2"/>
        <v>28</v>
      </c>
    </row>
    <row r="147" spans="1:18" x14ac:dyDescent="0.25">
      <c r="A147" t="s">
        <v>4282</v>
      </c>
      <c r="B147" t="s">
        <v>4227</v>
      </c>
      <c r="C147">
        <v>1890</v>
      </c>
      <c r="D147" t="s">
        <v>4283</v>
      </c>
      <c r="E147" t="s">
        <v>4284</v>
      </c>
      <c r="F147" t="s">
        <v>2325</v>
      </c>
      <c r="G147" t="s">
        <v>3932</v>
      </c>
      <c r="H147" t="s">
        <v>4227</v>
      </c>
      <c r="I147" t="s">
        <v>7366</v>
      </c>
      <c r="R147">
        <f t="shared" si="2"/>
        <v>26</v>
      </c>
    </row>
    <row r="148" spans="1:18" x14ac:dyDescent="0.25">
      <c r="A148" t="s">
        <v>4285</v>
      </c>
      <c r="B148" t="s">
        <v>4227</v>
      </c>
      <c r="C148">
        <v>1907</v>
      </c>
      <c r="D148" t="s">
        <v>4286</v>
      </c>
      <c r="E148" t="s">
        <v>384</v>
      </c>
      <c r="F148" t="s">
        <v>1265</v>
      </c>
      <c r="G148" t="s">
        <v>3932</v>
      </c>
      <c r="H148" t="s">
        <v>4227</v>
      </c>
      <c r="I148" t="s">
        <v>7366</v>
      </c>
      <c r="R148">
        <f t="shared" si="2"/>
        <v>28</v>
      </c>
    </row>
    <row r="149" spans="1:18" x14ac:dyDescent="0.25">
      <c r="A149" t="s">
        <v>4287</v>
      </c>
      <c r="B149" t="s">
        <v>4227</v>
      </c>
      <c r="C149">
        <v>1908</v>
      </c>
      <c r="D149" t="s">
        <v>4288</v>
      </c>
      <c r="E149" t="s">
        <v>321</v>
      </c>
      <c r="F149" t="s">
        <v>68</v>
      </c>
      <c r="G149" t="s">
        <v>3932</v>
      </c>
      <c r="H149" t="s">
        <v>4227</v>
      </c>
      <c r="I149" t="s">
        <v>7366</v>
      </c>
      <c r="R149">
        <f t="shared" si="2"/>
        <v>26</v>
      </c>
    </row>
    <row r="150" spans="1:18" x14ac:dyDescent="0.25">
      <c r="A150" t="s">
        <v>4289</v>
      </c>
      <c r="B150" t="s">
        <v>4227</v>
      </c>
      <c r="C150">
        <v>1915</v>
      </c>
      <c r="D150" t="s">
        <v>491</v>
      </c>
      <c r="E150" t="s">
        <v>1631</v>
      </c>
      <c r="F150" t="s">
        <v>391</v>
      </c>
      <c r="G150" t="s">
        <v>3932</v>
      </c>
      <c r="H150" t="s">
        <v>4227</v>
      </c>
      <c r="I150" t="s">
        <v>19</v>
      </c>
      <c r="J150" t="s">
        <v>28</v>
      </c>
      <c r="R150">
        <f t="shared" si="2"/>
        <v>21</v>
      </c>
    </row>
    <row r="151" spans="1:18" x14ac:dyDescent="0.25">
      <c r="A151" t="s">
        <v>4290</v>
      </c>
      <c r="B151" t="s">
        <v>4227</v>
      </c>
      <c r="C151">
        <v>1915</v>
      </c>
      <c r="D151" t="s">
        <v>4291</v>
      </c>
      <c r="E151" t="s">
        <v>4292</v>
      </c>
      <c r="F151" t="s">
        <v>4234</v>
      </c>
      <c r="G151" t="s">
        <v>3932</v>
      </c>
      <c r="H151" t="s">
        <v>4227</v>
      </c>
      <c r="I151" t="s">
        <v>19</v>
      </c>
      <c r="J151" t="s">
        <v>28</v>
      </c>
      <c r="M151" t="s">
        <v>28</v>
      </c>
      <c r="R151">
        <f t="shared" si="2"/>
        <v>24</v>
      </c>
    </row>
    <row r="152" spans="1:18" x14ac:dyDescent="0.25">
      <c r="A152" t="s">
        <v>4293</v>
      </c>
      <c r="B152" t="s">
        <v>4227</v>
      </c>
      <c r="C152">
        <v>1906</v>
      </c>
      <c r="D152" t="s">
        <v>4294</v>
      </c>
      <c r="E152" t="s">
        <v>4295</v>
      </c>
      <c r="F152" t="s">
        <v>2198</v>
      </c>
      <c r="G152" t="s">
        <v>3932</v>
      </c>
      <c r="H152" t="s">
        <v>4227</v>
      </c>
      <c r="I152" t="s">
        <v>7378</v>
      </c>
      <c r="M152" t="s">
        <v>28</v>
      </c>
      <c r="R152">
        <f t="shared" si="2"/>
        <v>27</v>
      </c>
    </row>
    <row r="153" spans="1:18" x14ac:dyDescent="0.25">
      <c r="A153" t="s">
        <v>4296</v>
      </c>
      <c r="B153" t="s">
        <v>4227</v>
      </c>
      <c r="C153">
        <v>1874</v>
      </c>
      <c r="D153" t="s">
        <v>3871</v>
      </c>
      <c r="E153" t="s">
        <v>384</v>
      </c>
      <c r="F153" t="s">
        <v>23</v>
      </c>
      <c r="G153" t="s">
        <v>3932</v>
      </c>
      <c r="H153" t="s">
        <v>4227</v>
      </c>
      <c r="I153" t="s">
        <v>7379</v>
      </c>
      <c r="R153">
        <f t="shared" si="2"/>
        <v>27</v>
      </c>
    </row>
    <row r="154" spans="1:18" s="4" customFormat="1" x14ac:dyDescent="0.25">
      <c r="A154" s="4" t="s">
        <v>4297</v>
      </c>
      <c r="B154" s="4" t="s">
        <v>4227</v>
      </c>
      <c r="C154" s="4">
        <v>1915</v>
      </c>
      <c r="D154" s="4" t="s">
        <v>4298</v>
      </c>
      <c r="F154" s="4" t="s">
        <v>2198</v>
      </c>
      <c r="G154" s="4" t="s">
        <v>3932</v>
      </c>
      <c r="H154" s="4" t="s">
        <v>4227</v>
      </c>
      <c r="I154" t="s">
        <v>19</v>
      </c>
      <c r="R154">
        <f t="shared" si="2"/>
        <v>17</v>
      </c>
    </row>
    <row r="155" spans="1:18" x14ac:dyDescent="0.25">
      <c r="A155" t="s">
        <v>4299</v>
      </c>
      <c r="B155" t="s">
        <v>4227</v>
      </c>
      <c r="C155">
        <v>1890</v>
      </c>
      <c r="D155" t="s">
        <v>4300</v>
      </c>
      <c r="E155" t="s">
        <v>1730</v>
      </c>
      <c r="F155" t="s">
        <v>392</v>
      </c>
      <c r="G155" t="s">
        <v>3932</v>
      </c>
      <c r="H155" t="s">
        <v>4227</v>
      </c>
      <c r="I155" t="s">
        <v>7380</v>
      </c>
      <c r="R155">
        <f t="shared" si="2"/>
        <v>25</v>
      </c>
    </row>
    <row r="156" spans="1:18" x14ac:dyDescent="0.25">
      <c r="A156" t="s">
        <v>4301</v>
      </c>
      <c r="B156" t="s">
        <v>4227</v>
      </c>
      <c r="C156">
        <v>1908</v>
      </c>
      <c r="D156" t="s">
        <v>4300</v>
      </c>
      <c r="E156" t="s">
        <v>563</v>
      </c>
      <c r="F156" t="s">
        <v>1265</v>
      </c>
      <c r="G156" t="s">
        <v>3932</v>
      </c>
      <c r="H156" t="s">
        <v>4227</v>
      </c>
      <c r="I156" t="s">
        <v>7381</v>
      </c>
      <c r="L156" t="s">
        <v>28</v>
      </c>
      <c r="R156">
        <f t="shared" si="2"/>
        <v>24</v>
      </c>
    </row>
    <row r="157" spans="1:18" x14ac:dyDescent="0.25">
      <c r="A157" t="s">
        <v>4302</v>
      </c>
      <c r="B157" t="s">
        <v>4227</v>
      </c>
      <c r="C157" s="4">
        <v>1915</v>
      </c>
      <c r="D157" t="s">
        <v>4303</v>
      </c>
      <c r="E157" t="s">
        <v>4304</v>
      </c>
      <c r="H157" t="s">
        <v>4305</v>
      </c>
      <c r="I157" t="s">
        <v>19</v>
      </c>
      <c r="O157" t="s">
        <v>28</v>
      </c>
      <c r="R157">
        <f t="shared" si="2"/>
        <v>31</v>
      </c>
    </row>
    <row r="158" spans="1:18" x14ac:dyDescent="0.25">
      <c r="A158" t="s">
        <v>4306</v>
      </c>
      <c r="B158" t="s">
        <v>4227</v>
      </c>
      <c r="C158" s="4">
        <v>1915</v>
      </c>
      <c r="D158" t="s">
        <v>4307</v>
      </c>
      <c r="E158" t="s">
        <v>3946</v>
      </c>
      <c r="G158" t="s">
        <v>4308</v>
      </c>
      <c r="I158" t="s">
        <v>19</v>
      </c>
      <c r="M158" t="s">
        <v>28</v>
      </c>
      <c r="R158">
        <f t="shared" si="2"/>
        <v>27</v>
      </c>
    </row>
    <row r="159" spans="1:18" x14ac:dyDescent="0.25">
      <c r="A159" t="s">
        <v>4309</v>
      </c>
      <c r="B159" t="s">
        <v>4227</v>
      </c>
      <c r="C159" s="4">
        <v>1915</v>
      </c>
      <c r="D159" t="s">
        <v>4310</v>
      </c>
      <c r="E159" t="s">
        <v>4311</v>
      </c>
      <c r="I159" t="s">
        <v>19</v>
      </c>
      <c r="M159" t="s">
        <v>28</v>
      </c>
      <c r="R159">
        <f t="shared" si="2"/>
        <v>14</v>
      </c>
    </row>
    <row r="160" spans="1:18" x14ac:dyDescent="0.25">
      <c r="A160" t="s">
        <v>4312</v>
      </c>
      <c r="B160" t="s">
        <v>4227</v>
      </c>
      <c r="C160" s="4">
        <v>1915</v>
      </c>
      <c r="D160" t="s">
        <v>4313</v>
      </c>
      <c r="E160" t="s">
        <v>383</v>
      </c>
      <c r="F160" t="s">
        <v>962</v>
      </c>
      <c r="G160" t="s">
        <v>4314</v>
      </c>
      <c r="I160" t="s">
        <v>19</v>
      </c>
      <c r="N160" t="s">
        <v>28</v>
      </c>
      <c r="R160">
        <f t="shared" si="2"/>
        <v>21</v>
      </c>
    </row>
    <row r="161" spans="1:18" x14ac:dyDescent="0.25">
      <c r="A161" t="s">
        <v>4315</v>
      </c>
      <c r="B161" t="s">
        <v>4227</v>
      </c>
      <c r="C161" s="4">
        <v>1915</v>
      </c>
      <c r="D161" t="s">
        <v>4316</v>
      </c>
      <c r="E161" t="s">
        <v>4317</v>
      </c>
      <c r="I161" t="s">
        <v>19</v>
      </c>
      <c r="L161" t="s">
        <v>28</v>
      </c>
      <c r="M161" t="s">
        <v>28</v>
      </c>
      <c r="R161">
        <f t="shared" si="2"/>
        <v>14</v>
      </c>
    </row>
    <row r="162" spans="1:18" x14ac:dyDescent="0.25">
      <c r="A162" t="s">
        <v>4318</v>
      </c>
      <c r="B162" t="s">
        <v>4227</v>
      </c>
      <c r="C162" s="4">
        <v>1915</v>
      </c>
      <c r="D162" t="s">
        <v>4319</v>
      </c>
      <c r="E162" t="s">
        <v>3797</v>
      </c>
      <c r="F162" t="s">
        <v>23</v>
      </c>
      <c r="I162" t="s">
        <v>19</v>
      </c>
      <c r="M162" t="s">
        <v>28</v>
      </c>
      <c r="R162">
        <f t="shared" si="2"/>
        <v>20</v>
      </c>
    </row>
    <row r="163" spans="1:18" x14ac:dyDescent="0.25">
      <c r="A163" t="s">
        <v>4320</v>
      </c>
      <c r="B163" t="s">
        <v>4227</v>
      </c>
      <c r="C163" s="4">
        <v>1915</v>
      </c>
      <c r="D163" t="s">
        <v>4321</v>
      </c>
      <c r="E163" t="s">
        <v>561</v>
      </c>
      <c r="I163" t="s">
        <v>19</v>
      </c>
      <c r="M163" t="s">
        <v>28</v>
      </c>
      <c r="R163">
        <f t="shared" si="2"/>
        <v>14</v>
      </c>
    </row>
    <row r="164" spans="1:18" x14ac:dyDescent="0.25">
      <c r="A164" t="s">
        <v>4322</v>
      </c>
      <c r="B164" t="s">
        <v>4227</v>
      </c>
      <c r="C164" s="4">
        <v>1915</v>
      </c>
      <c r="D164" t="s">
        <v>4323</v>
      </c>
      <c r="E164" t="s">
        <v>4324</v>
      </c>
      <c r="I164" t="s">
        <v>19</v>
      </c>
      <c r="M164" t="s">
        <v>28</v>
      </c>
      <c r="N164" t="s">
        <v>28</v>
      </c>
      <c r="R164">
        <f t="shared" si="2"/>
        <v>15</v>
      </c>
    </row>
    <row r="165" spans="1:18" x14ac:dyDescent="0.25">
      <c r="A165" t="s">
        <v>4325</v>
      </c>
      <c r="B165" t="s">
        <v>4227</v>
      </c>
      <c r="C165" s="4">
        <v>1915</v>
      </c>
      <c r="D165" t="s">
        <v>4326</v>
      </c>
      <c r="E165" t="s">
        <v>321</v>
      </c>
      <c r="I165" t="s">
        <v>19</v>
      </c>
      <c r="M165" t="s">
        <v>28</v>
      </c>
      <c r="R165">
        <f t="shared" si="2"/>
        <v>19</v>
      </c>
    </row>
    <row r="166" spans="1:18" x14ac:dyDescent="0.25">
      <c r="A166" t="s">
        <v>4327</v>
      </c>
      <c r="B166" t="s">
        <v>4227</v>
      </c>
      <c r="C166" s="4">
        <v>1915</v>
      </c>
      <c r="D166" t="s">
        <v>2212</v>
      </c>
      <c r="E166" t="s">
        <v>4328</v>
      </c>
      <c r="F166" t="s">
        <v>28</v>
      </c>
      <c r="G166" t="s">
        <v>1355</v>
      </c>
      <c r="I166" t="s">
        <v>19</v>
      </c>
      <c r="M166" t="s">
        <v>28</v>
      </c>
      <c r="R166">
        <f t="shared" si="2"/>
        <v>29</v>
      </c>
    </row>
    <row r="167" spans="1:18" x14ac:dyDescent="0.25">
      <c r="A167" t="s">
        <v>4329</v>
      </c>
      <c r="B167" t="s">
        <v>4227</v>
      </c>
      <c r="C167" s="4">
        <v>1915</v>
      </c>
      <c r="D167" t="s">
        <v>4330</v>
      </c>
      <c r="E167" t="s">
        <v>4331</v>
      </c>
      <c r="F167" t="s">
        <v>2198</v>
      </c>
      <c r="G167" t="s">
        <v>4332</v>
      </c>
      <c r="I167" t="s">
        <v>19</v>
      </c>
      <c r="M167" t="s">
        <v>28</v>
      </c>
      <c r="R167">
        <f t="shared" si="2"/>
        <v>27</v>
      </c>
    </row>
    <row r="168" spans="1:18" x14ac:dyDescent="0.25">
      <c r="A168" t="s">
        <v>4333</v>
      </c>
      <c r="B168" t="s">
        <v>4227</v>
      </c>
      <c r="C168" s="4">
        <v>1915</v>
      </c>
      <c r="D168" t="s">
        <v>4334</v>
      </c>
      <c r="E168" t="s">
        <v>1730</v>
      </c>
      <c r="I168" t="s">
        <v>19</v>
      </c>
      <c r="M168" t="s">
        <v>28</v>
      </c>
      <c r="R168">
        <f t="shared" si="2"/>
        <v>17</v>
      </c>
    </row>
    <row r="169" spans="1:18" x14ac:dyDescent="0.25">
      <c r="A169" t="s">
        <v>4335</v>
      </c>
      <c r="B169" t="s">
        <v>4227</v>
      </c>
      <c r="C169" s="4">
        <v>1915</v>
      </c>
      <c r="D169" t="s">
        <v>4336</v>
      </c>
      <c r="E169" t="s">
        <v>4337</v>
      </c>
      <c r="G169" t="s">
        <v>4338</v>
      </c>
      <c r="I169" t="s">
        <v>19</v>
      </c>
      <c r="M169" t="s">
        <v>28</v>
      </c>
      <c r="R169">
        <f t="shared" si="2"/>
        <v>22</v>
      </c>
    </row>
    <row r="170" spans="1:18" x14ac:dyDescent="0.25">
      <c r="A170" t="s">
        <v>4339</v>
      </c>
      <c r="B170" t="s">
        <v>4227</v>
      </c>
      <c r="C170" s="4">
        <v>1915</v>
      </c>
      <c r="D170" t="s">
        <v>4340</v>
      </c>
      <c r="E170" t="s">
        <v>210</v>
      </c>
      <c r="F170" t="s">
        <v>960</v>
      </c>
      <c r="G170" t="s">
        <v>4332</v>
      </c>
      <c r="I170" t="s">
        <v>19</v>
      </c>
      <c r="M170" t="s">
        <v>28</v>
      </c>
      <c r="R170">
        <f t="shared" si="2"/>
        <v>32</v>
      </c>
    </row>
    <row r="171" spans="1:18" x14ac:dyDescent="0.25">
      <c r="A171" t="s">
        <v>4341</v>
      </c>
      <c r="B171" t="s">
        <v>4227</v>
      </c>
      <c r="C171" s="4">
        <v>1915</v>
      </c>
      <c r="D171" t="s">
        <v>4342</v>
      </c>
      <c r="E171" t="s">
        <v>4343</v>
      </c>
      <c r="F171" t="s">
        <v>1631</v>
      </c>
      <c r="G171" t="s">
        <v>2944</v>
      </c>
      <c r="I171" t="s">
        <v>19</v>
      </c>
      <c r="O171" t="s">
        <v>28</v>
      </c>
      <c r="R171">
        <f t="shared" si="2"/>
        <v>24</v>
      </c>
    </row>
    <row r="172" spans="1:18" x14ac:dyDescent="0.25">
      <c r="A172" t="s">
        <v>4344</v>
      </c>
      <c r="B172" t="s">
        <v>4227</v>
      </c>
      <c r="C172" s="4">
        <v>1915</v>
      </c>
      <c r="D172" t="s">
        <v>4345</v>
      </c>
      <c r="E172" t="s">
        <v>4346</v>
      </c>
      <c r="I172" t="s">
        <v>19</v>
      </c>
      <c r="M172" t="s">
        <v>28</v>
      </c>
      <c r="R172">
        <f t="shared" si="2"/>
        <v>16</v>
      </c>
    </row>
    <row r="173" spans="1:18" x14ac:dyDescent="0.25">
      <c r="A173" t="s">
        <v>4347</v>
      </c>
      <c r="B173" t="s">
        <v>4227</v>
      </c>
      <c r="C173" s="4">
        <v>1915</v>
      </c>
      <c r="D173" t="s">
        <v>3945</v>
      </c>
      <c r="E173" t="s">
        <v>1724</v>
      </c>
      <c r="I173" t="s">
        <v>19</v>
      </c>
      <c r="M173" t="s">
        <v>28</v>
      </c>
      <c r="R173">
        <f t="shared" si="2"/>
        <v>13</v>
      </c>
    </row>
    <row r="174" spans="1:18" x14ac:dyDescent="0.25">
      <c r="A174" t="s">
        <v>4348</v>
      </c>
      <c r="B174" t="s">
        <v>4227</v>
      </c>
      <c r="C174" s="4">
        <v>1915</v>
      </c>
      <c r="D174" t="s">
        <v>4349</v>
      </c>
      <c r="E174" t="s">
        <v>2213</v>
      </c>
      <c r="I174" t="s">
        <v>19</v>
      </c>
      <c r="M174" t="s">
        <v>28</v>
      </c>
      <c r="R174">
        <f t="shared" si="2"/>
        <v>16</v>
      </c>
    </row>
    <row r="175" spans="1:18" x14ac:dyDescent="0.25">
      <c r="A175" t="s">
        <v>4350</v>
      </c>
      <c r="B175" t="s">
        <v>4227</v>
      </c>
      <c r="C175" s="4">
        <v>1915</v>
      </c>
      <c r="D175" t="s">
        <v>4351</v>
      </c>
      <c r="E175" t="s">
        <v>498</v>
      </c>
      <c r="G175" t="s">
        <v>4352</v>
      </c>
      <c r="H175" t="s">
        <v>4353</v>
      </c>
      <c r="I175" t="s">
        <v>19</v>
      </c>
      <c r="M175" t="s">
        <v>28</v>
      </c>
      <c r="O175" t="s">
        <v>28</v>
      </c>
      <c r="R175">
        <f t="shared" si="2"/>
        <v>53</v>
      </c>
    </row>
    <row r="176" spans="1:18" x14ac:dyDescent="0.25">
      <c r="A176" t="s">
        <v>4354</v>
      </c>
      <c r="B176" t="s">
        <v>4227</v>
      </c>
      <c r="C176" s="4">
        <v>1915</v>
      </c>
      <c r="D176" t="s">
        <v>3331</v>
      </c>
      <c r="E176" t="s">
        <v>561</v>
      </c>
      <c r="I176" t="s">
        <v>19</v>
      </c>
      <c r="M176" t="s">
        <v>28</v>
      </c>
      <c r="R176">
        <f t="shared" si="2"/>
        <v>15</v>
      </c>
    </row>
    <row r="177" spans="1:18" x14ac:dyDescent="0.25">
      <c r="A177" t="s">
        <v>4355</v>
      </c>
      <c r="B177" t="s">
        <v>4227</v>
      </c>
      <c r="C177" s="4">
        <v>1915</v>
      </c>
      <c r="D177" t="s">
        <v>1175</v>
      </c>
      <c r="E177" t="s">
        <v>2213</v>
      </c>
      <c r="F177" t="s">
        <v>1265</v>
      </c>
      <c r="I177" t="s">
        <v>19</v>
      </c>
      <c r="M177" t="s">
        <v>28</v>
      </c>
      <c r="R177">
        <f t="shared" si="2"/>
        <v>16</v>
      </c>
    </row>
    <row r="178" spans="1:18" x14ac:dyDescent="0.25">
      <c r="A178" t="s">
        <v>4356</v>
      </c>
      <c r="B178" t="s">
        <v>4227</v>
      </c>
      <c r="C178" s="4">
        <v>1915</v>
      </c>
      <c r="D178" t="s">
        <v>4357</v>
      </c>
      <c r="E178" t="s">
        <v>4358</v>
      </c>
      <c r="F178" t="s">
        <v>960</v>
      </c>
      <c r="I178" t="s">
        <v>19</v>
      </c>
      <c r="M178" t="s">
        <v>28</v>
      </c>
      <c r="R178">
        <f t="shared" si="2"/>
        <v>14</v>
      </c>
    </row>
    <row r="179" spans="1:18" x14ac:dyDescent="0.25">
      <c r="A179" t="s">
        <v>4359</v>
      </c>
      <c r="B179" t="s">
        <v>4227</v>
      </c>
      <c r="C179" s="4">
        <v>1915</v>
      </c>
      <c r="D179" t="s">
        <v>4360</v>
      </c>
      <c r="E179" t="s">
        <v>1724</v>
      </c>
      <c r="F179" t="s">
        <v>2198</v>
      </c>
      <c r="G179" t="s">
        <v>1355</v>
      </c>
      <c r="H179" t="s">
        <v>4361</v>
      </c>
      <c r="I179" t="s">
        <v>19</v>
      </c>
      <c r="M179" t="s">
        <v>28</v>
      </c>
      <c r="N179" t="s">
        <v>28</v>
      </c>
      <c r="O179" t="s">
        <v>28</v>
      </c>
      <c r="R179">
        <f t="shared" si="2"/>
        <v>47</v>
      </c>
    </row>
    <row r="180" spans="1:18" x14ac:dyDescent="0.25">
      <c r="A180" t="s">
        <v>4362</v>
      </c>
      <c r="B180" t="s">
        <v>4227</v>
      </c>
      <c r="C180" s="4">
        <v>1915</v>
      </c>
      <c r="D180" t="s">
        <v>4363</v>
      </c>
      <c r="E180" t="s">
        <v>1560</v>
      </c>
      <c r="G180" t="s">
        <v>1355</v>
      </c>
      <c r="H180" t="s">
        <v>4364</v>
      </c>
      <c r="I180" t="s">
        <v>19</v>
      </c>
      <c r="M180" t="s">
        <v>28</v>
      </c>
      <c r="R180">
        <f t="shared" si="2"/>
        <v>57</v>
      </c>
    </row>
    <row r="181" spans="1:18" x14ac:dyDescent="0.25">
      <c r="A181" t="s">
        <v>4365</v>
      </c>
      <c r="B181" t="s">
        <v>4227</v>
      </c>
      <c r="C181" s="4">
        <v>1915</v>
      </c>
      <c r="D181" t="s">
        <v>4321</v>
      </c>
      <c r="E181" t="s">
        <v>383</v>
      </c>
      <c r="G181" t="s">
        <v>3195</v>
      </c>
      <c r="H181" t="s">
        <v>4366</v>
      </c>
      <c r="I181" t="s">
        <v>19</v>
      </c>
      <c r="N181" t="s">
        <v>28</v>
      </c>
      <c r="O181" t="s">
        <v>28</v>
      </c>
      <c r="R181">
        <f t="shared" si="2"/>
        <v>42</v>
      </c>
    </row>
    <row r="182" spans="1:18" x14ac:dyDescent="0.25">
      <c r="A182" t="s">
        <v>4367</v>
      </c>
      <c r="B182" t="s">
        <v>4227</v>
      </c>
      <c r="C182" s="4">
        <v>1915</v>
      </c>
      <c r="D182" t="s">
        <v>629</v>
      </c>
      <c r="E182" t="s">
        <v>1730</v>
      </c>
      <c r="F182" t="s">
        <v>1631</v>
      </c>
      <c r="I182" t="s">
        <v>19</v>
      </c>
      <c r="M182" t="s">
        <v>28</v>
      </c>
      <c r="R182">
        <f t="shared" si="2"/>
        <v>15</v>
      </c>
    </row>
    <row r="183" spans="1:18" x14ac:dyDescent="0.25">
      <c r="A183" t="s">
        <v>4368</v>
      </c>
      <c r="B183" t="s">
        <v>4227</v>
      </c>
      <c r="C183" s="4">
        <v>1915</v>
      </c>
      <c r="D183" t="s">
        <v>4369</v>
      </c>
      <c r="E183" t="s">
        <v>4370</v>
      </c>
      <c r="I183" t="s">
        <v>19</v>
      </c>
      <c r="R183">
        <f t="shared" si="2"/>
        <v>20</v>
      </c>
    </row>
    <row r="184" spans="1:18" x14ac:dyDescent="0.25">
      <c r="A184" t="s">
        <v>4371</v>
      </c>
      <c r="B184" t="s">
        <v>4227</v>
      </c>
      <c r="C184" s="4">
        <v>1915</v>
      </c>
      <c r="D184" t="s">
        <v>315</v>
      </c>
      <c r="E184" t="s">
        <v>1596</v>
      </c>
      <c r="I184" t="s">
        <v>19</v>
      </c>
      <c r="R184">
        <f t="shared" si="2"/>
        <v>21</v>
      </c>
    </row>
    <row r="185" spans="1:18" x14ac:dyDescent="0.25">
      <c r="A185" t="s">
        <v>4372</v>
      </c>
      <c r="B185" t="s">
        <v>4227</v>
      </c>
      <c r="C185" s="4">
        <v>1915</v>
      </c>
      <c r="D185" t="s">
        <v>4373</v>
      </c>
      <c r="E185" t="s">
        <v>2417</v>
      </c>
      <c r="I185" t="s">
        <v>19</v>
      </c>
      <c r="R185">
        <f t="shared" si="2"/>
        <v>19</v>
      </c>
    </row>
    <row r="186" spans="1:18" x14ac:dyDescent="0.25">
      <c r="A186" t="s">
        <v>4374</v>
      </c>
      <c r="B186" t="s">
        <v>4227</v>
      </c>
      <c r="C186" s="4">
        <v>1915</v>
      </c>
      <c r="D186" t="s">
        <v>4375</v>
      </c>
      <c r="E186" t="s">
        <v>383</v>
      </c>
      <c r="G186" t="s">
        <v>4376</v>
      </c>
      <c r="H186" t="s">
        <v>4377</v>
      </c>
      <c r="I186" t="s">
        <v>19</v>
      </c>
      <c r="M186" t="s">
        <v>28</v>
      </c>
      <c r="O186" t="s">
        <v>28</v>
      </c>
      <c r="R186">
        <f t="shared" si="2"/>
        <v>52</v>
      </c>
    </row>
    <row r="187" spans="1:18" x14ac:dyDescent="0.25">
      <c r="A187" t="s">
        <v>4378</v>
      </c>
      <c r="B187" t="s">
        <v>4227</v>
      </c>
      <c r="C187" s="4">
        <v>1915</v>
      </c>
      <c r="D187" t="s">
        <v>4379</v>
      </c>
      <c r="E187" t="s">
        <v>4380</v>
      </c>
      <c r="I187" t="s">
        <v>19</v>
      </c>
      <c r="M187" t="s">
        <v>28</v>
      </c>
      <c r="R187">
        <f t="shared" si="2"/>
        <v>16</v>
      </c>
    </row>
    <row r="188" spans="1:18" x14ac:dyDescent="0.25">
      <c r="A188" t="s">
        <v>4381</v>
      </c>
      <c r="B188" t="s">
        <v>4227</v>
      </c>
      <c r="C188" s="4">
        <v>1915</v>
      </c>
      <c r="D188" t="s">
        <v>4382</v>
      </c>
      <c r="E188" t="s">
        <v>384</v>
      </c>
      <c r="I188" t="s">
        <v>19</v>
      </c>
      <c r="M188" t="s">
        <v>28</v>
      </c>
      <c r="R188">
        <f t="shared" si="2"/>
        <v>16</v>
      </c>
    </row>
    <row r="189" spans="1:18" x14ac:dyDescent="0.25">
      <c r="A189" t="s">
        <v>4383</v>
      </c>
      <c r="B189" t="s">
        <v>4227</v>
      </c>
      <c r="C189" s="4">
        <v>1915</v>
      </c>
      <c r="D189" t="s">
        <v>4384</v>
      </c>
      <c r="E189" t="s">
        <v>384</v>
      </c>
      <c r="I189" t="s">
        <v>19</v>
      </c>
      <c r="R189">
        <f t="shared" si="2"/>
        <v>17</v>
      </c>
    </row>
    <row r="190" spans="1:18" x14ac:dyDescent="0.25">
      <c r="A190" t="s">
        <v>4385</v>
      </c>
      <c r="B190" t="s">
        <v>4227</v>
      </c>
      <c r="C190" s="4">
        <v>1915</v>
      </c>
      <c r="D190" t="s">
        <v>4386</v>
      </c>
      <c r="E190" t="s">
        <v>4133</v>
      </c>
      <c r="I190" t="s">
        <v>19</v>
      </c>
      <c r="M190" t="s">
        <v>28</v>
      </c>
      <c r="R190">
        <f t="shared" si="2"/>
        <v>17</v>
      </c>
    </row>
    <row r="191" spans="1:18" x14ac:dyDescent="0.25">
      <c r="A191" t="s">
        <v>4387</v>
      </c>
      <c r="B191" t="s">
        <v>4227</v>
      </c>
      <c r="C191" s="4">
        <v>1915</v>
      </c>
      <c r="D191" t="s">
        <v>4388</v>
      </c>
      <c r="E191" t="s">
        <v>4389</v>
      </c>
      <c r="I191" t="s">
        <v>19</v>
      </c>
      <c r="M191" t="s">
        <v>28</v>
      </c>
      <c r="R191">
        <f t="shared" si="2"/>
        <v>17</v>
      </c>
    </row>
    <row r="192" spans="1:18" x14ac:dyDescent="0.25">
      <c r="A192" t="s">
        <v>4390</v>
      </c>
      <c r="B192" t="s">
        <v>4227</v>
      </c>
      <c r="C192" s="4">
        <v>1915</v>
      </c>
      <c r="D192" t="s">
        <v>4391</v>
      </c>
      <c r="E192" t="s">
        <v>383</v>
      </c>
      <c r="F192" t="s">
        <v>23</v>
      </c>
      <c r="I192" t="s">
        <v>19</v>
      </c>
      <c r="R192">
        <f t="shared" si="2"/>
        <v>14</v>
      </c>
    </row>
    <row r="193" spans="1:18" x14ac:dyDescent="0.25">
      <c r="A193" t="s">
        <v>4392</v>
      </c>
      <c r="B193" t="s">
        <v>4227</v>
      </c>
      <c r="C193" s="4">
        <v>1915</v>
      </c>
      <c r="D193" t="s">
        <v>4393</v>
      </c>
      <c r="E193" t="s">
        <v>1596</v>
      </c>
      <c r="I193" t="s">
        <v>19</v>
      </c>
      <c r="M193" t="s">
        <v>28</v>
      </c>
      <c r="R193">
        <f t="shared" si="2"/>
        <v>18</v>
      </c>
    </row>
    <row r="194" spans="1:18" x14ac:dyDescent="0.25">
      <c r="A194" t="s">
        <v>4394</v>
      </c>
      <c r="B194" t="s">
        <v>4227</v>
      </c>
      <c r="C194" s="4">
        <v>1915</v>
      </c>
      <c r="D194" t="s">
        <v>4395</v>
      </c>
      <c r="E194" t="s">
        <v>4396</v>
      </c>
      <c r="I194" t="s">
        <v>19</v>
      </c>
      <c r="M194" t="s">
        <v>28</v>
      </c>
      <c r="R194">
        <f t="shared" si="2"/>
        <v>19</v>
      </c>
    </row>
    <row r="195" spans="1:18" x14ac:dyDescent="0.25">
      <c r="A195" t="s">
        <v>4397</v>
      </c>
      <c r="B195" t="s">
        <v>4227</v>
      </c>
      <c r="C195" s="4">
        <v>1915</v>
      </c>
      <c r="D195" t="s">
        <v>4398</v>
      </c>
      <c r="E195" t="s">
        <v>1724</v>
      </c>
      <c r="F195" t="s">
        <v>28</v>
      </c>
      <c r="I195" t="s">
        <v>19</v>
      </c>
      <c r="M195" t="s">
        <v>28</v>
      </c>
      <c r="R195">
        <f t="shared" ref="R195:R258" si="3">LEN(C195)+LEN(D195)+LEN(E195)+LEN(F195)+LEN(G195)+LEN(H195)</f>
        <v>16</v>
      </c>
    </row>
    <row r="196" spans="1:18" x14ac:dyDescent="0.25">
      <c r="A196" t="s">
        <v>4399</v>
      </c>
      <c r="B196" t="s">
        <v>4227</v>
      </c>
      <c r="C196" s="4">
        <v>1915</v>
      </c>
      <c r="D196" t="s">
        <v>4400</v>
      </c>
      <c r="E196" t="s">
        <v>4401</v>
      </c>
      <c r="I196" t="s">
        <v>19</v>
      </c>
      <c r="R196">
        <f t="shared" si="3"/>
        <v>17</v>
      </c>
    </row>
    <row r="197" spans="1:18" x14ac:dyDescent="0.25">
      <c r="A197" t="s">
        <v>4402</v>
      </c>
      <c r="B197" t="s">
        <v>4227</v>
      </c>
      <c r="C197" s="4">
        <v>1915</v>
      </c>
      <c r="D197" t="s">
        <v>4403</v>
      </c>
      <c r="E197" t="s">
        <v>960</v>
      </c>
      <c r="I197" t="s">
        <v>19</v>
      </c>
      <c r="M197" t="s">
        <v>28</v>
      </c>
      <c r="R197">
        <f t="shared" si="3"/>
        <v>12</v>
      </c>
    </row>
    <row r="198" spans="1:18" x14ac:dyDescent="0.25">
      <c r="A198" t="s">
        <v>4404</v>
      </c>
      <c r="B198" t="s">
        <v>4227</v>
      </c>
      <c r="C198" s="4">
        <v>1915</v>
      </c>
      <c r="D198" t="s">
        <v>4405</v>
      </c>
      <c r="E198" t="s">
        <v>1560</v>
      </c>
      <c r="F198" t="s">
        <v>879</v>
      </c>
      <c r="I198" t="s">
        <v>19</v>
      </c>
      <c r="M198" t="s">
        <v>28</v>
      </c>
      <c r="R198">
        <f t="shared" si="3"/>
        <v>16</v>
      </c>
    </row>
    <row r="199" spans="1:18" x14ac:dyDescent="0.25">
      <c r="A199" t="s">
        <v>4406</v>
      </c>
      <c r="B199" t="s">
        <v>4227</v>
      </c>
      <c r="C199" s="4">
        <v>1915</v>
      </c>
      <c r="D199" t="s">
        <v>4407</v>
      </c>
      <c r="E199" t="s">
        <v>4268</v>
      </c>
      <c r="I199" t="s">
        <v>19</v>
      </c>
      <c r="M199" t="s">
        <v>28</v>
      </c>
      <c r="R199">
        <f t="shared" si="3"/>
        <v>19</v>
      </c>
    </row>
    <row r="200" spans="1:18" x14ac:dyDescent="0.25">
      <c r="A200" t="s">
        <v>4408</v>
      </c>
      <c r="B200" t="s">
        <v>4227</v>
      </c>
      <c r="C200" s="4">
        <v>1915</v>
      </c>
      <c r="D200" t="s">
        <v>4409</v>
      </c>
      <c r="E200" t="s">
        <v>322</v>
      </c>
      <c r="I200" t="s">
        <v>19</v>
      </c>
      <c r="M200" t="s">
        <v>28</v>
      </c>
      <c r="R200">
        <f t="shared" si="3"/>
        <v>18</v>
      </c>
    </row>
    <row r="201" spans="1:18" x14ac:dyDescent="0.25">
      <c r="A201" t="s">
        <v>4410</v>
      </c>
      <c r="B201" t="s">
        <v>4227</v>
      </c>
      <c r="C201" s="4">
        <v>1915</v>
      </c>
      <c r="D201" t="s">
        <v>4411</v>
      </c>
      <c r="E201" t="s">
        <v>1724</v>
      </c>
      <c r="I201" t="s">
        <v>19</v>
      </c>
      <c r="M201" t="s">
        <v>28</v>
      </c>
      <c r="N201" t="s">
        <v>28</v>
      </c>
      <c r="O201" t="s">
        <v>28</v>
      </c>
      <c r="R201">
        <f t="shared" si="3"/>
        <v>16</v>
      </c>
    </row>
    <row r="202" spans="1:18" x14ac:dyDescent="0.25">
      <c r="A202" t="s">
        <v>4412</v>
      </c>
      <c r="B202" t="s">
        <v>4227</v>
      </c>
      <c r="C202" s="4">
        <v>1915</v>
      </c>
      <c r="D202" t="s">
        <v>4413</v>
      </c>
      <c r="E202" t="s">
        <v>4239</v>
      </c>
      <c r="F202" t="s">
        <v>1631</v>
      </c>
      <c r="I202" t="s">
        <v>19</v>
      </c>
      <c r="M202" t="s">
        <v>28</v>
      </c>
      <c r="R202">
        <f t="shared" si="3"/>
        <v>21</v>
      </c>
    </row>
    <row r="203" spans="1:18" x14ac:dyDescent="0.25">
      <c r="A203" t="s">
        <v>4414</v>
      </c>
      <c r="B203" t="s">
        <v>4227</v>
      </c>
      <c r="C203" s="4">
        <v>1915</v>
      </c>
      <c r="D203" t="s">
        <v>4415</v>
      </c>
      <c r="E203" t="s">
        <v>3516</v>
      </c>
      <c r="I203" t="s">
        <v>19</v>
      </c>
      <c r="R203">
        <f t="shared" si="3"/>
        <v>16</v>
      </c>
    </row>
    <row r="204" spans="1:18" x14ac:dyDescent="0.25">
      <c r="A204" t="s">
        <v>4416</v>
      </c>
      <c r="B204" t="s">
        <v>4227</v>
      </c>
      <c r="C204" s="4">
        <v>1915</v>
      </c>
      <c r="D204" t="s">
        <v>4417</v>
      </c>
      <c r="E204" t="s">
        <v>4220</v>
      </c>
      <c r="I204" t="s">
        <v>19</v>
      </c>
      <c r="M204" t="s">
        <v>28</v>
      </c>
      <c r="R204">
        <f t="shared" si="3"/>
        <v>15</v>
      </c>
    </row>
    <row r="205" spans="1:18" x14ac:dyDescent="0.25">
      <c r="A205" t="s">
        <v>4418</v>
      </c>
      <c r="B205" t="s">
        <v>4227</v>
      </c>
      <c r="C205" s="4">
        <v>1915</v>
      </c>
      <c r="D205" t="s">
        <v>4419</v>
      </c>
      <c r="E205" t="s">
        <v>1596</v>
      </c>
      <c r="I205" t="s">
        <v>19</v>
      </c>
      <c r="M205" t="s">
        <v>28</v>
      </c>
      <c r="R205">
        <f t="shared" si="3"/>
        <v>16</v>
      </c>
    </row>
    <row r="206" spans="1:18" x14ac:dyDescent="0.25">
      <c r="A206" t="s">
        <v>4420</v>
      </c>
      <c r="B206" t="s">
        <v>4227</v>
      </c>
      <c r="C206" s="4">
        <v>1915</v>
      </c>
      <c r="D206" t="s">
        <v>4421</v>
      </c>
      <c r="E206" t="s">
        <v>2330</v>
      </c>
      <c r="I206" t="s">
        <v>19</v>
      </c>
      <c r="M206" t="s">
        <v>28</v>
      </c>
      <c r="R206">
        <f t="shared" si="3"/>
        <v>19</v>
      </c>
    </row>
    <row r="207" spans="1:18" x14ac:dyDescent="0.25">
      <c r="A207" t="s">
        <v>4422</v>
      </c>
      <c r="B207" t="s">
        <v>4227</v>
      </c>
      <c r="C207" s="4">
        <v>1915</v>
      </c>
      <c r="D207" t="s">
        <v>2412</v>
      </c>
      <c r="E207" t="s">
        <v>561</v>
      </c>
      <c r="I207" t="s">
        <v>19</v>
      </c>
      <c r="M207" t="s">
        <v>28</v>
      </c>
      <c r="R207">
        <f t="shared" si="3"/>
        <v>15</v>
      </c>
    </row>
    <row r="208" spans="1:18" x14ac:dyDescent="0.25">
      <c r="A208" t="s">
        <v>4423</v>
      </c>
      <c r="B208" t="s">
        <v>4227</v>
      </c>
      <c r="C208" s="4">
        <v>1915</v>
      </c>
      <c r="D208" t="s">
        <v>4424</v>
      </c>
      <c r="E208" t="s">
        <v>324</v>
      </c>
      <c r="I208" t="s">
        <v>19</v>
      </c>
      <c r="M208" t="s">
        <v>28</v>
      </c>
      <c r="R208">
        <f t="shared" si="3"/>
        <v>17</v>
      </c>
    </row>
    <row r="209" spans="1:18" x14ac:dyDescent="0.25">
      <c r="A209" t="s">
        <v>4425</v>
      </c>
      <c r="B209" t="s">
        <v>4227</v>
      </c>
      <c r="C209" s="4">
        <v>1915</v>
      </c>
      <c r="D209" t="s">
        <v>4426</v>
      </c>
      <c r="E209" t="s">
        <v>4239</v>
      </c>
      <c r="I209" t="s">
        <v>19</v>
      </c>
      <c r="M209" t="s">
        <v>28</v>
      </c>
      <c r="R209">
        <f t="shared" si="3"/>
        <v>18</v>
      </c>
    </row>
    <row r="210" spans="1:18" x14ac:dyDescent="0.25">
      <c r="A210" t="s">
        <v>4427</v>
      </c>
      <c r="B210" t="s">
        <v>4227</v>
      </c>
      <c r="C210" s="4">
        <v>1915</v>
      </c>
      <c r="D210" t="s">
        <v>4428</v>
      </c>
      <c r="E210" t="s">
        <v>561</v>
      </c>
      <c r="F210" t="s">
        <v>68</v>
      </c>
      <c r="I210" t="s">
        <v>19</v>
      </c>
      <c r="M210" t="s">
        <v>28</v>
      </c>
      <c r="R210">
        <f t="shared" si="3"/>
        <v>15</v>
      </c>
    </row>
    <row r="211" spans="1:18" x14ac:dyDescent="0.25">
      <c r="A211" t="s">
        <v>4429</v>
      </c>
      <c r="B211" t="s">
        <v>4227</v>
      </c>
      <c r="C211" s="4">
        <v>1915</v>
      </c>
      <c r="D211" t="s">
        <v>4430</v>
      </c>
      <c r="E211" t="s">
        <v>1596</v>
      </c>
      <c r="G211" t="s">
        <v>4431</v>
      </c>
      <c r="H211" t="s">
        <v>4432</v>
      </c>
      <c r="I211" t="s">
        <v>19</v>
      </c>
      <c r="M211" t="s">
        <v>28</v>
      </c>
      <c r="R211">
        <f t="shared" si="3"/>
        <v>58</v>
      </c>
    </row>
    <row r="212" spans="1:18" x14ac:dyDescent="0.25">
      <c r="A212" t="s">
        <v>4433</v>
      </c>
      <c r="B212" t="s">
        <v>4227</v>
      </c>
      <c r="C212" s="4">
        <v>1915</v>
      </c>
      <c r="D212" t="s">
        <v>4434</v>
      </c>
      <c r="E212" t="s">
        <v>4435</v>
      </c>
      <c r="F212" t="s">
        <v>2198</v>
      </c>
      <c r="G212" t="s">
        <v>4352</v>
      </c>
      <c r="H212" t="s">
        <v>4436</v>
      </c>
      <c r="I212" t="s">
        <v>19</v>
      </c>
      <c r="O212" t="s">
        <v>28</v>
      </c>
      <c r="R212">
        <f t="shared" si="3"/>
        <v>52</v>
      </c>
    </row>
    <row r="213" spans="1:18" x14ac:dyDescent="0.25">
      <c r="A213" t="s">
        <v>4437</v>
      </c>
      <c r="B213" t="s">
        <v>4227</v>
      </c>
      <c r="C213" s="4">
        <v>1915</v>
      </c>
      <c r="D213" t="b">
        <v>1</v>
      </c>
      <c r="E213" t="s">
        <v>4438</v>
      </c>
      <c r="F213" t="s">
        <v>1265</v>
      </c>
      <c r="G213" t="s">
        <v>4439</v>
      </c>
      <c r="H213" t="s">
        <v>4440</v>
      </c>
      <c r="I213" t="s">
        <v>19</v>
      </c>
      <c r="R213">
        <f t="shared" si="3"/>
        <v>52</v>
      </c>
    </row>
    <row r="214" spans="1:18" x14ac:dyDescent="0.25">
      <c r="A214" t="s">
        <v>4441</v>
      </c>
      <c r="B214" t="s">
        <v>4227</v>
      </c>
      <c r="C214" s="4">
        <v>1915</v>
      </c>
      <c r="D214" t="s">
        <v>4442</v>
      </c>
      <c r="E214" t="s">
        <v>4443</v>
      </c>
      <c r="F214" t="s">
        <v>879</v>
      </c>
      <c r="G214" t="s">
        <v>3195</v>
      </c>
      <c r="H214" t="s">
        <v>4444</v>
      </c>
      <c r="I214" t="s">
        <v>19</v>
      </c>
      <c r="M214" t="s">
        <v>28</v>
      </c>
      <c r="O214" t="s">
        <v>28</v>
      </c>
      <c r="R214">
        <f t="shared" si="3"/>
        <v>45</v>
      </c>
    </row>
    <row r="215" spans="1:18" x14ac:dyDescent="0.25">
      <c r="A215" t="s">
        <v>4445</v>
      </c>
      <c r="B215" t="s">
        <v>4227</v>
      </c>
      <c r="C215" s="4">
        <v>1915</v>
      </c>
      <c r="D215" t="s">
        <v>4446</v>
      </c>
      <c r="E215" t="s">
        <v>4324</v>
      </c>
      <c r="G215" t="s">
        <v>2944</v>
      </c>
      <c r="H215" t="s">
        <v>4447</v>
      </c>
      <c r="I215" t="s">
        <v>19</v>
      </c>
      <c r="M215" t="s">
        <v>28</v>
      </c>
      <c r="N215" t="s">
        <v>28</v>
      </c>
      <c r="O215" t="s">
        <v>28</v>
      </c>
      <c r="R215">
        <f t="shared" si="3"/>
        <v>61</v>
      </c>
    </row>
    <row r="216" spans="1:18" x14ac:dyDescent="0.25">
      <c r="A216" t="s">
        <v>4448</v>
      </c>
      <c r="B216" t="s">
        <v>4227</v>
      </c>
      <c r="C216" s="4">
        <v>1915</v>
      </c>
      <c r="D216" t="s">
        <v>4449</v>
      </c>
      <c r="E216" t="s">
        <v>4324</v>
      </c>
      <c r="F216" t="s">
        <v>879</v>
      </c>
      <c r="G216" t="s">
        <v>880</v>
      </c>
      <c r="H216" t="s">
        <v>4450</v>
      </c>
      <c r="I216" t="s">
        <v>19</v>
      </c>
      <c r="M216" t="s">
        <v>28</v>
      </c>
      <c r="R216">
        <f t="shared" si="3"/>
        <v>46</v>
      </c>
    </row>
    <row r="217" spans="1:18" x14ac:dyDescent="0.25">
      <c r="A217" t="s">
        <v>4451</v>
      </c>
      <c r="B217" t="s">
        <v>4227</v>
      </c>
      <c r="C217" s="4">
        <v>1915</v>
      </c>
      <c r="D217" t="s">
        <v>4452</v>
      </c>
      <c r="E217" t="s">
        <v>1678</v>
      </c>
      <c r="G217" t="s">
        <v>880</v>
      </c>
      <c r="H217" t="s">
        <v>4453</v>
      </c>
      <c r="I217" t="s">
        <v>19</v>
      </c>
      <c r="M217" t="s">
        <v>28</v>
      </c>
      <c r="O217" t="s">
        <v>68</v>
      </c>
      <c r="Q217">
        <v>1</v>
      </c>
      <c r="R217">
        <f t="shared" si="3"/>
        <v>48</v>
      </c>
    </row>
    <row r="218" spans="1:18" x14ac:dyDescent="0.25">
      <c r="A218" t="s">
        <v>4454</v>
      </c>
      <c r="B218" t="s">
        <v>4227</v>
      </c>
      <c r="C218" s="4">
        <v>1915</v>
      </c>
      <c r="D218" t="s">
        <v>570</v>
      </c>
      <c r="E218" t="s">
        <v>563</v>
      </c>
      <c r="H218" t="s">
        <v>4455</v>
      </c>
      <c r="I218" t="s">
        <v>19</v>
      </c>
      <c r="M218" t="s">
        <v>28</v>
      </c>
      <c r="N218" t="s">
        <v>28</v>
      </c>
      <c r="O218" t="s">
        <v>28</v>
      </c>
      <c r="R218">
        <f t="shared" si="3"/>
        <v>45</v>
      </c>
    </row>
    <row r="219" spans="1:18" x14ac:dyDescent="0.25">
      <c r="A219" t="s">
        <v>4456</v>
      </c>
      <c r="B219" t="s">
        <v>4227</v>
      </c>
      <c r="C219" s="4">
        <v>1915</v>
      </c>
      <c r="D219" t="s">
        <v>4457</v>
      </c>
      <c r="E219" t="s">
        <v>384</v>
      </c>
      <c r="F219" t="s">
        <v>1631</v>
      </c>
      <c r="G219" t="s">
        <v>4458</v>
      </c>
      <c r="H219" t="s">
        <v>4459</v>
      </c>
      <c r="I219" t="s">
        <v>19</v>
      </c>
      <c r="R219">
        <f t="shared" si="3"/>
        <v>54</v>
      </c>
    </row>
    <row r="220" spans="1:18" x14ac:dyDescent="0.25">
      <c r="A220" t="s">
        <v>4460</v>
      </c>
      <c r="B220" t="s">
        <v>4227</v>
      </c>
      <c r="C220" s="4">
        <v>1915</v>
      </c>
      <c r="D220" t="s">
        <v>4461</v>
      </c>
      <c r="E220" t="s">
        <v>384</v>
      </c>
      <c r="F220" t="s">
        <v>879</v>
      </c>
      <c r="H220" t="s">
        <v>4462</v>
      </c>
      <c r="I220" t="s">
        <v>19</v>
      </c>
      <c r="M220" t="s">
        <v>28</v>
      </c>
      <c r="O220" t="s">
        <v>28</v>
      </c>
      <c r="R220">
        <f t="shared" si="3"/>
        <v>39</v>
      </c>
    </row>
    <row r="221" spans="1:18" x14ac:dyDescent="0.25">
      <c r="A221" t="s">
        <v>4463</v>
      </c>
      <c r="B221" t="s">
        <v>4227</v>
      </c>
      <c r="C221" s="4">
        <v>1915</v>
      </c>
      <c r="D221" t="s">
        <v>4464</v>
      </c>
      <c r="E221" t="s">
        <v>3791</v>
      </c>
      <c r="F221" t="s">
        <v>1667</v>
      </c>
      <c r="H221" t="s">
        <v>4465</v>
      </c>
      <c r="I221" t="s">
        <v>19</v>
      </c>
      <c r="M221" t="s">
        <v>28</v>
      </c>
      <c r="R221">
        <f t="shared" si="3"/>
        <v>45</v>
      </c>
    </row>
    <row r="222" spans="1:18" x14ac:dyDescent="0.25">
      <c r="A222" t="s">
        <v>4466</v>
      </c>
      <c r="B222" t="s">
        <v>4227</v>
      </c>
      <c r="C222" s="4">
        <v>1915</v>
      </c>
      <c r="D222" t="s">
        <v>4467</v>
      </c>
      <c r="E222" t="s">
        <v>383</v>
      </c>
      <c r="F222" t="s">
        <v>960</v>
      </c>
      <c r="G222" t="s">
        <v>1355</v>
      </c>
      <c r="H222" t="s">
        <v>4468</v>
      </c>
      <c r="I222" t="s">
        <v>19</v>
      </c>
      <c r="M222" t="s">
        <v>28</v>
      </c>
      <c r="O222" t="s">
        <v>28</v>
      </c>
      <c r="R222">
        <f t="shared" si="3"/>
        <v>52</v>
      </c>
    </row>
    <row r="223" spans="1:18" x14ac:dyDescent="0.25">
      <c r="A223" t="s">
        <v>4469</v>
      </c>
      <c r="B223" t="s">
        <v>4227</v>
      </c>
      <c r="C223" s="4">
        <v>1915</v>
      </c>
      <c r="D223" t="s">
        <v>4470</v>
      </c>
      <c r="E223" t="s">
        <v>3946</v>
      </c>
      <c r="F223" t="s">
        <v>1631</v>
      </c>
      <c r="G223" t="s">
        <v>1355</v>
      </c>
      <c r="H223" t="s">
        <v>4471</v>
      </c>
      <c r="I223" t="s">
        <v>19</v>
      </c>
      <c r="M223" t="s">
        <v>28</v>
      </c>
      <c r="O223" t="s">
        <v>28</v>
      </c>
      <c r="R223">
        <f t="shared" si="3"/>
        <v>56</v>
      </c>
    </row>
    <row r="224" spans="1:18" x14ac:dyDescent="0.25">
      <c r="A224" t="s">
        <v>4472</v>
      </c>
      <c r="B224" t="s">
        <v>4227</v>
      </c>
      <c r="C224" s="4">
        <v>1915</v>
      </c>
      <c r="D224" t="s">
        <v>4473</v>
      </c>
      <c r="E224" t="s">
        <v>4360</v>
      </c>
      <c r="G224" t="s">
        <v>1355</v>
      </c>
      <c r="H224" t="s">
        <v>4474</v>
      </c>
      <c r="I224" t="s">
        <v>19</v>
      </c>
      <c r="M224" t="s">
        <v>28</v>
      </c>
      <c r="O224" t="s">
        <v>28</v>
      </c>
      <c r="R224">
        <f t="shared" si="3"/>
        <v>57</v>
      </c>
    </row>
    <row r="225" spans="1:18" x14ac:dyDescent="0.25">
      <c r="A225" t="s">
        <v>4475</v>
      </c>
      <c r="B225" t="s">
        <v>4227</v>
      </c>
      <c r="C225" s="4">
        <v>1915</v>
      </c>
      <c r="D225" t="s">
        <v>4476</v>
      </c>
      <c r="E225" t="s">
        <v>4477</v>
      </c>
      <c r="F225" t="s">
        <v>1403</v>
      </c>
      <c r="G225" t="s">
        <v>1355</v>
      </c>
      <c r="H225" t="s">
        <v>4478</v>
      </c>
      <c r="I225" t="s">
        <v>19</v>
      </c>
      <c r="O225" t="s">
        <v>28</v>
      </c>
      <c r="R225">
        <f t="shared" si="3"/>
        <v>51</v>
      </c>
    </row>
    <row r="226" spans="1:18" x14ac:dyDescent="0.25">
      <c r="A226" t="s">
        <v>4479</v>
      </c>
      <c r="B226" t="s">
        <v>4227</v>
      </c>
      <c r="C226" s="4">
        <v>1915</v>
      </c>
      <c r="D226" t="s">
        <v>4480</v>
      </c>
      <c r="E226" t="s">
        <v>1730</v>
      </c>
      <c r="G226" t="s">
        <v>4481</v>
      </c>
      <c r="H226" t="s">
        <v>4482</v>
      </c>
      <c r="I226" t="s">
        <v>19</v>
      </c>
      <c r="M226" t="s">
        <v>28</v>
      </c>
      <c r="O226" t="s">
        <v>28</v>
      </c>
      <c r="R226">
        <f t="shared" si="3"/>
        <v>57</v>
      </c>
    </row>
    <row r="227" spans="1:18" x14ac:dyDescent="0.25">
      <c r="A227" t="s">
        <v>4483</v>
      </c>
      <c r="B227" t="s">
        <v>4227</v>
      </c>
      <c r="C227" s="4">
        <v>1915</v>
      </c>
      <c r="D227" t="s">
        <v>4484</v>
      </c>
      <c r="E227" t="s">
        <v>1260</v>
      </c>
      <c r="F227" t="s">
        <v>28</v>
      </c>
      <c r="G227" t="s">
        <v>4352</v>
      </c>
      <c r="H227" t="s">
        <v>4485</v>
      </c>
      <c r="I227" t="s">
        <v>19</v>
      </c>
      <c r="M227" t="s">
        <v>28</v>
      </c>
      <c r="N227" s="6" t="s">
        <v>28</v>
      </c>
      <c r="O227" s="6" t="s">
        <v>28</v>
      </c>
      <c r="P227" s="6"/>
      <c r="R227">
        <f t="shared" si="3"/>
        <v>44</v>
      </c>
    </row>
    <row r="228" spans="1:18" x14ac:dyDescent="0.25">
      <c r="A228" t="s">
        <v>4486</v>
      </c>
      <c r="B228" t="s">
        <v>4227</v>
      </c>
      <c r="C228" s="4">
        <v>1915</v>
      </c>
      <c r="D228" t="s">
        <v>3886</v>
      </c>
      <c r="E228" t="s">
        <v>4268</v>
      </c>
      <c r="F228" t="s">
        <v>68</v>
      </c>
      <c r="G228" t="s">
        <v>929</v>
      </c>
      <c r="H228" t="s">
        <v>4487</v>
      </c>
      <c r="I228" t="s">
        <v>19</v>
      </c>
      <c r="N228" s="6" t="s">
        <v>28</v>
      </c>
      <c r="O228" s="6" t="s">
        <v>28</v>
      </c>
      <c r="P228" s="6"/>
      <c r="R228">
        <f t="shared" si="3"/>
        <v>54</v>
      </c>
    </row>
    <row r="229" spans="1:18" x14ac:dyDescent="0.25">
      <c r="A229" t="s">
        <v>4488</v>
      </c>
      <c r="B229" t="s">
        <v>4227</v>
      </c>
      <c r="C229" s="4">
        <v>1915</v>
      </c>
      <c r="D229" t="s">
        <v>4489</v>
      </c>
      <c r="E229" t="s">
        <v>1596</v>
      </c>
      <c r="G229" t="s">
        <v>4352</v>
      </c>
      <c r="H229" t="s">
        <v>4490</v>
      </c>
      <c r="I229" t="s">
        <v>19</v>
      </c>
      <c r="M229" t="s">
        <v>28</v>
      </c>
      <c r="N229" s="6" t="s">
        <v>28</v>
      </c>
      <c r="R229">
        <f t="shared" si="3"/>
        <v>44</v>
      </c>
    </row>
    <row r="230" spans="1:18" x14ac:dyDescent="0.25">
      <c r="A230" t="s">
        <v>4491</v>
      </c>
      <c r="B230" t="s">
        <v>4227</v>
      </c>
      <c r="C230" s="4">
        <v>1915</v>
      </c>
      <c r="D230" t="s">
        <v>4492</v>
      </c>
      <c r="E230" t="s">
        <v>2685</v>
      </c>
      <c r="H230" t="s">
        <v>4493</v>
      </c>
      <c r="I230" t="s">
        <v>19</v>
      </c>
      <c r="M230" t="s">
        <v>28</v>
      </c>
      <c r="N230" t="s">
        <v>28</v>
      </c>
      <c r="O230" t="s">
        <v>28</v>
      </c>
      <c r="R230">
        <f t="shared" si="3"/>
        <v>39</v>
      </c>
    </row>
    <row r="231" spans="1:18" x14ac:dyDescent="0.25">
      <c r="A231" t="s">
        <v>4494</v>
      </c>
      <c r="B231" t="s">
        <v>4227</v>
      </c>
      <c r="C231" s="4">
        <v>1915</v>
      </c>
      <c r="D231" t="s">
        <v>4495</v>
      </c>
      <c r="E231" t="s">
        <v>4496</v>
      </c>
      <c r="H231" t="s">
        <v>4497</v>
      </c>
      <c r="I231" t="s">
        <v>19</v>
      </c>
      <c r="M231" t="s">
        <v>28</v>
      </c>
      <c r="N231" t="s">
        <v>28</v>
      </c>
      <c r="O231" t="s">
        <v>28</v>
      </c>
      <c r="R231">
        <f t="shared" si="3"/>
        <v>41</v>
      </c>
    </row>
    <row r="232" spans="1:18" x14ac:dyDescent="0.25">
      <c r="A232" t="s">
        <v>4498</v>
      </c>
      <c r="B232" t="s">
        <v>4227</v>
      </c>
      <c r="C232" s="4">
        <v>1915</v>
      </c>
      <c r="D232" t="s">
        <v>4499</v>
      </c>
      <c r="E232" t="s">
        <v>3516</v>
      </c>
      <c r="F232" t="s">
        <v>391</v>
      </c>
      <c r="H232" t="s">
        <v>4500</v>
      </c>
      <c r="I232" t="s">
        <v>19</v>
      </c>
      <c r="R232">
        <f t="shared" si="3"/>
        <v>45</v>
      </c>
    </row>
    <row r="233" spans="1:18" x14ac:dyDescent="0.25">
      <c r="A233" t="s">
        <v>4501</v>
      </c>
      <c r="B233" t="s">
        <v>4227</v>
      </c>
      <c r="C233" s="4">
        <v>1915</v>
      </c>
      <c r="D233" t="s">
        <v>4502</v>
      </c>
      <c r="E233" t="s">
        <v>4503</v>
      </c>
      <c r="F233" t="s">
        <v>68</v>
      </c>
      <c r="G233" t="s">
        <v>880</v>
      </c>
      <c r="H233" t="s">
        <v>4504</v>
      </c>
      <c r="I233" t="s">
        <v>19</v>
      </c>
      <c r="M233" t="s">
        <v>28</v>
      </c>
      <c r="N233" s="6" t="s">
        <v>28</v>
      </c>
      <c r="O233" t="s">
        <v>28</v>
      </c>
      <c r="R233">
        <f t="shared" si="3"/>
        <v>53</v>
      </c>
    </row>
    <row r="234" spans="1:18" x14ac:dyDescent="0.25">
      <c r="A234" t="s">
        <v>4505</v>
      </c>
      <c r="B234" t="s">
        <v>4227</v>
      </c>
      <c r="C234" s="4">
        <v>1915</v>
      </c>
      <c r="D234" t="s">
        <v>4153</v>
      </c>
      <c r="E234" t="s">
        <v>4343</v>
      </c>
      <c r="G234" t="s">
        <v>1355</v>
      </c>
      <c r="H234" t="s">
        <v>4506</v>
      </c>
      <c r="I234" t="s">
        <v>19</v>
      </c>
      <c r="M234" t="s">
        <v>28</v>
      </c>
      <c r="O234" s="6" t="s">
        <v>28</v>
      </c>
      <c r="P234" s="6"/>
      <c r="R234">
        <f t="shared" si="3"/>
        <v>45</v>
      </c>
    </row>
    <row r="235" spans="1:18" x14ac:dyDescent="0.25">
      <c r="A235" t="s">
        <v>4507</v>
      </c>
      <c r="B235" t="s">
        <v>4227</v>
      </c>
      <c r="C235" s="4">
        <v>1915</v>
      </c>
      <c r="D235" t="s">
        <v>4508</v>
      </c>
      <c r="E235" t="s">
        <v>384</v>
      </c>
      <c r="G235" t="s">
        <v>1355</v>
      </c>
      <c r="H235" t="s">
        <v>4509</v>
      </c>
      <c r="I235" t="s">
        <v>19</v>
      </c>
      <c r="M235" t="s">
        <v>28</v>
      </c>
      <c r="O235" t="s">
        <v>28</v>
      </c>
      <c r="R235">
        <f t="shared" si="3"/>
        <v>42</v>
      </c>
    </row>
    <row r="236" spans="1:18" x14ac:dyDescent="0.25">
      <c r="A236" t="s">
        <v>4510</v>
      </c>
      <c r="B236" t="s">
        <v>4227</v>
      </c>
      <c r="C236" s="4">
        <v>1915</v>
      </c>
      <c r="D236" t="s">
        <v>4511</v>
      </c>
      <c r="E236" t="s">
        <v>4512</v>
      </c>
      <c r="H236" t="s">
        <v>4513</v>
      </c>
      <c r="I236" t="s">
        <v>19</v>
      </c>
      <c r="M236" t="s">
        <v>28</v>
      </c>
      <c r="N236" t="s">
        <v>28</v>
      </c>
      <c r="O236" t="s">
        <v>133</v>
      </c>
      <c r="R236">
        <f t="shared" si="3"/>
        <v>29</v>
      </c>
    </row>
    <row r="237" spans="1:18" x14ac:dyDescent="0.25">
      <c r="A237" t="s">
        <v>4514</v>
      </c>
      <c r="B237" t="s">
        <v>4227</v>
      </c>
      <c r="C237" s="4">
        <v>1915</v>
      </c>
      <c r="D237" t="s">
        <v>4515</v>
      </c>
      <c r="E237" t="s">
        <v>1678</v>
      </c>
      <c r="G237" t="s">
        <v>1355</v>
      </c>
      <c r="H237" t="s">
        <v>4516</v>
      </c>
      <c r="I237" t="s">
        <v>19</v>
      </c>
      <c r="M237" t="s">
        <v>28</v>
      </c>
      <c r="O237" t="s">
        <v>28</v>
      </c>
      <c r="R237">
        <f t="shared" si="3"/>
        <v>43</v>
      </c>
    </row>
    <row r="238" spans="1:18" x14ac:dyDescent="0.25">
      <c r="A238" t="s">
        <v>4517</v>
      </c>
      <c r="B238" t="s">
        <v>4227</v>
      </c>
      <c r="C238" s="4">
        <v>1915</v>
      </c>
      <c r="D238" t="s">
        <v>4518</v>
      </c>
      <c r="E238" t="s">
        <v>1678</v>
      </c>
      <c r="G238" t="s">
        <v>929</v>
      </c>
      <c r="H238" t="s">
        <v>4519</v>
      </c>
      <c r="I238" t="s">
        <v>19</v>
      </c>
      <c r="M238" t="s">
        <v>28</v>
      </c>
      <c r="O238" s="6" t="s">
        <v>28</v>
      </c>
      <c r="P238" s="6"/>
      <c r="R238">
        <f t="shared" si="3"/>
        <v>49</v>
      </c>
    </row>
    <row r="239" spans="1:18" x14ac:dyDescent="0.25">
      <c r="A239" t="s">
        <v>4520</v>
      </c>
      <c r="B239" t="s">
        <v>4227</v>
      </c>
      <c r="C239" s="4">
        <v>1915</v>
      </c>
      <c r="D239" t="s">
        <v>4521</v>
      </c>
      <c r="E239" t="s">
        <v>1724</v>
      </c>
      <c r="F239" t="s">
        <v>2198</v>
      </c>
      <c r="G239" t="s">
        <v>1355</v>
      </c>
      <c r="H239" t="s">
        <v>4522</v>
      </c>
      <c r="I239" t="s">
        <v>19</v>
      </c>
      <c r="M239" t="s">
        <v>28</v>
      </c>
      <c r="O239" s="6" t="s">
        <v>28</v>
      </c>
      <c r="P239" s="6"/>
      <c r="R239">
        <f t="shared" si="3"/>
        <v>47</v>
      </c>
    </row>
    <row r="240" spans="1:18" x14ac:dyDescent="0.25">
      <c r="A240" t="s">
        <v>4523</v>
      </c>
      <c r="B240" t="s">
        <v>4227</v>
      </c>
      <c r="C240" s="4">
        <v>1915</v>
      </c>
      <c r="D240" t="s">
        <v>4524</v>
      </c>
      <c r="E240" t="s">
        <v>4525</v>
      </c>
      <c r="G240" t="s">
        <v>4526</v>
      </c>
      <c r="H240" t="s">
        <v>4527</v>
      </c>
      <c r="I240" t="s">
        <v>19</v>
      </c>
      <c r="M240" t="s">
        <v>28</v>
      </c>
      <c r="O240" t="s">
        <v>28</v>
      </c>
      <c r="R240">
        <f t="shared" si="3"/>
        <v>52</v>
      </c>
    </row>
    <row r="241" spans="1:18" x14ac:dyDescent="0.25">
      <c r="A241" t="s">
        <v>4528</v>
      </c>
      <c r="B241" t="s">
        <v>4227</v>
      </c>
      <c r="C241" s="4">
        <v>1915</v>
      </c>
      <c r="D241" t="s">
        <v>4529</v>
      </c>
      <c r="E241" t="s">
        <v>1730</v>
      </c>
      <c r="G241" t="s">
        <v>929</v>
      </c>
      <c r="H241" t="s">
        <v>4530</v>
      </c>
      <c r="I241" t="s">
        <v>19</v>
      </c>
      <c r="M241" t="s">
        <v>28</v>
      </c>
      <c r="O241" s="6" t="s">
        <v>28</v>
      </c>
      <c r="P241" s="6"/>
      <c r="R241">
        <f t="shared" si="3"/>
        <v>54</v>
      </c>
    </row>
    <row r="242" spans="1:18" x14ac:dyDescent="0.25">
      <c r="A242" t="s">
        <v>4531</v>
      </c>
      <c r="B242" t="s">
        <v>4227</v>
      </c>
      <c r="C242" s="4">
        <v>1915</v>
      </c>
      <c r="D242" t="s">
        <v>4532</v>
      </c>
      <c r="E242" t="s">
        <v>2685</v>
      </c>
      <c r="G242" t="s">
        <v>4352</v>
      </c>
      <c r="H242" t="s">
        <v>4436</v>
      </c>
      <c r="I242" t="s">
        <v>19</v>
      </c>
      <c r="N242" s="6" t="s">
        <v>28</v>
      </c>
      <c r="O242" t="s">
        <v>28</v>
      </c>
      <c r="R242">
        <f t="shared" si="3"/>
        <v>52</v>
      </c>
    </row>
    <row r="243" spans="1:18" x14ac:dyDescent="0.25">
      <c r="A243" t="s">
        <v>4533</v>
      </c>
      <c r="B243" t="s">
        <v>4227</v>
      </c>
      <c r="C243" s="4">
        <v>1915</v>
      </c>
      <c r="D243" t="s">
        <v>4534</v>
      </c>
      <c r="E243" t="s">
        <v>2685</v>
      </c>
      <c r="F243" t="s">
        <v>28</v>
      </c>
      <c r="G243" t="s">
        <v>4526</v>
      </c>
      <c r="H243" t="s">
        <v>4535</v>
      </c>
      <c r="I243" t="s">
        <v>19</v>
      </c>
      <c r="O243" t="s">
        <v>28</v>
      </c>
      <c r="R243">
        <f t="shared" si="3"/>
        <v>54</v>
      </c>
    </row>
    <row r="244" spans="1:18" x14ac:dyDescent="0.25">
      <c r="A244" t="s">
        <v>4536</v>
      </c>
      <c r="B244" t="s">
        <v>4227</v>
      </c>
      <c r="C244" s="4">
        <v>1915</v>
      </c>
      <c r="D244" t="s">
        <v>4537</v>
      </c>
      <c r="E244" t="s">
        <v>4538</v>
      </c>
      <c r="F244" t="s">
        <v>524</v>
      </c>
      <c r="G244" t="s">
        <v>4352</v>
      </c>
      <c r="H244" t="s">
        <v>4539</v>
      </c>
      <c r="I244" t="s">
        <v>19</v>
      </c>
      <c r="N244" s="6" t="s">
        <v>28</v>
      </c>
      <c r="O244" t="s">
        <v>28</v>
      </c>
      <c r="R244">
        <f t="shared" si="3"/>
        <v>57</v>
      </c>
    </row>
    <row r="245" spans="1:18" x14ac:dyDescent="0.25">
      <c r="A245" t="s">
        <v>4540</v>
      </c>
      <c r="B245" t="s">
        <v>4227</v>
      </c>
      <c r="C245" s="4">
        <v>1915</v>
      </c>
      <c r="D245" t="s">
        <v>4541</v>
      </c>
      <c r="E245" t="s">
        <v>246</v>
      </c>
      <c r="F245" t="s">
        <v>392</v>
      </c>
      <c r="G245" t="s">
        <v>1355</v>
      </c>
      <c r="H245" t="s">
        <v>4542</v>
      </c>
      <c r="I245" t="s">
        <v>19</v>
      </c>
      <c r="O245" t="s">
        <v>28</v>
      </c>
      <c r="R245">
        <f t="shared" si="3"/>
        <v>54</v>
      </c>
    </row>
    <row r="246" spans="1:18" x14ac:dyDescent="0.25">
      <c r="A246" t="s">
        <v>4543</v>
      </c>
      <c r="B246" t="s">
        <v>4227</v>
      </c>
      <c r="C246" s="4">
        <v>1915</v>
      </c>
      <c r="D246" t="s">
        <v>4544</v>
      </c>
      <c r="E246" t="s">
        <v>383</v>
      </c>
      <c r="G246" t="s">
        <v>1390</v>
      </c>
      <c r="H246" t="s">
        <v>4545</v>
      </c>
      <c r="I246" t="s">
        <v>19</v>
      </c>
      <c r="M246" t="s">
        <v>28</v>
      </c>
      <c r="O246" s="6" t="s">
        <v>28</v>
      </c>
      <c r="P246" s="6"/>
      <c r="R246">
        <f t="shared" si="3"/>
        <v>47</v>
      </c>
    </row>
    <row r="247" spans="1:18" x14ac:dyDescent="0.25">
      <c r="A247" t="s">
        <v>4546</v>
      </c>
      <c r="B247" t="s">
        <v>4227</v>
      </c>
      <c r="C247" s="4">
        <v>1915</v>
      </c>
      <c r="D247" t="s">
        <v>4547</v>
      </c>
      <c r="E247" t="s">
        <v>321</v>
      </c>
      <c r="F247" t="s">
        <v>962</v>
      </c>
      <c r="H247" t="s">
        <v>4548</v>
      </c>
      <c r="I247" t="s">
        <v>19</v>
      </c>
      <c r="R247">
        <f t="shared" si="3"/>
        <v>39</v>
      </c>
    </row>
    <row r="248" spans="1:18" x14ac:dyDescent="0.25">
      <c r="A248" t="s">
        <v>4549</v>
      </c>
      <c r="B248" t="s">
        <v>4227</v>
      </c>
      <c r="C248" s="4">
        <v>1915</v>
      </c>
      <c r="D248" t="s">
        <v>4550</v>
      </c>
      <c r="E248" t="s">
        <v>1596</v>
      </c>
      <c r="F248" t="s">
        <v>392</v>
      </c>
      <c r="H248" t="s">
        <v>4551</v>
      </c>
      <c r="I248" t="s">
        <v>19</v>
      </c>
      <c r="R248">
        <f t="shared" si="3"/>
        <v>43</v>
      </c>
    </row>
    <row r="249" spans="1:18" x14ac:dyDescent="0.25">
      <c r="A249" t="s">
        <v>4552</v>
      </c>
      <c r="B249" t="s">
        <v>4227</v>
      </c>
      <c r="C249" s="4">
        <v>1915</v>
      </c>
      <c r="D249" t="s">
        <v>4553</v>
      </c>
      <c r="E249" t="s">
        <v>4554</v>
      </c>
      <c r="F249" t="s">
        <v>2198</v>
      </c>
      <c r="G249" t="s">
        <v>4332</v>
      </c>
      <c r="I249" t="s">
        <v>19</v>
      </c>
      <c r="M249" t="s">
        <v>28</v>
      </c>
      <c r="R249">
        <f t="shared" si="3"/>
        <v>28</v>
      </c>
    </row>
    <row r="250" spans="1:18" x14ac:dyDescent="0.25">
      <c r="A250" t="s">
        <v>4555</v>
      </c>
      <c r="B250" t="s">
        <v>4227</v>
      </c>
      <c r="C250" s="4">
        <v>1915</v>
      </c>
      <c r="D250" t="s">
        <v>4556</v>
      </c>
      <c r="E250" t="s">
        <v>383</v>
      </c>
      <c r="G250" t="s">
        <v>1355</v>
      </c>
      <c r="I250" t="s">
        <v>19</v>
      </c>
      <c r="M250" t="s">
        <v>28</v>
      </c>
      <c r="O250" t="s">
        <v>28</v>
      </c>
      <c r="R250">
        <f t="shared" si="3"/>
        <v>20</v>
      </c>
    </row>
    <row r="251" spans="1:18" x14ac:dyDescent="0.25">
      <c r="A251" t="s">
        <v>4557</v>
      </c>
      <c r="B251" t="s">
        <v>4227</v>
      </c>
      <c r="C251" s="4">
        <v>1915</v>
      </c>
      <c r="D251" t="s">
        <v>4400</v>
      </c>
      <c r="E251" t="s">
        <v>4324</v>
      </c>
      <c r="H251" t="s">
        <v>4558</v>
      </c>
      <c r="I251" t="s">
        <v>19</v>
      </c>
      <c r="M251" t="s">
        <v>28</v>
      </c>
      <c r="O251" t="s">
        <v>28</v>
      </c>
      <c r="R251">
        <f t="shared" si="3"/>
        <v>35</v>
      </c>
    </row>
    <row r="252" spans="1:18" x14ac:dyDescent="0.25">
      <c r="A252" t="s">
        <v>4559</v>
      </c>
      <c r="B252" t="s">
        <v>4227</v>
      </c>
      <c r="C252" s="4">
        <v>1915</v>
      </c>
      <c r="D252" t="s">
        <v>3871</v>
      </c>
      <c r="E252" t="s">
        <v>1730</v>
      </c>
      <c r="F252" t="s">
        <v>3924</v>
      </c>
      <c r="I252" t="s">
        <v>19</v>
      </c>
      <c r="O252" t="s">
        <v>28</v>
      </c>
      <c r="R252">
        <f t="shared" si="3"/>
        <v>16</v>
      </c>
    </row>
    <row r="253" spans="1:18" x14ac:dyDescent="0.25">
      <c r="A253" t="s">
        <v>4560</v>
      </c>
      <c r="B253" t="s">
        <v>4227</v>
      </c>
      <c r="C253" s="4">
        <v>1915</v>
      </c>
      <c r="D253" t="s">
        <v>4561</v>
      </c>
      <c r="E253" t="s">
        <v>1730</v>
      </c>
      <c r="I253" t="s">
        <v>19</v>
      </c>
      <c r="M253" t="s">
        <v>28</v>
      </c>
      <c r="R253">
        <f t="shared" si="3"/>
        <v>17</v>
      </c>
    </row>
    <row r="254" spans="1:18" x14ac:dyDescent="0.25">
      <c r="A254" t="s">
        <v>4562</v>
      </c>
      <c r="B254" t="s">
        <v>4227</v>
      </c>
      <c r="C254" s="4">
        <v>1915</v>
      </c>
      <c r="D254" t="s">
        <v>4563</v>
      </c>
      <c r="E254" t="s">
        <v>384</v>
      </c>
      <c r="F254" t="s">
        <v>1631</v>
      </c>
      <c r="G254" t="s">
        <v>4352</v>
      </c>
      <c r="I254" t="s">
        <v>19</v>
      </c>
      <c r="O254" t="s">
        <v>28</v>
      </c>
      <c r="R254">
        <f t="shared" si="3"/>
        <v>31</v>
      </c>
    </row>
    <row r="255" spans="1:18" x14ac:dyDescent="0.25">
      <c r="A255" t="s">
        <v>4564</v>
      </c>
      <c r="B255" t="s">
        <v>4227</v>
      </c>
      <c r="C255" s="4">
        <v>1915</v>
      </c>
      <c r="D255" t="s">
        <v>4565</v>
      </c>
      <c r="E255" t="s">
        <v>322</v>
      </c>
      <c r="I255" t="s">
        <v>19</v>
      </c>
      <c r="M255" t="s">
        <v>28</v>
      </c>
      <c r="N255" t="s">
        <v>28</v>
      </c>
      <c r="R255">
        <f t="shared" si="3"/>
        <v>15</v>
      </c>
    </row>
    <row r="256" spans="1:18" x14ac:dyDescent="0.25">
      <c r="A256" t="s">
        <v>4566</v>
      </c>
      <c r="B256" t="s">
        <v>4227</v>
      </c>
      <c r="C256" s="4">
        <v>1915</v>
      </c>
      <c r="D256" t="s">
        <v>4567</v>
      </c>
      <c r="E256" t="s">
        <v>383</v>
      </c>
      <c r="F256" t="s">
        <v>878</v>
      </c>
      <c r="I256" t="s">
        <v>19</v>
      </c>
      <c r="R256">
        <f t="shared" si="3"/>
        <v>18</v>
      </c>
    </row>
    <row r="257" spans="1:18" x14ac:dyDescent="0.25">
      <c r="A257" t="s">
        <v>4568</v>
      </c>
      <c r="B257" t="s">
        <v>4227</v>
      </c>
      <c r="C257" s="4">
        <v>1915</v>
      </c>
      <c r="D257" t="s">
        <v>559</v>
      </c>
      <c r="E257" t="s">
        <v>4569</v>
      </c>
      <c r="F257" t="s">
        <v>23</v>
      </c>
      <c r="G257" t="s">
        <v>1355</v>
      </c>
      <c r="I257" t="s">
        <v>19</v>
      </c>
      <c r="M257" t="s">
        <v>28</v>
      </c>
      <c r="R257">
        <f t="shared" si="3"/>
        <v>28</v>
      </c>
    </row>
    <row r="258" spans="1:18" x14ac:dyDescent="0.25">
      <c r="A258" t="s">
        <v>4570</v>
      </c>
      <c r="B258" t="s">
        <v>4227</v>
      </c>
      <c r="C258" s="4">
        <v>1915</v>
      </c>
      <c r="D258" t="s">
        <v>4571</v>
      </c>
      <c r="E258" t="s">
        <v>4461</v>
      </c>
      <c r="G258" t="s">
        <v>2944</v>
      </c>
      <c r="I258" t="s">
        <v>19</v>
      </c>
      <c r="M258" t="s">
        <v>28</v>
      </c>
      <c r="N258" t="s">
        <v>28</v>
      </c>
      <c r="O258" t="s">
        <v>28</v>
      </c>
      <c r="R258">
        <f t="shared" si="3"/>
        <v>26</v>
      </c>
    </row>
    <row r="259" spans="1:18" x14ac:dyDescent="0.25">
      <c r="A259" t="s">
        <v>4572</v>
      </c>
      <c r="B259" t="s">
        <v>4227</v>
      </c>
      <c r="C259" s="4">
        <v>1915</v>
      </c>
      <c r="D259" t="s">
        <v>4573</v>
      </c>
      <c r="E259" t="s">
        <v>561</v>
      </c>
      <c r="F259" t="s">
        <v>392</v>
      </c>
      <c r="G259" t="s">
        <v>1355</v>
      </c>
      <c r="I259" t="s">
        <v>19</v>
      </c>
      <c r="R259">
        <f t="shared" ref="R259:R322" si="4">LEN(C259)+LEN(D259)+LEN(E259)+LEN(F259)+LEN(G259)+LEN(H259)</f>
        <v>26</v>
      </c>
    </row>
    <row r="260" spans="1:18" x14ac:dyDescent="0.25">
      <c r="A260" t="s">
        <v>4574</v>
      </c>
      <c r="B260" t="s">
        <v>4227</v>
      </c>
      <c r="C260" s="4">
        <v>1915</v>
      </c>
      <c r="D260" t="s">
        <v>4575</v>
      </c>
      <c r="E260" t="s">
        <v>3946</v>
      </c>
      <c r="I260" t="s">
        <v>19</v>
      </c>
      <c r="M260" t="s">
        <v>28</v>
      </c>
      <c r="R260">
        <f t="shared" si="4"/>
        <v>14</v>
      </c>
    </row>
    <row r="261" spans="1:18" x14ac:dyDescent="0.25">
      <c r="A261" t="s">
        <v>4576</v>
      </c>
      <c r="B261" t="s">
        <v>4227</v>
      </c>
      <c r="C261" s="4">
        <v>1915</v>
      </c>
      <c r="D261" t="s">
        <v>3871</v>
      </c>
      <c r="E261" t="s">
        <v>952</v>
      </c>
      <c r="I261" t="s">
        <v>19</v>
      </c>
      <c r="M261" t="s">
        <v>28</v>
      </c>
      <c r="R261">
        <f t="shared" si="4"/>
        <v>15</v>
      </c>
    </row>
    <row r="262" spans="1:18" x14ac:dyDescent="0.25">
      <c r="A262" t="s">
        <v>4577</v>
      </c>
      <c r="B262" t="s">
        <v>4227</v>
      </c>
      <c r="C262" s="4">
        <v>1915</v>
      </c>
      <c r="D262" t="s">
        <v>3871</v>
      </c>
      <c r="E262" t="s">
        <v>384</v>
      </c>
      <c r="F262" t="s">
        <v>23</v>
      </c>
      <c r="I262" t="s">
        <v>19</v>
      </c>
      <c r="N262" t="s">
        <v>28</v>
      </c>
      <c r="R262">
        <f t="shared" si="4"/>
        <v>17</v>
      </c>
    </row>
    <row r="263" spans="1:18" x14ac:dyDescent="0.25">
      <c r="A263" t="s">
        <v>4578</v>
      </c>
      <c r="B263" t="s">
        <v>4227</v>
      </c>
      <c r="C263" s="4">
        <v>1915</v>
      </c>
      <c r="D263" t="s">
        <v>4579</v>
      </c>
      <c r="E263" t="s">
        <v>383</v>
      </c>
      <c r="I263" t="s">
        <v>19</v>
      </c>
      <c r="M263" t="s">
        <v>28</v>
      </c>
      <c r="R263">
        <f t="shared" si="4"/>
        <v>12</v>
      </c>
    </row>
    <row r="264" spans="1:18" x14ac:dyDescent="0.25">
      <c r="A264" t="s">
        <v>4580</v>
      </c>
      <c r="B264" t="s">
        <v>4227</v>
      </c>
      <c r="C264" s="4">
        <v>1915</v>
      </c>
      <c r="D264" t="s">
        <v>4581</v>
      </c>
      <c r="E264" t="s">
        <v>4582</v>
      </c>
      <c r="I264" t="s">
        <v>19</v>
      </c>
      <c r="M264" t="s">
        <v>28</v>
      </c>
      <c r="R264">
        <f t="shared" si="4"/>
        <v>14</v>
      </c>
    </row>
    <row r="265" spans="1:18" x14ac:dyDescent="0.25">
      <c r="A265" t="s">
        <v>4583</v>
      </c>
      <c r="B265" t="s">
        <v>4227</v>
      </c>
      <c r="C265" s="4">
        <v>1915</v>
      </c>
      <c r="D265" t="s">
        <v>4584</v>
      </c>
      <c r="E265" t="s">
        <v>4317</v>
      </c>
      <c r="I265" t="s">
        <v>19</v>
      </c>
      <c r="L265" t="s">
        <v>28</v>
      </c>
      <c r="R265">
        <f t="shared" si="4"/>
        <v>14</v>
      </c>
    </row>
    <row r="266" spans="1:18" x14ac:dyDescent="0.25">
      <c r="A266" t="s">
        <v>4585</v>
      </c>
      <c r="B266" t="s">
        <v>4227</v>
      </c>
      <c r="C266" s="4">
        <v>1915</v>
      </c>
      <c r="D266" t="s">
        <v>4586</v>
      </c>
      <c r="E266" t="s">
        <v>4587</v>
      </c>
      <c r="G266" t="s">
        <v>4332</v>
      </c>
      <c r="I266" t="s">
        <v>19</v>
      </c>
      <c r="M266" t="s">
        <v>28</v>
      </c>
      <c r="R266">
        <f t="shared" si="4"/>
        <v>24</v>
      </c>
    </row>
    <row r="267" spans="1:18" x14ac:dyDescent="0.25">
      <c r="A267" t="s">
        <v>4588</v>
      </c>
      <c r="B267" t="s">
        <v>4227</v>
      </c>
      <c r="C267" s="4">
        <v>1915</v>
      </c>
      <c r="D267" t="s">
        <v>4589</v>
      </c>
      <c r="E267" t="s">
        <v>2618</v>
      </c>
      <c r="G267" t="s">
        <v>4332</v>
      </c>
      <c r="I267" t="s">
        <v>19</v>
      </c>
      <c r="M267" t="s">
        <v>28</v>
      </c>
      <c r="O267" t="s">
        <v>28</v>
      </c>
      <c r="R267">
        <f t="shared" si="4"/>
        <v>24</v>
      </c>
    </row>
    <row r="268" spans="1:18" x14ac:dyDescent="0.25">
      <c r="A268" t="s">
        <v>4590</v>
      </c>
      <c r="B268" t="s">
        <v>4227</v>
      </c>
      <c r="C268" s="4">
        <v>1915</v>
      </c>
      <c r="D268" t="s">
        <v>4591</v>
      </c>
      <c r="E268" t="s">
        <v>4592</v>
      </c>
      <c r="I268" t="s">
        <v>19</v>
      </c>
      <c r="L268" t="s">
        <v>68</v>
      </c>
      <c r="M268" t="s">
        <v>28</v>
      </c>
      <c r="Q268">
        <v>3</v>
      </c>
      <c r="R268">
        <f t="shared" si="4"/>
        <v>19</v>
      </c>
    </row>
    <row r="269" spans="1:18" x14ac:dyDescent="0.25">
      <c r="A269" t="s">
        <v>4593</v>
      </c>
      <c r="B269" t="s">
        <v>4227</v>
      </c>
      <c r="C269" s="4">
        <v>1915</v>
      </c>
      <c r="D269" t="s">
        <v>4594</v>
      </c>
      <c r="E269" t="s">
        <v>4595</v>
      </c>
      <c r="F269" t="s">
        <v>879</v>
      </c>
      <c r="I269" t="s">
        <v>19</v>
      </c>
      <c r="R269">
        <f t="shared" si="4"/>
        <v>20</v>
      </c>
    </row>
    <row r="270" spans="1:18" x14ac:dyDescent="0.25">
      <c r="A270" t="s">
        <v>4596</v>
      </c>
      <c r="B270" t="s">
        <v>4227</v>
      </c>
      <c r="C270" s="4">
        <v>1915</v>
      </c>
      <c r="D270" t="s">
        <v>4597</v>
      </c>
      <c r="E270" t="s">
        <v>383</v>
      </c>
      <c r="I270" t="s">
        <v>19</v>
      </c>
      <c r="M270" t="s">
        <v>28</v>
      </c>
      <c r="R270">
        <f t="shared" si="4"/>
        <v>13</v>
      </c>
    </row>
    <row r="271" spans="1:18" x14ac:dyDescent="0.25">
      <c r="A271" t="s">
        <v>4598</v>
      </c>
      <c r="B271" t="s">
        <v>4227</v>
      </c>
      <c r="C271" s="4">
        <v>1915</v>
      </c>
      <c r="D271" t="s">
        <v>4599</v>
      </c>
      <c r="E271" t="s">
        <v>4600</v>
      </c>
      <c r="I271" t="s">
        <v>19</v>
      </c>
      <c r="R271">
        <f t="shared" si="4"/>
        <v>16</v>
      </c>
    </row>
    <row r="272" spans="1:18" x14ac:dyDescent="0.25">
      <c r="A272" t="s">
        <v>4601</v>
      </c>
      <c r="B272" t="s">
        <v>4227</v>
      </c>
      <c r="C272" s="4">
        <v>1915</v>
      </c>
      <c r="D272" t="s">
        <v>4602</v>
      </c>
      <c r="E272" t="s">
        <v>1560</v>
      </c>
      <c r="F272" t="s">
        <v>878</v>
      </c>
      <c r="G272" t="s">
        <v>4603</v>
      </c>
      <c r="I272" t="s">
        <v>19</v>
      </c>
      <c r="M272" t="s">
        <v>28</v>
      </c>
      <c r="N272" t="s">
        <v>28</v>
      </c>
      <c r="R272">
        <f t="shared" si="4"/>
        <v>22</v>
      </c>
    </row>
    <row r="273" spans="1:18" x14ac:dyDescent="0.25">
      <c r="A273" t="s">
        <v>4604</v>
      </c>
      <c r="B273" t="s">
        <v>4605</v>
      </c>
      <c r="C273">
        <v>1926</v>
      </c>
      <c r="D273" t="s">
        <v>4563</v>
      </c>
      <c r="E273" t="s">
        <v>962</v>
      </c>
      <c r="F273" t="s">
        <v>22</v>
      </c>
      <c r="G273" t="s">
        <v>4606</v>
      </c>
      <c r="H273" t="s">
        <v>4607</v>
      </c>
      <c r="I273" t="s">
        <v>7382</v>
      </c>
      <c r="J273" t="s">
        <v>28</v>
      </c>
      <c r="R273">
        <f t="shared" si="4"/>
        <v>51</v>
      </c>
    </row>
    <row r="274" spans="1:18" x14ac:dyDescent="0.25">
      <c r="A274" t="s">
        <v>4608</v>
      </c>
      <c r="B274" t="s">
        <v>4605</v>
      </c>
      <c r="C274">
        <v>1912</v>
      </c>
      <c r="D274" t="s">
        <v>4609</v>
      </c>
      <c r="E274" t="s">
        <v>68</v>
      </c>
      <c r="F274" t="s">
        <v>23</v>
      </c>
      <c r="G274" t="s">
        <v>3932</v>
      </c>
      <c r="H274" t="s">
        <v>4610</v>
      </c>
      <c r="I274" t="s">
        <v>7382</v>
      </c>
      <c r="N274" t="s">
        <v>28</v>
      </c>
      <c r="O274" t="s">
        <v>28</v>
      </c>
      <c r="R274">
        <f t="shared" si="4"/>
        <v>43</v>
      </c>
    </row>
    <row r="275" spans="1:18" x14ac:dyDescent="0.25">
      <c r="A275" t="s">
        <v>4611</v>
      </c>
      <c r="B275" t="s">
        <v>4605</v>
      </c>
      <c r="C275">
        <v>1926</v>
      </c>
      <c r="D275" t="s">
        <v>4573</v>
      </c>
      <c r="E275" t="s">
        <v>960</v>
      </c>
      <c r="F275" t="s">
        <v>1265</v>
      </c>
      <c r="I275" t="s">
        <v>7383</v>
      </c>
      <c r="J275" t="s">
        <v>28</v>
      </c>
      <c r="R275">
        <f t="shared" si="4"/>
        <v>13</v>
      </c>
    </row>
    <row r="276" spans="1:18" x14ac:dyDescent="0.25">
      <c r="A276" t="s">
        <v>4612</v>
      </c>
      <c r="B276" t="s">
        <v>4605</v>
      </c>
      <c r="C276">
        <v>1910</v>
      </c>
      <c r="D276" t="s">
        <v>4613</v>
      </c>
      <c r="E276" t="s">
        <v>1265</v>
      </c>
      <c r="G276" t="s">
        <v>3932</v>
      </c>
      <c r="H276" t="s">
        <v>4610</v>
      </c>
      <c r="I276" t="s">
        <v>7382</v>
      </c>
      <c r="N276" t="s">
        <v>28</v>
      </c>
      <c r="O276" t="s">
        <v>28</v>
      </c>
      <c r="R276">
        <f t="shared" si="4"/>
        <v>41</v>
      </c>
    </row>
    <row r="277" spans="1:18" x14ac:dyDescent="0.25">
      <c r="A277" t="s">
        <v>4614</v>
      </c>
      <c r="B277" t="s">
        <v>4615</v>
      </c>
      <c r="C277">
        <v>1915</v>
      </c>
      <c r="D277" t="s">
        <v>4616</v>
      </c>
      <c r="E277" t="s">
        <v>524</v>
      </c>
      <c r="F277" t="s">
        <v>28</v>
      </c>
      <c r="G277" t="s">
        <v>3932</v>
      </c>
      <c r="H277" t="s">
        <v>4615</v>
      </c>
      <c r="I277" t="s">
        <v>7384</v>
      </c>
      <c r="N277" t="s">
        <v>28</v>
      </c>
      <c r="O277" t="s">
        <v>28</v>
      </c>
      <c r="R277">
        <f t="shared" si="4"/>
        <v>26</v>
      </c>
    </row>
    <row r="278" spans="1:18" x14ac:dyDescent="0.25">
      <c r="A278" t="s">
        <v>4617</v>
      </c>
      <c r="B278" t="s">
        <v>4615</v>
      </c>
      <c r="C278">
        <v>1892</v>
      </c>
      <c r="D278" t="s">
        <v>4618</v>
      </c>
      <c r="E278" t="s">
        <v>879</v>
      </c>
      <c r="G278" t="s">
        <v>3932</v>
      </c>
      <c r="H278" t="s">
        <v>4615</v>
      </c>
      <c r="I278" t="s">
        <v>7384</v>
      </c>
      <c r="M278" t="s">
        <v>28</v>
      </c>
      <c r="R278">
        <f t="shared" si="4"/>
        <v>31</v>
      </c>
    </row>
    <row r="279" spans="1:18" s="4" customFormat="1" x14ac:dyDescent="0.25">
      <c r="A279" s="4" t="s">
        <v>4619</v>
      </c>
      <c r="B279" s="4" t="s">
        <v>4620</v>
      </c>
      <c r="C279" s="4">
        <v>1874</v>
      </c>
      <c r="D279" s="4" t="s">
        <v>4621</v>
      </c>
      <c r="E279" s="4" t="s">
        <v>4622</v>
      </c>
      <c r="F279" s="4" t="s">
        <v>4623</v>
      </c>
      <c r="G279" s="4" t="s">
        <v>4624</v>
      </c>
      <c r="H279" s="4" t="s">
        <v>4625</v>
      </c>
      <c r="I279" t="s">
        <v>7385</v>
      </c>
      <c r="R279">
        <f t="shared" si="4"/>
        <v>47</v>
      </c>
    </row>
    <row r="280" spans="1:18" x14ac:dyDescent="0.25">
      <c r="A280" t="s">
        <v>4626</v>
      </c>
      <c r="B280" t="s">
        <v>4620</v>
      </c>
      <c r="C280">
        <v>1920</v>
      </c>
      <c r="D280" t="s">
        <v>4627</v>
      </c>
      <c r="E280" t="s">
        <v>3638</v>
      </c>
      <c r="F280" t="s">
        <v>4628</v>
      </c>
      <c r="I280" t="s">
        <v>7386</v>
      </c>
      <c r="J280" t="s">
        <v>28</v>
      </c>
      <c r="R280">
        <f t="shared" si="4"/>
        <v>22</v>
      </c>
    </row>
    <row r="281" spans="1:18" x14ac:dyDescent="0.25">
      <c r="A281" t="s">
        <v>4629</v>
      </c>
      <c r="B281" t="s">
        <v>4620</v>
      </c>
      <c r="C281">
        <v>1854</v>
      </c>
      <c r="D281" t="s">
        <v>4630</v>
      </c>
      <c r="E281" t="s">
        <v>4631</v>
      </c>
      <c r="F281" t="s">
        <v>383</v>
      </c>
      <c r="H281" t="s">
        <v>4632</v>
      </c>
      <c r="I281" t="s">
        <v>31</v>
      </c>
      <c r="M281" t="s">
        <v>28</v>
      </c>
      <c r="R281">
        <f t="shared" si="4"/>
        <v>44</v>
      </c>
    </row>
    <row r="282" spans="1:18" x14ac:dyDescent="0.25">
      <c r="A282" t="s">
        <v>4633</v>
      </c>
      <c r="B282" t="s">
        <v>4620</v>
      </c>
      <c r="C282">
        <v>1889</v>
      </c>
      <c r="D282" t="s">
        <v>4634</v>
      </c>
      <c r="E282" t="s">
        <v>2618</v>
      </c>
      <c r="F282" t="s">
        <v>1631</v>
      </c>
      <c r="H282" t="s">
        <v>4632</v>
      </c>
      <c r="I282" t="s">
        <v>31</v>
      </c>
      <c r="M282" t="s">
        <v>28</v>
      </c>
      <c r="R282">
        <f t="shared" si="4"/>
        <v>36</v>
      </c>
    </row>
    <row r="283" spans="1:18" x14ac:dyDescent="0.25">
      <c r="A283" t="s">
        <v>4635</v>
      </c>
      <c r="B283" t="s">
        <v>4620</v>
      </c>
      <c r="C283">
        <v>1896</v>
      </c>
      <c r="D283" t="s">
        <v>4636</v>
      </c>
      <c r="E283" t="s">
        <v>210</v>
      </c>
      <c r="F283" t="s">
        <v>1631</v>
      </c>
      <c r="G283" t="s">
        <v>4637</v>
      </c>
      <c r="H283" t="s">
        <v>4638</v>
      </c>
      <c r="I283" t="s">
        <v>7387</v>
      </c>
      <c r="J283" t="s">
        <v>28</v>
      </c>
      <c r="O283" t="s">
        <v>28</v>
      </c>
      <c r="R283">
        <f t="shared" si="4"/>
        <v>51</v>
      </c>
    </row>
    <row r="284" spans="1:18" s="4" customFormat="1" x14ac:dyDescent="0.25">
      <c r="A284" s="4" t="s">
        <v>4639</v>
      </c>
      <c r="B284" s="4" t="s">
        <v>4620</v>
      </c>
      <c r="C284" s="4">
        <v>1895</v>
      </c>
      <c r="D284" s="4" t="s">
        <v>4640</v>
      </c>
      <c r="E284" s="4" t="s">
        <v>4641</v>
      </c>
      <c r="G284" s="4" t="s">
        <v>4642</v>
      </c>
      <c r="H284" s="4" t="s">
        <v>4643</v>
      </c>
      <c r="I284" t="s">
        <v>4643</v>
      </c>
      <c r="R284">
        <f t="shared" si="4"/>
        <v>25</v>
      </c>
    </row>
    <row r="285" spans="1:18" x14ac:dyDescent="0.25">
      <c r="A285" t="s">
        <v>4644</v>
      </c>
      <c r="B285" t="s">
        <v>4620</v>
      </c>
      <c r="C285">
        <v>1910</v>
      </c>
      <c r="D285" t="s">
        <v>4645</v>
      </c>
      <c r="E285" t="s">
        <v>2708</v>
      </c>
      <c r="F285" t="s">
        <v>3924</v>
      </c>
      <c r="H285" t="s">
        <v>4632</v>
      </c>
      <c r="I285" t="s">
        <v>31</v>
      </c>
      <c r="K285" t="s">
        <v>68</v>
      </c>
      <c r="M285" t="s">
        <v>28</v>
      </c>
      <c r="N285" t="s">
        <v>28</v>
      </c>
      <c r="Q285">
        <v>1</v>
      </c>
      <c r="R285">
        <f t="shared" si="4"/>
        <v>41</v>
      </c>
    </row>
    <row r="286" spans="1:18" s="4" customFormat="1" x14ac:dyDescent="0.25">
      <c r="A286" s="4" t="s">
        <v>4646</v>
      </c>
      <c r="B286" s="4" t="s">
        <v>4620</v>
      </c>
      <c r="C286" s="4">
        <v>1907</v>
      </c>
      <c r="D286" s="4" t="s">
        <v>4647</v>
      </c>
      <c r="E286" s="4" t="s">
        <v>4640</v>
      </c>
      <c r="G286" s="4" t="s">
        <v>1355</v>
      </c>
      <c r="H286" s="4" t="s">
        <v>4648</v>
      </c>
      <c r="I286" t="s">
        <v>7388</v>
      </c>
      <c r="R286">
        <f t="shared" si="4"/>
        <v>29</v>
      </c>
    </row>
    <row r="287" spans="1:18" x14ac:dyDescent="0.25">
      <c r="A287" t="s">
        <v>4649</v>
      </c>
      <c r="B287" t="s">
        <v>4620</v>
      </c>
      <c r="C287">
        <v>1900</v>
      </c>
      <c r="D287" t="s">
        <v>4650</v>
      </c>
      <c r="E287" t="s">
        <v>4525</v>
      </c>
      <c r="F287" t="s">
        <v>4651</v>
      </c>
      <c r="H287" t="s">
        <v>4632</v>
      </c>
      <c r="I287" t="s">
        <v>31</v>
      </c>
      <c r="N287" t="s">
        <v>28</v>
      </c>
      <c r="R287">
        <f t="shared" si="4"/>
        <v>40</v>
      </c>
    </row>
    <row r="288" spans="1:18" x14ac:dyDescent="0.25">
      <c r="A288" t="s">
        <v>4652</v>
      </c>
      <c r="B288" t="s">
        <v>4620</v>
      </c>
      <c r="C288">
        <v>1896</v>
      </c>
      <c r="D288" t="s">
        <v>4653</v>
      </c>
      <c r="E288" t="s">
        <v>4654</v>
      </c>
      <c r="F288" t="s">
        <v>4595</v>
      </c>
      <c r="H288" t="s">
        <v>4632</v>
      </c>
      <c r="I288" t="s">
        <v>19</v>
      </c>
      <c r="J288" t="s">
        <v>28</v>
      </c>
      <c r="K288" t="s">
        <v>28</v>
      </c>
      <c r="L288" t="s">
        <v>28</v>
      </c>
      <c r="M288" t="s">
        <v>28</v>
      </c>
      <c r="N288" t="s">
        <v>28</v>
      </c>
      <c r="R288">
        <f t="shared" si="4"/>
        <v>41</v>
      </c>
    </row>
    <row r="289" spans="1:18" x14ac:dyDescent="0.25">
      <c r="A289" t="s">
        <v>4655</v>
      </c>
      <c r="B289" t="s">
        <v>4620</v>
      </c>
      <c r="C289">
        <v>1861</v>
      </c>
      <c r="D289" t="s">
        <v>4656</v>
      </c>
      <c r="E289" t="s">
        <v>4657</v>
      </c>
      <c r="F289" t="s">
        <v>1389</v>
      </c>
      <c r="H289" t="s">
        <v>4632</v>
      </c>
      <c r="I289" t="s">
        <v>31</v>
      </c>
      <c r="N289" t="s">
        <v>28</v>
      </c>
      <c r="R289">
        <f t="shared" si="4"/>
        <v>35</v>
      </c>
    </row>
    <row r="290" spans="1:18" x14ac:dyDescent="0.25">
      <c r="A290" t="s">
        <v>4658</v>
      </c>
      <c r="B290" t="s">
        <v>4620</v>
      </c>
      <c r="C290" s="6">
        <v>1896</v>
      </c>
      <c r="D290" t="s">
        <v>4659</v>
      </c>
      <c r="E290" t="s">
        <v>2412</v>
      </c>
      <c r="F290" t="s">
        <v>4660</v>
      </c>
      <c r="H290" t="s">
        <v>4661</v>
      </c>
      <c r="I290" t="s">
        <v>19</v>
      </c>
      <c r="J290" t="s">
        <v>28</v>
      </c>
      <c r="K290" t="s">
        <v>68</v>
      </c>
      <c r="N290" t="s">
        <v>28</v>
      </c>
      <c r="O290" t="s">
        <v>28</v>
      </c>
      <c r="Q290">
        <v>1</v>
      </c>
      <c r="R290">
        <f t="shared" si="4"/>
        <v>37</v>
      </c>
    </row>
    <row r="291" spans="1:18" x14ac:dyDescent="0.25">
      <c r="A291" t="s">
        <v>4662</v>
      </c>
      <c r="B291" t="s">
        <v>4620</v>
      </c>
      <c r="C291" s="6">
        <v>1896</v>
      </c>
      <c r="D291" t="s">
        <v>4663</v>
      </c>
      <c r="E291" t="s">
        <v>4657</v>
      </c>
      <c r="F291" t="s">
        <v>2198</v>
      </c>
      <c r="I291" t="s">
        <v>19</v>
      </c>
      <c r="J291" t="s">
        <v>28</v>
      </c>
      <c r="M291" t="s">
        <v>28</v>
      </c>
      <c r="N291" t="s">
        <v>28</v>
      </c>
      <c r="O291" t="s">
        <v>28</v>
      </c>
      <c r="R291">
        <f t="shared" si="4"/>
        <v>17</v>
      </c>
    </row>
    <row r="292" spans="1:18" x14ac:dyDescent="0.25">
      <c r="A292" t="s">
        <v>4664</v>
      </c>
      <c r="B292" t="s">
        <v>4620</v>
      </c>
      <c r="C292" s="6">
        <v>1896</v>
      </c>
      <c r="D292" t="s">
        <v>4665</v>
      </c>
      <c r="E292" t="s">
        <v>322</v>
      </c>
      <c r="F292" t="s">
        <v>3845</v>
      </c>
      <c r="G292" t="s">
        <v>4666</v>
      </c>
      <c r="I292" t="s">
        <v>140</v>
      </c>
      <c r="J292" t="s">
        <v>28</v>
      </c>
      <c r="N292" t="s">
        <v>28</v>
      </c>
      <c r="O292" t="s">
        <v>28</v>
      </c>
      <c r="R292">
        <f t="shared" si="4"/>
        <v>31</v>
      </c>
    </row>
    <row r="293" spans="1:18" s="4" customFormat="1" x14ac:dyDescent="0.25">
      <c r="A293" s="4" t="s">
        <v>4667</v>
      </c>
      <c r="B293" s="4" t="s">
        <v>4620</v>
      </c>
      <c r="C293" s="6">
        <v>1896</v>
      </c>
      <c r="D293" s="4" t="s">
        <v>4668</v>
      </c>
      <c r="E293" s="4" t="s">
        <v>4669</v>
      </c>
      <c r="F293" s="4" t="s">
        <v>4670</v>
      </c>
      <c r="G293" s="4" t="s">
        <v>4671</v>
      </c>
      <c r="I293" t="s">
        <v>31</v>
      </c>
      <c r="R293">
        <f t="shared" si="4"/>
        <v>21</v>
      </c>
    </row>
    <row r="294" spans="1:18" x14ac:dyDescent="0.25">
      <c r="A294" t="s">
        <v>4672</v>
      </c>
      <c r="B294" t="s">
        <v>4620</v>
      </c>
      <c r="C294" s="6">
        <v>1896</v>
      </c>
      <c r="D294" t="s">
        <v>4673</v>
      </c>
      <c r="E294" t="s">
        <v>561</v>
      </c>
      <c r="F294" t="s">
        <v>28</v>
      </c>
      <c r="I294" t="s">
        <v>7389</v>
      </c>
      <c r="J294" t="s">
        <v>28</v>
      </c>
      <c r="N294" t="s">
        <v>28</v>
      </c>
      <c r="O294" t="s">
        <v>28</v>
      </c>
      <c r="R294">
        <f t="shared" si="4"/>
        <v>20</v>
      </c>
    </row>
    <row r="295" spans="1:18" x14ac:dyDescent="0.25">
      <c r="A295" t="s">
        <v>4674</v>
      </c>
      <c r="B295" t="s">
        <v>4620</v>
      </c>
      <c r="C295" s="6">
        <v>1896</v>
      </c>
      <c r="D295" t="s">
        <v>4675</v>
      </c>
      <c r="E295" t="s">
        <v>3797</v>
      </c>
      <c r="H295" t="s">
        <v>4676</v>
      </c>
      <c r="I295" t="s">
        <v>4643</v>
      </c>
      <c r="J295" t="s">
        <v>28</v>
      </c>
      <c r="N295" t="s">
        <v>28</v>
      </c>
      <c r="O295" t="s">
        <v>28</v>
      </c>
      <c r="R295">
        <f t="shared" si="4"/>
        <v>44</v>
      </c>
    </row>
    <row r="296" spans="1:18" x14ac:dyDescent="0.25">
      <c r="A296" t="s">
        <v>4677</v>
      </c>
      <c r="B296" t="s">
        <v>4620</v>
      </c>
      <c r="C296" s="6">
        <v>1896</v>
      </c>
      <c r="D296" t="s">
        <v>4678</v>
      </c>
      <c r="E296" t="s">
        <v>4679</v>
      </c>
      <c r="F296" t="s">
        <v>4680</v>
      </c>
      <c r="G296" t="s">
        <v>4681</v>
      </c>
      <c r="H296" t="s">
        <v>4682</v>
      </c>
      <c r="I296" t="s">
        <v>19</v>
      </c>
      <c r="J296" t="s">
        <v>28</v>
      </c>
      <c r="K296" t="s">
        <v>28</v>
      </c>
      <c r="L296" t="s">
        <v>28</v>
      </c>
      <c r="M296" t="s">
        <v>28</v>
      </c>
      <c r="N296" t="s">
        <v>28</v>
      </c>
      <c r="O296" t="s">
        <v>28</v>
      </c>
      <c r="R296">
        <f t="shared" si="4"/>
        <v>34</v>
      </c>
    </row>
    <row r="297" spans="1:18" x14ac:dyDescent="0.25">
      <c r="A297" t="s">
        <v>4683</v>
      </c>
      <c r="B297" t="s">
        <v>4620</v>
      </c>
      <c r="C297" s="6">
        <v>1896</v>
      </c>
      <c r="D297" t="s">
        <v>4684</v>
      </c>
      <c r="E297" t="s">
        <v>4324</v>
      </c>
      <c r="F297" t="s">
        <v>3924</v>
      </c>
      <c r="H297" t="s">
        <v>4685</v>
      </c>
      <c r="I297" t="s">
        <v>19</v>
      </c>
      <c r="J297" t="s">
        <v>28</v>
      </c>
      <c r="M297" t="s">
        <v>28</v>
      </c>
      <c r="N297" t="s">
        <v>28</v>
      </c>
      <c r="O297" t="s">
        <v>28</v>
      </c>
      <c r="R297">
        <f t="shared" si="4"/>
        <v>27</v>
      </c>
    </row>
    <row r="298" spans="1:18" x14ac:dyDescent="0.25">
      <c r="A298" t="s">
        <v>4686</v>
      </c>
      <c r="B298" t="s">
        <v>4620</v>
      </c>
      <c r="C298" s="6">
        <v>1896</v>
      </c>
      <c r="D298" t="s">
        <v>4687</v>
      </c>
      <c r="E298" t="s">
        <v>1730</v>
      </c>
      <c r="F298" t="s">
        <v>4133</v>
      </c>
      <c r="I298" t="s">
        <v>7390</v>
      </c>
      <c r="J298" t="s">
        <v>28</v>
      </c>
      <c r="K298" t="s">
        <v>68</v>
      </c>
      <c r="N298" t="s">
        <v>28</v>
      </c>
      <c r="O298" t="s">
        <v>28</v>
      </c>
      <c r="Q298">
        <v>1</v>
      </c>
      <c r="R298">
        <f t="shared" si="4"/>
        <v>25</v>
      </c>
    </row>
    <row r="299" spans="1:18" x14ac:dyDescent="0.25">
      <c r="A299" t="s">
        <v>4688</v>
      </c>
      <c r="B299" t="s">
        <v>4620</v>
      </c>
      <c r="C299" s="6">
        <v>1896</v>
      </c>
      <c r="D299" t="s">
        <v>4689</v>
      </c>
      <c r="E299" t="s">
        <v>4690</v>
      </c>
      <c r="F299" t="s">
        <v>2213</v>
      </c>
      <c r="G299" t="s">
        <v>4691</v>
      </c>
      <c r="I299" t="s">
        <v>7391</v>
      </c>
      <c r="J299" t="s">
        <v>28</v>
      </c>
      <c r="N299" t="s">
        <v>28</v>
      </c>
      <c r="O299" t="s">
        <v>28</v>
      </c>
      <c r="R299">
        <f t="shared" si="4"/>
        <v>27</v>
      </c>
    </row>
    <row r="300" spans="1:18" x14ac:dyDescent="0.25">
      <c r="A300" t="s">
        <v>4692</v>
      </c>
      <c r="B300" t="s">
        <v>4620</v>
      </c>
      <c r="C300" s="6">
        <v>1896</v>
      </c>
      <c r="D300" t="s">
        <v>4693</v>
      </c>
      <c r="E300" t="s">
        <v>3946</v>
      </c>
      <c r="F300" t="s">
        <v>391</v>
      </c>
      <c r="H300" t="s">
        <v>4694</v>
      </c>
      <c r="I300" t="s">
        <v>7392</v>
      </c>
      <c r="J300" t="s">
        <v>28</v>
      </c>
      <c r="N300" t="s">
        <v>28</v>
      </c>
      <c r="O300" t="s">
        <v>28</v>
      </c>
      <c r="R300">
        <f t="shared" si="4"/>
        <v>22</v>
      </c>
    </row>
    <row r="301" spans="1:18" x14ac:dyDescent="0.25">
      <c r="A301" t="s">
        <v>4695</v>
      </c>
      <c r="B301" t="s">
        <v>4620</v>
      </c>
      <c r="C301">
        <v>1889</v>
      </c>
      <c r="D301" t="s">
        <v>4696</v>
      </c>
      <c r="E301" t="s">
        <v>1596</v>
      </c>
      <c r="F301" t="s">
        <v>23</v>
      </c>
      <c r="H301" t="s">
        <v>4632</v>
      </c>
      <c r="I301" t="s">
        <v>31</v>
      </c>
      <c r="N301" t="s">
        <v>28</v>
      </c>
      <c r="R301">
        <f t="shared" si="4"/>
        <v>39</v>
      </c>
    </row>
    <row r="302" spans="1:18" x14ac:dyDescent="0.25">
      <c r="A302" t="s">
        <v>4697</v>
      </c>
      <c r="B302" t="s">
        <v>4620</v>
      </c>
      <c r="C302">
        <v>1851</v>
      </c>
      <c r="D302" t="s">
        <v>4698</v>
      </c>
      <c r="E302" t="s">
        <v>1596</v>
      </c>
      <c r="G302" t="s">
        <v>3932</v>
      </c>
      <c r="H302" t="s">
        <v>4632</v>
      </c>
      <c r="I302" t="s">
        <v>31</v>
      </c>
      <c r="R302">
        <f t="shared" si="4"/>
        <v>46</v>
      </c>
    </row>
    <row r="303" spans="1:18" x14ac:dyDescent="0.25">
      <c r="A303" t="s">
        <v>4699</v>
      </c>
      <c r="B303" t="s">
        <v>4620</v>
      </c>
      <c r="C303">
        <v>1886</v>
      </c>
      <c r="D303" t="s">
        <v>4700</v>
      </c>
      <c r="E303" t="s">
        <v>4701</v>
      </c>
      <c r="F303" t="s">
        <v>1667</v>
      </c>
      <c r="H303" t="s">
        <v>4632</v>
      </c>
      <c r="I303" t="s">
        <v>31</v>
      </c>
      <c r="N303" t="s">
        <v>28</v>
      </c>
      <c r="R303">
        <f t="shared" si="4"/>
        <v>41</v>
      </c>
    </row>
    <row r="304" spans="1:18" x14ac:dyDescent="0.25">
      <c r="A304" t="s">
        <v>4702</v>
      </c>
      <c r="B304" t="s">
        <v>4620</v>
      </c>
      <c r="C304">
        <v>1888</v>
      </c>
      <c r="D304" t="s">
        <v>4703</v>
      </c>
      <c r="E304" t="s">
        <v>4704</v>
      </c>
      <c r="F304" t="s">
        <v>524</v>
      </c>
      <c r="G304" t="s">
        <v>3932</v>
      </c>
      <c r="H304" t="s">
        <v>4632</v>
      </c>
      <c r="I304" t="s">
        <v>31</v>
      </c>
      <c r="R304">
        <f t="shared" si="4"/>
        <v>52</v>
      </c>
    </row>
    <row r="305" spans="1:18" s="4" customFormat="1" x14ac:dyDescent="0.25">
      <c r="A305" s="4" t="s">
        <v>4705</v>
      </c>
      <c r="B305" s="4" t="s">
        <v>4620</v>
      </c>
      <c r="C305" s="4">
        <v>1898</v>
      </c>
      <c r="D305" s="4" t="s">
        <v>4641</v>
      </c>
      <c r="E305" s="4" t="s">
        <v>4706</v>
      </c>
      <c r="G305" s="4" t="s">
        <v>4352</v>
      </c>
      <c r="I305" t="s">
        <v>4605</v>
      </c>
      <c r="R305">
        <f t="shared" si="4"/>
        <v>20</v>
      </c>
    </row>
    <row r="306" spans="1:18" x14ac:dyDescent="0.25">
      <c r="A306" t="s">
        <v>4707</v>
      </c>
      <c r="B306" t="s">
        <v>4620</v>
      </c>
      <c r="C306">
        <v>1920</v>
      </c>
      <c r="D306" t="s">
        <v>4708</v>
      </c>
      <c r="E306" t="s">
        <v>383</v>
      </c>
      <c r="F306" t="s">
        <v>960</v>
      </c>
      <c r="H306" t="s">
        <v>4709</v>
      </c>
      <c r="I306" t="s">
        <v>43</v>
      </c>
      <c r="N306" t="s">
        <v>28</v>
      </c>
      <c r="R306">
        <f t="shared" si="4"/>
        <v>41</v>
      </c>
    </row>
    <row r="307" spans="1:18" x14ac:dyDescent="0.25">
      <c r="A307" t="s">
        <v>4710</v>
      </c>
      <c r="B307" t="s">
        <v>4620</v>
      </c>
      <c r="C307">
        <v>1870</v>
      </c>
      <c r="D307" t="s">
        <v>109</v>
      </c>
      <c r="E307" t="s">
        <v>4711</v>
      </c>
      <c r="F307" t="s">
        <v>3924</v>
      </c>
      <c r="H307" t="s">
        <v>4632</v>
      </c>
      <c r="I307" t="s">
        <v>31</v>
      </c>
      <c r="N307" t="s">
        <v>28</v>
      </c>
      <c r="R307">
        <f t="shared" si="4"/>
        <v>38</v>
      </c>
    </row>
    <row r="308" spans="1:18" s="4" customFormat="1" x14ac:dyDescent="0.25">
      <c r="A308" s="4" t="s">
        <v>4712</v>
      </c>
      <c r="B308" s="4" t="s">
        <v>4620</v>
      </c>
      <c r="C308" s="4">
        <v>1919</v>
      </c>
      <c r="D308" s="4" t="s">
        <v>4713</v>
      </c>
      <c r="E308" s="4" t="s">
        <v>4641</v>
      </c>
      <c r="G308" s="4" t="s">
        <v>3195</v>
      </c>
      <c r="H308" s="4" t="s">
        <v>4714</v>
      </c>
      <c r="I308" t="s">
        <v>7393</v>
      </c>
      <c r="R308">
        <f t="shared" si="4"/>
        <v>32</v>
      </c>
    </row>
    <row r="309" spans="1:18" s="4" customFormat="1" x14ac:dyDescent="0.25">
      <c r="A309" s="4" t="s">
        <v>4715</v>
      </c>
      <c r="B309" s="4" t="s">
        <v>4620</v>
      </c>
      <c r="C309" s="4">
        <v>1920</v>
      </c>
      <c r="D309" s="4" t="s">
        <v>4621</v>
      </c>
      <c r="E309" s="4" t="s">
        <v>4716</v>
      </c>
      <c r="F309" s="4" t="s">
        <v>4717</v>
      </c>
      <c r="I309" t="s">
        <v>7394</v>
      </c>
      <c r="R309">
        <f t="shared" si="4"/>
        <v>23</v>
      </c>
    </row>
    <row r="310" spans="1:18" x14ac:dyDescent="0.25">
      <c r="A310" t="s">
        <v>4718</v>
      </c>
      <c r="B310" t="s">
        <v>4620</v>
      </c>
      <c r="C310">
        <v>1889</v>
      </c>
      <c r="D310" t="s">
        <v>1335</v>
      </c>
      <c r="E310" t="s">
        <v>2213</v>
      </c>
      <c r="G310" t="s">
        <v>880</v>
      </c>
      <c r="H310" t="s">
        <v>4719</v>
      </c>
      <c r="I310" t="s">
        <v>7395</v>
      </c>
      <c r="O310" t="s">
        <v>28</v>
      </c>
      <c r="R310">
        <f t="shared" si="4"/>
        <v>45</v>
      </c>
    </row>
    <row r="311" spans="1:18" x14ac:dyDescent="0.25">
      <c r="A311" t="s">
        <v>4720</v>
      </c>
      <c r="B311" t="s">
        <v>4620</v>
      </c>
      <c r="C311">
        <v>1896</v>
      </c>
      <c r="D311" t="s">
        <v>4721</v>
      </c>
      <c r="E311" t="s">
        <v>4045</v>
      </c>
      <c r="F311" t="s">
        <v>4722</v>
      </c>
      <c r="I311" t="s">
        <v>4623</v>
      </c>
      <c r="J311" t="s">
        <v>28</v>
      </c>
      <c r="N311" t="s">
        <v>28</v>
      </c>
      <c r="O311" t="s">
        <v>28</v>
      </c>
      <c r="R311">
        <f t="shared" si="4"/>
        <v>25</v>
      </c>
    </row>
    <row r="312" spans="1:18" s="4" customFormat="1" x14ac:dyDescent="0.25">
      <c r="A312" s="4" t="s">
        <v>4723</v>
      </c>
      <c r="B312" s="4" t="s">
        <v>4620</v>
      </c>
      <c r="C312" s="4">
        <v>1907</v>
      </c>
      <c r="D312" s="4" t="s">
        <v>4713</v>
      </c>
      <c r="E312" s="4" t="s">
        <v>2118</v>
      </c>
      <c r="F312" s="4" t="s">
        <v>4724</v>
      </c>
      <c r="G312" s="4" t="s">
        <v>4725</v>
      </c>
      <c r="H312" s="4" t="s">
        <v>4726</v>
      </c>
      <c r="I312" t="s">
        <v>7396</v>
      </c>
      <c r="R312">
        <f t="shared" si="4"/>
        <v>49</v>
      </c>
    </row>
    <row r="313" spans="1:18" x14ac:dyDescent="0.25">
      <c r="A313" t="s">
        <v>4727</v>
      </c>
      <c r="B313" t="s">
        <v>4620</v>
      </c>
      <c r="C313">
        <v>1912</v>
      </c>
      <c r="D313" t="s">
        <v>4728</v>
      </c>
      <c r="E313" t="s">
        <v>4569</v>
      </c>
      <c r="F313" t="s">
        <v>3924</v>
      </c>
      <c r="G313" t="s">
        <v>4352</v>
      </c>
      <c r="H313" t="s">
        <v>4729</v>
      </c>
      <c r="I313" t="s">
        <v>7397</v>
      </c>
      <c r="M313" t="s">
        <v>28</v>
      </c>
      <c r="N313" t="s">
        <v>28</v>
      </c>
      <c r="O313" t="s">
        <v>28</v>
      </c>
      <c r="R313">
        <f t="shared" si="4"/>
        <v>65</v>
      </c>
    </row>
    <row r="314" spans="1:18" x14ac:dyDescent="0.25">
      <c r="A314" t="s">
        <v>4730</v>
      </c>
      <c r="B314" t="s">
        <v>4620</v>
      </c>
      <c r="C314">
        <v>1894</v>
      </c>
      <c r="D314" t="s">
        <v>4731</v>
      </c>
      <c r="E314" t="s">
        <v>4732</v>
      </c>
      <c r="F314" t="s">
        <v>4733</v>
      </c>
      <c r="G314" t="s">
        <v>880</v>
      </c>
      <c r="H314" t="s">
        <v>4734</v>
      </c>
      <c r="I314" t="s">
        <v>7398</v>
      </c>
      <c r="O314" t="s">
        <v>28</v>
      </c>
      <c r="R314">
        <f t="shared" si="4"/>
        <v>67</v>
      </c>
    </row>
    <row r="315" spans="1:18" x14ac:dyDescent="0.25">
      <c r="A315" t="s">
        <v>4735</v>
      </c>
      <c r="B315" t="s">
        <v>4736</v>
      </c>
      <c r="C315">
        <v>1899</v>
      </c>
      <c r="D315" t="s">
        <v>4737</v>
      </c>
      <c r="E315" t="s">
        <v>1265</v>
      </c>
      <c r="F315" t="s">
        <v>960</v>
      </c>
      <c r="G315" t="s">
        <v>4738</v>
      </c>
      <c r="I315" t="s">
        <v>7399</v>
      </c>
      <c r="J315" t="s">
        <v>28</v>
      </c>
      <c r="K315" t="s">
        <v>68</v>
      </c>
      <c r="Q315">
        <v>1</v>
      </c>
      <c r="R315">
        <f t="shared" si="4"/>
        <v>20</v>
      </c>
    </row>
    <row r="316" spans="1:18" x14ac:dyDescent="0.25">
      <c r="A316" t="s">
        <v>4739</v>
      </c>
      <c r="B316" t="s">
        <v>4736</v>
      </c>
      <c r="C316">
        <v>1896</v>
      </c>
      <c r="D316" t="s">
        <v>4740</v>
      </c>
      <c r="E316" t="s">
        <v>524</v>
      </c>
      <c r="F316" t="s">
        <v>391</v>
      </c>
      <c r="G316" t="s">
        <v>3932</v>
      </c>
      <c r="H316" t="s">
        <v>4741</v>
      </c>
      <c r="I316" t="s">
        <v>4741</v>
      </c>
      <c r="R316">
        <f t="shared" si="4"/>
        <v>37</v>
      </c>
    </row>
    <row r="317" spans="1:18" x14ac:dyDescent="0.25">
      <c r="A317" t="s">
        <v>4742</v>
      </c>
      <c r="B317" t="s">
        <v>4736</v>
      </c>
      <c r="C317">
        <v>1899</v>
      </c>
      <c r="D317" t="s">
        <v>4743</v>
      </c>
      <c r="E317" t="s">
        <v>1265</v>
      </c>
      <c r="F317" t="s">
        <v>1631</v>
      </c>
      <c r="I317" t="s">
        <v>7400</v>
      </c>
      <c r="J317" t="s">
        <v>28</v>
      </c>
      <c r="N317" t="s">
        <v>28</v>
      </c>
      <c r="O317" t="s">
        <v>28</v>
      </c>
      <c r="R317">
        <f t="shared" si="4"/>
        <v>15</v>
      </c>
    </row>
    <row r="318" spans="1:18" x14ac:dyDescent="0.25">
      <c r="A318" t="s">
        <v>4744</v>
      </c>
      <c r="B318" t="s">
        <v>4736</v>
      </c>
      <c r="C318">
        <v>1899</v>
      </c>
      <c r="D318" t="s">
        <v>4745</v>
      </c>
      <c r="E318" t="s">
        <v>960</v>
      </c>
      <c r="F318" t="s">
        <v>960</v>
      </c>
      <c r="I318" t="s">
        <v>7401</v>
      </c>
      <c r="J318" t="s">
        <v>28</v>
      </c>
      <c r="K318" t="s">
        <v>68</v>
      </c>
      <c r="N318" t="s">
        <v>28</v>
      </c>
      <c r="O318" t="s">
        <v>28</v>
      </c>
      <c r="Q318">
        <v>1</v>
      </c>
      <c r="R318">
        <f t="shared" si="4"/>
        <v>15</v>
      </c>
    </row>
    <row r="319" spans="1:18" x14ac:dyDescent="0.25">
      <c r="A319" t="s">
        <v>4746</v>
      </c>
      <c r="B319" t="s">
        <v>4736</v>
      </c>
      <c r="C319">
        <v>1899</v>
      </c>
      <c r="D319" t="s">
        <v>4747</v>
      </c>
      <c r="E319" t="s">
        <v>392</v>
      </c>
      <c r="F319" t="s">
        <v>391</v>
      </c>
      <c r="G319" t="s">
        <v>3932</v>
      </c>
      <c r="H319" t="s">
        <v>4741</v>
      </c>
      <c r="I319" t="s">
        <v>4741</v>
      </c>
      <c r="R319">
        <f t="shared" si="4"/>
        <v>41</v>
      </c>
    </row>
    <row r="320" spans="1:18" x14ac:dyDescent="0.25">
      <c r="A320" t="s">
        <v>4748</v>
      </c>
      <c r="B320" t="s">
        <v>4736</v>
      </c>
      <c r="C320">
        <v>1897</v>
      </c>
      <c r="D320" t="s">
        <v>4749</v>
      </c>
      <c r="E320" t="s">
        <v>392</v>
      </c>
      <c r="G320" t="s">
        <v>3932</v>
      </c>
      <c r="H320" t="s">
        <v>4741</v>
      </c>
      <c r="I320" t="s">
        <v>4741</v>
      </c>
      <c r="R320">
        <f t="shared" si="4"/>
        <v>37</v>
      </c>
    </row>
    <row r="321" spans="1:18" x14ac:dyDescent="0.25">
      <c r="A321" t="s">
        <v>4750</v>
      </c>
      <c r="B321" t="s">
        <v>4736</v>
      </c>
      <c r="C321">
        <v>1899</v>
      </c>
      <c r="D321" t="s">
        <v>4751</v>
      </c>
      <c r="E321" t="s">
        <v>960</v>
      </c>
      <c r="F321" t="s">
        <v>1265</v>
      </c>
      <c r="G321" t="s">
        <v>3932</v>
      </c>
      <c r="H321" t="s">
        <v>4741</v>
      </c>
      <c r="I321" t="s">
        <v>4741</v>
      </c>
      <c r="R321">
        <f t="shared" si="4"/>
        <v>38</v>
      </c>
    </row>
    <row r="322" spans="1:18" x14ac:dyDescent="0.25">
      <c r="A322" t="s">
        <v>4752</v>
      </c>
      <c r="B322" t="s">
        <v>4736</v>
      </c>
      <c r="C322">
        <v>1899</v>
      </c>
      <c r="D322" t="s">
        <v>4753</v>
      </c>
      <c r="E322" t="s">
        <v>23</v>
      </c>
      <c r="F322" t="s">
        <v>1667</v>
      </c>
      <c r="I322" t="s">
        <v>7402</v>
      </c>
      <c r="J322" t="s">
        <v>28</v>
      </c>
      <c r="K322" t="s">
        <v>68</v>
      </c>
      <c r="N322" t="s">
        <v>28</v>
      </c>
      <c r="O322" t="s">
        <v>28</v>
      </c>
      <c r="Q322">
        <v>1</v>
      </c>
      <c r="R322">
        <f t="shared" si="4"/>
        <v>13</v>
      </c>
    </row>
    <row r="323" spans="1:18" x14ac:dyDescent="0.25">
      <c r="A323" t="s">
        <v>4754</v>
      </c>
      <c r="B323" t="s">
        <v>4736</v>
      </c>
      <c r="C323">
        <v>1899</v>
      </c>
      <c r="D323" t="s">
        <v>4755</v>
      </c>
      <c r="E323" t="s">
        <v>1389</v>
      </c>
      <c r="F323" t="s">
        <v>1403</v>
      </c>
      <c r="G323" t="s">
        <v>4756</v>
      </c>
      <c r="H323" t="s">
        <v>4757</v>
      </c>
      <c r="I323" t="s">
        <v>4757</v>
      </c>
      <c r="J323" t="s">
        <v>28</v>
      </c>
      <c r="R323">
        <f t="shared" ref="R323:R385" si="5">LEN(C323)+LEN(D323)+LEN(E323)+LEN(F323)+LEN(G323)+LEN(H323)</f>
        <v>49</v>
      </c>
    </row>
    <row r="324" spans="1:18" x14ac:dyDescent="0.25">
      <c r="A324" t="s">
        <v>4758</v>
      </c>
      <c r="B324" t="s">
        <v>4736</v>
      </c>
      <c r="C324">
        <v>1899</v>
      </c>
      <c r="D324" t="s">
        <v>4323</v>
      </c>
      <c r="E324" t="s">
        <v>1265</v>
      </c>
      <c r="F324" t="s">
        <v>879</v>
      </c>
      <c r="I324" t="s">
        <v>7403</v>
      </c>
      <c r="J324" t="s">
        <v>28</v>
      </c>
      <c r="N324" t="s">
        <v>28</v>
      </c>
      <c r="O324" t="s">
        <v>28</v>
      </c>
      <c r="R324">
        <f t="shared" si="5"/>
        <v>11</v>
      </c>
    </row>
    <row r="325" spans="1:18" x14ac:dyDescent="0.25">
      <c r="A325" t="s">
        <v>4759</v>
      </c>
      <c r="B325" t="s">
        <v>4736</v>
      </c>
      <c r="C325">
        <v>1899</v>
      </c>
      <c r="D325" t="s">
        <v>4760</v>
      </c>
      <c r="E325" t="s">
        <v>1389</v>
      </c>
      <c r="F325" t="s">
        <v>1631</v>
      </c>
      <c r="I325" t="s">
        <v>7404</v>
      </c>
      <c r="J325" t="s">
        <v>28</v>
      </c>
      <c r="K325" t="s">
        <v>68</v>
      </c>
      <c r="N325" t="s">
        <v>28</v>
      </c>
      <c r="O325" t="s">
        <v>28</v>
      </c>
      <c r="Q325">
        <v>2</v>
      </c>
      <c r="R325">
        <f t="shared" si="5"/>
        <v>12</v>
      </c>
    </row>
    <row r="326" spans="1:18" x14ac:dyDescent="0.25">
      <c r="A326" t="s">
        <v>4761</v>
      </c>
      <c r="B326" t="s">
        <v>4736</v>
      </c>
      <c r="C326">
        <v>1899</v>
      </c>
      <c r="D326" t="s">
        <v>4762</v>
      </c>
      <c r="E326" t="s">
        <v>28</v>
      </c>
      <c r="F326" t="s">
        <v>1403</v>
      </c>
      <c r="I326" t="s">
        <v>7405</v>
      </c>
      <c r="J326" t="s">
        <v>28</v>
      </c>
      <c r="N326" t="s">
        <v>28</v>
      </c>
      <c r="O326" t="s">
        <v>28</v>
      </c>
      <c r="R326">
        <f t="shared" si="5"/>
        <v>11</v>
      </c>
    </row>
    <row r="327" spans="1:18" x14ac:dyDescent="0.25">
      <c r="A327" t="s">
        <v>4763</v>
      </c>
      <c r="B327" t="s">
        <v>4736</v>
      </c>
      <c r="C327">
        <v>1899</v>
      </c>
      <c r="D327" t="s">
        <v>4764</v>
      </c>
      <c r="E327" t="s">
        <v>561</v>
      </c>
      <c r="F327" t="s">
        <v>392</v>
      </c>
      <c r="I327" t="s">
        <v>7406</v>
      </c>
      <c r="J327" t="s">
        <v>28</v>
      </c>
      <c r="L327" t="s">
        <v>28</v>
      </c>
      <c r="N327" t="s">
        <v>28</v>
      </c>
      <c r="O327" t="s">
        <v>28</v>
      </c>
      <c r="R327">
        <f t="shared" si="5"/>
        <v>15</v>
      </c>
    </row>
    <row r="328" spans="1:18" x14ac:dyDescent="0.25">
      <c r="A328" t="s">
        <v>4765</v>
      </c>
      <c r="B328" t="s">
        <v>4736</v>
      </c>
      <c r="C328">
        <v>1899</v>
      </c>
      <c r="D328" t="s">
        <v>4650</v>
      </c>
      <c r="E328" t="s">
        <v>962</v>
      </c>
      <c r="F328" t="s">
        <v>879</v>
      </c>
      <c r="I328" t="s">
        <v>7407</v>
      </c>
      <c r="J328" t="s">
        <v>28</v>
      </c>
      <c r="N328" t="s">
        <v>28</v>
      </c>
      <c r="O328" t="s">
        <v>28</v>
      </c>
      <c r="R328">
        <f t="shared" si="5"/>
        <v>11</v>
      </c>
    </row>
    <row r="329" spans="1:18" x14ac:dyDescent="0.25">
      <c r="A329" t="s">
        <v>4766</v>
      </c>
      <c r="B329" t="s">
        <v>4736</v>
      </c>
      <c r="C329">
        <v>1899</v>
      </c>
      <c r="D329" t="s">
        <v>4767</v>
      </c>
      <c r="E329" t="s">
        <v>392</v>
      </c>
      <c r="F329" t="s">
        <v>878</v>
      </c>
      <c r="I329" t="s">
        <v>7400</v>
      </c>
      <c r="J329" t="s">
        <v>28</v>
      </c>
      <c r="N329" t="s">
        <v>28</v>
      </c>
      <c r="O329" t="s">
        <v>28</v>
      </c>
      <c r="R329">
        <f t="shared" si="5"/>
        <v>10</v>
      </c>
    </row>
    <row r="330" spans="1:18" x14ac:dyDescent="0.25">
      <c r="A330" t="s">
        <v>4768</v>
      </c>
      <c r="B330" t="s">
        <v>4736</v>
      </c>
      <c r="C330">
        <v>1899</v>
      </c>
      <c r="D330" t="s">
        <v>4769</v>
      </c>
      <c r="E330" t="s">
        <v>1631</v>
      </c>
      <c r="I330" t="s">
        <v>7408</v>
      </c>
      <c r="J330" t="s">
        <v>28</v>
      </c>
      <c r="N330" t="s">
        <v>28</v>
      </c>
      <c r="O330" t="s">
        <v>28</v>
      </c>
      <c r="R330">
        <f t="shared" si="5"/>
        <v>9</v>
      </c>
    </row>
    <row r="331" spans="1:18" x14ac:dyDescent="0.25">
      <c r="A331" t="s">
        <v>4770</v>
      </c>
      <c r="B331" t="s">
        <v>4771</v>
      </c>
      <c r="C331">
        <v>1906</v>
      </c>
      <c r="D331" t="s">
        <v>4772</v>
      </c>
      <c r="E331" t="s">
        <v>878</v>
      </c>
      <c r="F331" t="s">
        <v>28</v>
      </c>
      <c r="G331" t="s">
        <v>3932</v>
      </c>
      <c r="H331" t="s">
        <v>4771</v>
      </c>
      <c r="I331" t="s">
        <v>5013</v>
      </c>
      <c r="R331">
        <f t="shared" si="5"/>
        <v>25</v>
      </c>
    </row>
    <row r="332" spans="1:18" x14ac:dyDescent="0.25">
      <c r="A332" t="s">
        <v>4773</v>
      </c>
      <c r="B332" t="s">
        <v>4771</v>
      </c>
      <c r="C332">
        <v>1912</v>
      </c>
      <c r="D332" t="s">
        <v>4774</v>
      </c>
      <c r="E332" t="s">
        <v>28</v>
      </c>
      <c r="F332" t="s">
        <v>23</v>
      </c>
      <c r="G332" t="s">
        <v>3932</v>
      </c>
      <c r="H332" t="s">
        <v>4771</v>
      </c>
      <c r="I332" t="s">
        <v>5013</v>
      </c>
      <c r="R332">
        <f t="shared" si="5"/>
        <v>25</v>
      </c>
    </row>
    <row r="333" spans="1:18" x14ac:dyDescent="0.25">
      <c r="A333" t="s">
        <v>4775</v>
      </c>
      <c r="B333" t="s">
        <v>4776</v>
      </c>
      <c r="C333">
        <v>1911</v>
      </c>
      <c r="D333" t="s">
        <v>4777</v>
      </c>
      <c r="E333" t="s">
        <v>524</v>
      </c>
      <c r="F333" t="s">
        <v>524</v>
      </c>
      <c r="G333" t="s">
        <v>3932</v>
      </c>
      <c r="H333" t="s">
        <v>4776</v>
      </c>
      <c r="I333" t="s">
        <v>7409</v>
      </c>
      <c r="M333" s="7" t="s">
        <v>28</v>
      </c>
      <c r="R333">
        <f t="shared" si="5"/>
        <v>29</v>
      </c>
    </row>
    <row r="334" spans="1:18" x14ac:dyDescent="0.25">
      <c r="A334" t="s">
        <v>4778</v>
      </c>
      <c r="B334" t="s">
        <v>4776</v>
      </c>
      <c r="C334">
        <v>1916</v>
      </c>
      <c r="D334" t="s">
        <v>4779</v>
      </c>
      <c r="E334" t="s">
        <v>962</v>
      </c>
      <c r="F334" t="s">
        <v>962</v>
      </c>
      <c r="G334" t="s">
        <v>3932</v>
      </c>
      <c r="H334" t="s">
        <v>4776</v>
      </c>
      <c r="I334" t="s">
        <v>7409</v>
      </c>
      <c r="M334" s="7" t="s">
        <v>28</v>
      </c>
      <c r="R334">
        <f t="shared" si="5"/>
        <v>27</v>
      </c>
    </row>
    <row r="335" spans="1:18" x14ac:dyDescent="0.25">
      <c r="A335" t="s">
        <v>4780</v>
      </c>
      <c r="B335" t="s">
        <v>4776</v>
      </c>
      <c r="C335">
        <v>1923</v>
      </c>
      <c r="D335" t="s">
        <v>4781</v>
      </c>
      <c r="E335" t="s">
        <v>1596</v>
      </c>
      <c r="F335" t="s">
        <v>960</v>
      </c>
      <c r="I335" t="s">
        <v>7410</v>
      </c>
      <c r="J335" t="s">
        <v>28</v>
      </c>
      <c r="N335" t="s">
        <v>28</v>
      </c>
      <c r="O335" t="s">
        <v>28</v>
      </c>
      <c r="R335">
        <f t="shared" si="5"/>
        <v>18</v>
      </c>
    </row>
    <row r="336" spans="1:18" x14ac:dyDescent="0.25">
      <c r="A336" t="s">
        <v>4782</v>
      </c>
      <c r="B336" t="s">
        <v>4776</v>
      </c>
      <c r="C336">
        <v>1923</v>
      </c>
      <c r="D336" t="s">
        <v>4783</v>
      </c>
      <c r="E336" t="s">
        <v>3584</v>
      </c>
      <c r="F336" t="s">
        <v>391</v>
      </c>
      <c r="I336" t="s">
        <v>7411</v>
      </c>
      <c r="J336" t="s">
        <v>28</v>
      </c>
      <c r="L336" t="s">
        <v>28</v>
      </c>
      <c r="N336" t="s">
        <v>28</v>
      </c>
      <c r="O336" t="s">
        <v>28</v>
      </c>
      <c r="R336">
        <f t="shared" si="5"/>
        <v>16</v>
      </c>
    </row>
    <row r="337" spans="1:18" x14ac:dyDescent="0.25">
      <c r="A337" t="s">
        <v>4784</v>
      </c>
      <c r="B337" t="s">
        <v>4776</v>
      </c>
      <c r="C337">
        <v>1914</v>
      </c>
      <c r="D337" t="s">
        <v>4783</v>
      </c>
      <c r="E337" t="s">
        <v>2618</v>
      </c>
      <c r="F337" t="s">
        <v>962</v>
      </c>
      <c r="G337" t="s">
        <v>3932</v>
      </c>
      <c r="H337" t="s">
        <v>4776</v>
      </c>
      <c r="I337" t="s">
        <v>7409</v>
      </c>
      <c r="M337" s="7" t="s">
        <v>28</v>
      </c>
      <c r="R337">
        <f t="shared" si="5"/>
        <v>31</v>
      </c>
    </row>
    <row r="338" spans="1:18" x14ac:dyDescent="0.25">
      <c r="A338" t="s">
        <v>4785</v>
      </c>
      <c r="B338" t="s">
        <v>4776</v>
      </c>
      <c r="C338">
        <v>1917</v>
      </c>
      <c r="D338" t="s">
        <v>4786</v>
      </c>
      <c r="E338" t="s">
        <v>2325</v>
      </c>
      <c r="F338" t="s">
        <v>2325</v>
      </c>
      <c r="G338" t="s">
        <v>3932</v>
      </c>
      <c r="H338" t="s">
        <v>4776</v>
      </c>
      <c r="I338" t="s">
        <v>7409</v>
      </c>
      <c r="M338" s="7" t="s">
        <v>28</v>
      </c>
      <c r="R338">
        <f t="shared" si="5"/>
        <v>31</v>
      </c>
    </row>
    <row r="339" spans="1:18" x14ac:dyDescent="0.25">
      <c r="A339" t="s">
        <v>4787</v>
      </c>
      <c r="B339" t="s">
        <v>4776</v>
      </c>
      <c r="C339">
        <v>1886</v>
      </c>
      <c r="D339" t="s">
        <v>3584</v>
      </c>
      <c r="E339" t="s">
        <v>68</v>
      </c>
      <c r="F339" t="s">
        <v>68</v>
      </c>
      <c r="G339" t="s">
        <v>3932</v>
      </c>
      <c r="H339" t="s">
        <v>4776</v>
      </c>
      <c r="I339" t="s">
        <v>7409</v>
      </c>
      <c r="R339">
        <f t="shared" si="5"/>
        <v>28</v>
      </c>
    </row>
    <row r="340" spans="1:18" x14ac:dyDescent="0.25">
      <c r="A340" t="s">
        <v>4788</v>
      </c>
      <c r="B340" t="s">
        <v>4776</v>
      </c>
      <c r="C340">
        <v>1923</v>
      </c>
      <c r="D340" t="s">
        <v>3945</v>
      </c>
      <c r="E340" t="s">
        <v>878</v>
      </c>
      <c r="F340" t="s">
        <v>1667</v>
      </c>
      <c r="I340" t="s">
        <v>7412</v>
      </c>
      <c r="J340" t="s">
        <v>28</v>
      </c>
      <c r="M340" t="s">
        <v>28</v>
      </c>
      <c r="N340" t="s">
        <v>28</v>
      </c>
      <c r="O340" t="s">
        <v>28</v>
      </c>
      <c r="R340">
        <f t="shared" si="5"/>
        <v>10</v>
      </c>
    </row>
    <row r="341" spans="1:18" x14ac:dyDescent="0.25">
      <c r="A341" t="s">
        <v>4789</v>
      </c>
      <c r="B341" t="s">
        <v>4776</v>
      </c>
      <c r="C341">
        <v>1923</v>
      </c>
      <c r="D341" t="s">
        <v>1837</v>
      </c>
      <c r="E341" t="s">
        <v>384</v>
      </c>
      <c r="F341" t="s">
        <v>879</v>
      </c>
      <c r="I341" t="s">
        <v>7413</v>
      </c>
      <c r="J341" t="s">
        <v>28</v>
      </c>
      <c r="M341" s="7" t="s">
        <v>28</v>
      </c>
      <c r="N341" t="s">
        <v>28</v>
      </c>
      <c r="O341" t="s">
        <v>28</v>
      </c>
      <c r="R341">
        <f t="shared" si="5"/>
        <v>18</v>
      </c>
    </row>
    <row r="342" spans="1:18" x14ac:dyDescent="0.25">
      <c r="A342" t="s">
        <v>4790</v>
      </c>
      <c r="B342" t="s">
        <v>4776</v>
      </c>
      <c r="C342">
        <v>1915</v>
      </c>
      <c r="D342" t="s">
        <v>4791</v>
      </c>
      <c r="E342" t="s">
        <v>1389</v>
      </c>
      <c r="F342" t="s">
        <v>1389</v>
      </c>
      <c r="G342" t="s">
        <v>3932</v>
      </c>
      <c r="H342" t="s">
        <v>4776</v>
      </c>
      <c r="I342" t="s">
        <v>7409</v>
      </c>
      <c r="M342" s="7" t="s">
        <v>28</v>
      </c>
      <c r="R342">
        <f t="shared" si="5"/>
        <v>27</v>
      </c>
    </row>
    <row r="343" spans="1:18" x14ac:dyDescent="0.25">
      <c r="A343" t="s">
        <v>4792</v>
      </c>
      <c r="B343" t="s">
        <v>4776</v>
      </c>
      <c r="C343">
        <v>1923</v>
      </c>
      <c r="D343" t="s">
        <v>4793</v>
      </c>
      <c r="E343" t="s">
        <v>68</v>
      </c>
      <c r="F343" t="s">
        <v>28</v>
      </c>
      <c r="I343" t="s">
        <v>7410</v>
      </c>
      <c r="J343" t="s">
        <v>28</v>
      </c>
      <c r="N343" t="s">
        <v>28</v>
      </c>
      <c r="O343" t="s">
        <v>28</v>
      </c>
      <c r="R343">
        <f t="shared" si="5"/>
        <v>13</v>
      </c>
    </row>
    <row r="344" spans="1:18" x14ac:dyDescent="0.25">
      <c r="A344" t="s">
        <v>4794</v>
      </c>
      <c r="B344" t="s">
        <v>4776</v>
      </c>
      <c r="C344">
        <v>1909</v>
      </c>
      <c r="D344" t="s">
        <v>3954</v>
      </c>
      <c r="E344" t="s">
        <v>563</v>
      </c>
      <c r="F344" t="s">
        <v>960</v>
      </c>
      <c r="G344" t="s">
        <v>3932</v>
      </c>
      <c r="H344" t="s">
        <v>4776</v>
      </c>
      <c r="I344" t="s">
        <v>7409</v>
      </c>
      <c r="L344" t="s">
        <v>28</v>
      </c>
      <c r="M344" s="7" t="s">
        <v>28</v>
      </c>
      <c r="R344">
        <f t="shared" si="5"/>
        <v>30</v>
      </c>
    </row>
    <row r="345" spans="1:18" x14ac:dyDescent="0.25">
      <c r="A345" t="s">
        <v>4795</v>
      </c>
      <c r="B345" t="s">
        <v>4776</v>
      </c>
      <c r="C345">
        <v>1906</v>
      </c>
      <c r="D345" t="s">
        <v>4796</v>
      </c>
      <c r="E345" t="s">
        <v>4045</v>
      </c>
      <c r="F345" t="s">
        <v>878</v>
      </c>
      <c r="G345" t="s">
        <v>3932</v>
      </c>
      <c r="H345" t="s">
        <v>4776</v>
      </c>
      <c r="I345" t="s">
        <v>7409</v>
      </c>
      <c r="L345" t="s">
        <v>28</v>
      </c>
      <c r="M345" s="7" t="s">
        <v>28</v>
      </c>
      <c r="R345">
        <f t="shared" si="5"/>
        <v>34</v>
      </c>
    </row>
    <row r="346" spans="1:18" x14ac:dyDescent="0.25">
      <c r="A346" t="s">
        <v>4797</v>
      </c>
      <c r="B346" t="s">
        <v>4776</v>
      </c>
      <c r="C346">
        <v>1923</v>
      </c>
      <c r="D346" t="s">
        <v>4798</v>
      </c>
      <c r="E346" t="s">
        <v>22</v>
      </c>
      <c r="F346" t="s">
        <v>1667</v>
      </c>
      <c r="I346" t="s">
        <v>7410</v>
      </c>
      <c r="J346" t="s">
        <v>28</v>
      </c>
      <c r="N346" t="s">
        <v>28</v>
      </c>
      <c r="O346" t="s">
        <v>28</v>
      </c>
      <c r="R346">
        <f t="shared" si="5"/>
        <v>14</v>
      </c>
    </row>
    <row r="347" spans="1:18" x14ac:dyDescent="0.25">
      <c r="A347" t="s">
        <v>4799</v>
      </c>
      <c r="B347" t="s">
        <v>4776</v>
      </c>
      <c r="C347">
        <v>1909</v>
      </c>
      <c r="D347" t="s">
        <v>4117</v>
      </c>
      <c r="E347" t="s">
        <v>4268</v>
      </c>
      <c r="F347" t="s">
        <v>23</v>
      </c>
      <c r="G347" t="s">
        <v>3932</v>
      </c>
      <c r="H347" t="s">
        <v>4776</v>
      </c>
      <c r="I347" t="s">
        <v>7409</v>
      </c>
      <c r="L347" t="s">
        <v>28</v>
      </c>
      <c r="M347" s="7" t="s">
        <v>28</v>
      </c>
      <c r="R347">
        <f t="shared" si="5"/>
        <v>34</v>
      </c>
    </row>
    <row r="348" spans="1:18" x14ac:dyDescent="0.25">
      <c r="A348" t="s">
        <v>4800</v>
      </c>
      <c r="B348" t="s">
        <v>4776</v>
      </c>
      <c r="C348">
        <v>1923</v>
      </c>
      <c r="D348" t="s">
        <v>4801</v>
      </c>
      <c r="E348" t="s">
        <v>23</v>
      </c>
      <c r="F348" t="s">
        <v>1631</v>
      </c>
      <c r="I348" t="s">
        <v>7414</v>
      </c>
      <c r="J348" t="s">
        <v>28</v>
      </c>
      <c r="N348" t="s">
        <v>28</v>
      </c>
      <c r="O348" t="s">
        <v>28</v>
      </c>
      <c r="R348">
        <f t="shared" si="5"/>
        <v>12</v>
      </c>
    </row>
    <row r="349" spans="1:18" x14ac:dyDescent="0.25">
      <c r="A349" t="s">
        <v>4802</v>
      </c>
      <c r="B349" t="s">
        <v>4776</v>
      </c>
      <c r="C349">
        <v>1901</v>
      </c>
      <c r="D349" t="s">
        <v>4803</v>
      </c>
      <c r="E349" t="s">
        <v>392</v>
      </c>
      <c r="F349" t="s">
        <v>392</v>
      </c>
      <c r="G349" t="s">
        <v>3932</v>
      </c>
      <c r="H349" t="s">
        <v>4776</v>
      </c>
      <c r="I349" t="s">
        <v>7409</v>
      </c>
      <c r="M349" s="7" t="s">
        <v>28</v>
      </c>
      <c r="R349">
        <f t="shared" si="5"/>
        <v>28</v>
      </c>
    </row>
    <row r="350" spans="1:18" x14ac:dyDescent="0.25">
      <c r="A350" t="s">
        <v>4804</v>
      </c>
      <c r="B350" t="s">
        <v>4776</v>
      </c>
      <c r="C350">
        <v>1902</v>
      </c>
      <c r="D350" t="s">
        <v>4805</v>
      </c>
      <c r="E350" t="s">
        <v>392</v>
      </c>
      <c r="F350" t="s">
        <v>392</v>
      </c>
      <c r="G350" t="s">
        <v>3932</v>
      </c>
      <c r="H350" t="s">
        <v>4776</v>
      </c>
      <c r="I350" t="s">
        <v>7409</v>
      </c>
      <c r="M350" s="7" t="s">
        <v>28</v>
      </c>
      <c r="R350">
        <f t="shared" si="5"/>
        <v>27</v>
      </c>
    </row>
    <row r="351" spans="1:18" x14ac:dyDescent="0.25">
      <c r="A351" t="s">
        <v>4806</v>
      </c>
      <c r="B351" t="s">
        <v>4776</v>
      </c>
      <c r="C351">
        <v>1923</v>
      </c>
      <c r="D351" t="s">
        <v>4807</v>
      </c>
      <c r="E351" t="s">
        <v>1389</v>
      </c>
      <c r="F351" t="s">
        <v>878</v>
      </c>
      <c r="I351" t="s">
        <v>7415</v>
      </c>
      <c r="J351" t="s">
        <v>28</v>
      </c>
      <c r="N351" t="s">
        <v>28</v>
      </c>
      <c r="O351" t="s">
        <v>28</v>
      </c>
      <c r="R351">
        <f t="shared" si="5"/>
        <v>15</v>
      </c>
    </row>
    <row r="352" spans="1:18" x14ac:dyDescent="0.25">
      <c r="A352" t="s">
        <v>4808</v>
      </c>
      <c r="B352" t="s">
        <v>4776</v>
      </c>
      <c r="C352">
        <v>1914</v>
      </c>
      <c r="D352" t="s">
        <v>4809</v>
      </c>
      <c r="E352" t="s">
        <v>1730</v>
      </c>
      <c r="F352" t="s">
        <v>1389</v>
      </c>
      <c r="G352" t="s">
        <v>3932</v>
      </c>
      <c r="H352" t="s">
        <v>4776</v>
      </c>
      <c r="I352" t="s">
        <v>7409</v>
      </c>
      <c r="M352" s="7" t="s">
        <v>28</v>
      </c>
      <c r="R352">
        <f t="shared" si="5"/>
        <v>33</v>
      </c>
    </row>
    <row r="353" spans="1:18" x14ac:dyDescent="0.25">
      <c r="A353" t="s">
        <v>4810</v>
      </c>
      <c r="B353" t="s">
        <v>4776</v>
      </c>
      <c r="C353">
        <v>1923</v>
      </c>
      <c r="D353" t="s">
        <v>4811</v>
      </c>
      <c r="E353" t="s">
        <v>1389</v>
      </c>
      <c r="F353" t="s">
        <v>1631</v>
      </c>
      <c r="I353" t="s">
        <v>7410</v>
      </c>
      <c r="J353" t="s">
        <v>28</v>
      </c>
      <c r="N353" t="s">
        <v>28</v>
      </c>
      <c r="O353" t="s">
        <v>28</v>
      </c>
      <c r="R353">
        <f t="shared" si="5"/>
        <v>13</v>
      </c>
    </row>
    <row r="354" spans="1:18" x14ac:dyDescent="0.25">
      <c r="A354" t="s">
        <v>4812</v>
      </c>
      <c r="B354" t="s">
        <v>4776</v>
      </c>
      <c r="C354">
        <v>1923</v>
      </c>
      <c r="D354" t="s">
        <v>4813</v>
      </c>
      <c r="E354" t="s">
        <v>2685</v>
      </c>
      <c r="F354" t="s">
        <v>1631</v>
      </c>
      <c r="G354" t="s">
        <v>3932</v>
      </c>
      <c r="H354" t="s">
        <v>4776</v>
      </c>
      <c r="I354" t="s">
        <v>7409</v>
      </c>
      <c r="L354" t="s">
        <v>28</v>
      </c>
      <c r="M354" s="7" t="s">
        <v>28</v>
      </c>
      <c r="R354">
        <f t="shared" si="5"/>
        <v>32</v>
      </c>
    </row>
    <row r="355" spans="1:18" x14ac:dyDescent="0.25">
      <c r="A355" t="s">
        <v>4814</v>
      </c>
      <c r="B355" t="s">
        <v>4776</v>
      </c>
      <c r="C355">
        <v>1889</v>
      </c>
      <c r="D355" t="s">
        <v>4815</v>
      </c>
      <c r="E355" t="s">
        <v>392</v>
      </c>
      <c r="F355" t="s">
        <v>392</v>
      </c>
      <c r="G355" t="s">
        <v>3932</v>
      </c>
      <c r="H355" t="s">
        <v>4776</v>
      </c>
      <c r="I355" t="s">
        <v>7409</v>
      </c>
      <c r="M355" s="7" t="s">
        <v>28</v>
      </c>
      <c r="R355">
        <f t="shared" si="5"/>
        <v>30</v>
      </c>
    </row>
    <row r="356" spans="1:18" x14ac:dyDescent="0.25">
      <c r="A356" t="s">
        <v>4816</v>
      </c>
      <c r="B356" t="s">
        <v>4776</v>
      </c>
      <c r="C356">
        <v>1918</v>
      </c>
      <c r="D356" t="s">
        <v>4817</v>
      </c>
      <c r="E356" t="s">
        <v>960</v>
      </c>
      <c r="F356" t="s">
        <v>960</v>
      </c>
      <c r="G356" t="s">
        <v>3932</v>
      </c>
      <c r="H356" t="s">
        <v>4776</v>
      </c>
      <c r="I356" t="s">
        <v>7409</v>
      </c>
      <c r="M356" s="7" t="s">
        <v>28</v>
      </c>
      <c r="R356">
        <f t="shared" si="5"/>
        <v>28</v>
      </c>
    </row>
    <row r="357" spans="1:18" x14ac:dyDescent="0.25">
      <c r="A357" t="s">
        <v>4818</v>
      </c>
      <c r="B357" t="s">
        <v>4776</v>
      </c>
      <c r="C357">
        <v>1922</v>
      </c>
      <c r="D357" t="s">
        <v>4819</v>
      </c>
      <c r="E357" t="s">
        <v>4820</v>
      </c>
      <c r="F357" t="s">
        <v>28</v>
      </c>
      <c r="G357" t="s">
        <v>3932</v>
      </c>
      <c r="H357" t="s">
        <v>4776</v>
      </c>
      <c r="I357" t="s">
        <v>7409</v>
      </c>
      <c r="M357" s="7" t="s">
        <v>28</v>
      </c>
      <c r="R357">
        <f t="shared" si="5"/>
        <v>33</v>
      </c>
    </row>
    <row r="358" spans="1:18" x14ac:dyDescent="0.25">
      <c r="A358" t="s">
        <v>4821</v>
      </c>
      <c r="B358" t="s">
        <v>4776</v>
      </c>
      <c r="C358">
        <v>1913</v>
      </c>
      <c r="D358" t="s">
        <v>3111</v>
      </c>
      <c r="E358" t="s">
        <v>1724</v>
      </c>
      <c r="F358" t="s">
        <v>23</v>
      </c>
      <c r="G358" t="s">
        <v>3932</v>
      </c>
      <c r="H358" t="s">
        <v>4776</v>
      </c>
      <c r="I358" t="s">
        <v>7409</v>
      </c>
      <c r="M358" s="7" t="s">
        <v>28</v>
      </c>
      <c r="R358">
        <f t="shared" si="5"/>
        <v>31</v>
      </c>
    </row>
    <row r="359" spans="1:18" x14ac:dyDescent="0.25">
      <c r="A359" t="s">
        <v>4822</v>
      </c>
      <c r="B359" t="s">
        <v>4776</v>
      </c>
      <c r="C359">
        <v>1902</v>
      </c>
      <c r="D359" t="s">
        <v>4823</v>
      </c>
      <c r="E359" t="s">
        <v>392</v>
      </c>
      <c r="F359" t="s">
        <v>392</v>
      </c>
      <c r="G359" t="s">
        <v>3932</v>
      </c>
      <c r="H359" t="s">
        <v>4776</v>
      </c>
      <c r="I359" t="s">
        <v>7409</v>
      </c>
      <c r="M359" s="7" t="s">
        <v>28</v>
      </c>
      <c r="R359">
        <f t="shared" si="5"/>
        <v>29</v>
      </c>
    </row>
    <row r="360" spans="1:18" x14ac:dyDescent="0.25">
      <c r="A360" t="s">
        <v>4824</v>
      </c>
      <c r="B360" t="s">
        <v>4776</v>
      </c>
      <c r="C360">
        <v>1923</v>
      </c>
      <c r="D360" t="s">
        <v>4823</v>
      </c>
      <c r="E360" t="s">
        <v>391</v>
      </c>
      <c r="F360" t="s">
        <v>391</v>
      </c>
      <c r="G360" t="s">
        <v>3932</v>
      </c>
      <c r="H360" t="s">
        <v>4776</v>
      </c>
      <c r="I360" t="s">
        <v>7409</v>
      </c>
      <c r="M360" s="7" t="s">
        <v>28</v>
      </c>
      <c r="R360">
        <f t="shared" si="5"/>
        <v>29</v>
      </c>
    </row>
    <row r="361" spans="1:18" x14ac:dyDescent="0.25">
      <c r="A361" t="s">
        <v>4825</v>
      </c>
      <c r="B361" t="s">
        <v>4776</v>
      </c>
      <c r="C361">
        <v>1907</v>
      </c>
      <c r="D361" t="s">
        <v>4826</v>
      </c>
      <c r="E361" t="s">
        <v>4443</v>
      </c>
      <c r="F361" t="s">
        <v>879</v>
      </c>
      <c r="G361" t="s">
        <v>3932</v>
      </c>
      <c r="H361" t="s">
        <v>4776</v>
      </c>
      <c r="I361" t="s">
        <v>7409</v>
      </c>
      <c r="M361" s="7" t="s">
        <v>28</v>
      </c>
      <c r="R361">
        <f t="shared" si="5"/>
        <v>36</v>
      </c>
    </row>
    <row r="362" spans="1:18" x14ac:dyDescent="0.25">
      <c r="A362" t="s">
        <v>4827</v>
      </c>
      <c r="B362" t="s">
        <v>4776</v>
      </c>
      <c r="C362">
        <v>1918</v>
      </c>
      <c r="D362" t="s">
        <v>4828</v>
      </c>
      <c r="E362" t="s">
        <v>878</v>
      </c>
      <c r="F362" t="s">
        <v>878</v>
      </c>
      <c r="G362" t="s">
        <v>3932</v>
      </c>
      <c r="H362" t="s">
        <v>4776</v>
      </c>
      <c r="I362" t="s">
        <v>7409</v>
      </c>
      <c r="M362" s="7" t="s">
        <v>28</v>
      </c>
      <c r="R362">
        <f t="shared" si="5"/>
        <v>28</v>
      </c>
    </row>
    <row r="363" spans="1:18" x14ac:dyDescent="0.25">
      <c r="A363" t="s">
        <v>4829</v>
      </c>
      <c r="B363" t="s">
        <v>4776</v>
      </c>
      <c r="C363">
        <v>1878</v>
      </c>
      <c r="D363" t="s">
        <v>4830</v>
      </c>
      <c r="E363" t="s">
        <v>960</v>
      </c>
      <c r="F363" t="s">
        <v>960</v>
      </c>
      <c r="G363" t="s">
        <v>3932</v>
      </c>
      <c r="H363" t="s">
        <v>4776</v>
      </c>
      <c r="I363" t="s">
        <v>7409</v>
      </c>
      <c r="M363" s="7" t="s">
        <v>28</v>
      </c>
      <c r="R363">
        <f t="shared" si="5"/>
        <v>26</v>
      </c>
    </row>
    <row r="364" spans="1:18" x14ac:dyDescent="0.25">
      <c r="A364" t="s">
        <v>4831</v>
      </c>
      <c r="B364" t="s">
        <v>4776</v>
      </c>
      <c r="C364">
        <v>1922</v>
      </c>
      <c r="D364" t="s">
        <v>4832</v>
      </c>
      <c r="E364" t="s">
        <v>1265</v>
      </c>
      <c r="F364" t="s">
        <v>1265</v>
      </c>
      <c r="G364" t="s">
        <v>3932</v>
      </c>
      <c r="H364" t="s">
        <v>4776</v>
      </c>
      <c r="I364" t="s">
        <v>7409</v>
      </c>
      <c r="M364" s="7" t="s">
        <v>28</v>
      </c>
      <c r="R364">
        <f t="shared" si="5"/>
        <v>28</v>
      </c>
    </row>
    <row r="365" spans="1:18" x14ac:dyDescent="0.25">
      <c r="A365" t="s">
        <v>4833</v>
      </c>
      <c r="B365" t="s">
        <v>4776</v>
      </c>
      <c r="C365">
        <v>1882</v>
      </c>
      <c r="D365" t="s">
        <v>4834</v>
      </c>
      <c r="E365" t="s">
        <v>1265</v>
      </c>
      <c r="F365" t="s">
        <v>1265</v>
      </c>
      <c r="G365" t="s">
        <v>3932</v>
      </c>
      <c r="H365" t="s">
        <v>4776</v>
      </c>
      <c r="I365" t="s">
        <v>7409</v>
      </c>
      <c r="M365" s="7" t="s">
        <v>28</v>
      </c>
      <c r="R365">
        <f t="shared" si="5"/>
        <v>30</v>
      </c>
    </row>
    <row r="366" spans="1:18" x14ac:dyDescent="0.25">
      <c r="A366" t="s">
        <v>4835</v>
      </c>
      <c r="B366" t="s">
        <v>4776</v>
      </c>
      <c r="C366">
        <v>1906</v>
      </c>
      <c r="D366" t="s">
        <v>4836</v>
      </c>
      <c r="E366" t="s">
        <v>1403</v>
      </c>
      <c r="F366" t="s">
        <v>1403</v>
      </c>
      <c r="G366" t="s">
        <v>3932</v>
      </c>
      <c r="H366" t="s">
        <v>4776</v>
      </c>
      <c r="I366" t="s">
        <v>7409</v>
      </c>
      <c r="M366" s="7" t="s">
        <v>28</v>
      </c>
      <c r="R366">
        <f t="shared" si="5"/>
        <v>28</v>
      </c>
    </row>
    <row r="367" spans="1:18" x14ac:dyDescent="0.25">
      <c r="A367" t="s">
        <v>4837</v>
      </c>
      <c r="B367" t="s">
        <v>4776</v>
      </c>
      <c r="C367">
        <v>1891</v>
      </c>
      <c r="D367" t="s">
        <v>4838</v>
      </c>
      <c r="E367" t="s">
        <v>960</v>
      </c>
      <c r="F367" t="s">
        <v>960</v>
      </c>
      <c r="G367" t="s">
        <v>3932</v>
      </c>
      <c r="H367" t="s">
        <v>4776</v>
      </c>
      <c r="I367" t="s">
        <v>7409</v>
      </c>
      <c r="M367" s="7" t="s">
        <v>28</v>
      </c>
      <c r="R367">
        <f t="shared" si="5"/>
        <v>29</v>
      </c>
    </row>
    <row r="368" spans="1:18" x14ac:dyDescent="0.25">
      <c r="A368" t="s">
        <v>4839</v>
      </c>
      <c r="B368" t="s">
        <v>4776</v>
      </c>
      <c r="C368">
        <v>1923</v>
      </c>
      <c r="D368" t="s">
        <v>4840</v>
      </c>
      <c r="E368" t="s">
        <v>878</v>
      </c>
      <c r="F368" t="s">
        <v>1631</v>
      </c>
      <c r="I368" t="s">
        <v>7416</v>
      </c>
      <c r="J368" t="s">
        <v>28</v>
      </c>
      <c r="N368" t="s">
        <v>28</v>
      </c>
      <c r="O368" t="s">
        <v>28</v>
      </c>
      <c r="R368">
        <f t="shared" si="5"/>
        <v>13</v>
      </c>
    </row>
    <row r="369" spans="1:18" x14ac:dyDescent="0.25">
      <c r="A369" t="s">
        <v>4841</v>
      </c>
      <c r="B369" t="s">
        <v>4776</v>
      </c>
      <c r="C369">
        <v>1923</v>
      </c>
      <c r="D369" t="s">
        <v>4842</v>
      </c>
      <c r="E369" t="s">
        <v>1389</v>
      </c>
      <c r="F369" t="s">
        <v>23</v>
      </c>
      <c r="I369" t="s">
        <v>7417</v>
      </c>
      <c r="J369" t="s">
        <v>28</v>
      </c>
      <c r="N369" t="s">
        <v>28</v>
      </c>
      <c r="O369" t="s">
        <v>28</v>
      </c>
      <c r="R369">
        <f t="shared" si="5"/>
        <v>11</v>
      </c>
    </row>
    <row r="370" spans="1:18" x14ac:dyDescent="0.25">
      <c r="A370" t="s">
        <v>4843</v>
      </c>
      <c r="B370" t="s">
        <v>4776</v>
      </c>
      <c r="C370">
        <v>1897</v>
      </c>
      <c r="D370" t="s">
        <v>445</v>
      </c>
      <c r="E370" t="s">
        <v>23</v>
      </c>
      <c r="F370" t="s">
        <v>23</v>
      </c>
      <c r="G370" t="s">
        <v>3932</v>
      </c>
      <c r="H370" t="s">
        <v>4776</v>
      </c>
      <c r="I370" t="s">
        <v>7409</v>
      </c>
      <c r="M370" s="7" t="s">
        <v>28</v>
      </c>
      <c r="R370">
        <f t="shared" si="5"/>
        <v>27</v>
      </c>
    </row>
    <row r="371" spans="1:18" x14ac:dyDescent="0.25">
      <c r="A371" t="s">
        <v>4844</v>
      </c>
      <c r="B371" t="s">
        <v>4776</v>
      </c>
      <c r="C371">
        <v>1923</v>
      </c>
      <c r="D371" t="s">
        <v>4845</v>
      </c>
      <c r="E371" t="s">
        <v>878</v>
      </c>
      <c r="F371" t="s">
        <v>1265</v>
      </c>
      <c r="I371" t="s">
        <v>7418</v>
      </c>
      <c r="J371" t="s">
        <v>28</v>
      </c>
      <c r="N371" t="s">
        <v>28</v>
      </c>
      <c r="O371" t="s">
        <v>28</v>
      </c>
      <c r="R371">
        <f t="shared" si="5"/>
        <v>12</v>
      </c>
    </row>
    <row r="372" spans="1:18" x14ac:dyDescent="0.25">
      <c r="A372" t="s">
        <v>4846</v>
      </c>
      <c r="B372" t="s">
        <v>4776</v>
      </c>
      <c r="C372">
        <v>1923</v>
      </c>
      <c r="D372" t="s">
        <v>4847</v>
      </c>
      <c r="E372" t="s">
        <v>878</v>
      </c>
      <c r="F372" t="s">
        <v>392</v>
      </c>
      <c r="I372" t="s">
        <v>7419</v>
      </c>
      <c r="J372" t="s">
        <v>28</v>
      </c>
      <c r="N372" t="s">
        <v>28</v>
      </c>
      <c r="O372" t="s">
        <v>28</v>
      </c>
      <c r="R372">
        <f t="shared" si="5"/>
        <v>13</v>
      </c>
    </row>
    <row r="373" spans="1:18" x14ac:dyDescent="0.25">
      <c r="A373" t="s">
        <v>4848</v>
      </c>
      <c r="B373" t="s">
        <v>4776</v>
      </c>
      <c r="C373">
        <v>1916</v>
      </c>
      <c r="D373" t="s">
        <v>1630</v>
      </c>
      <c r="E373" t="s">
        <v>1389</v>
      </c>
      <c r="F373" t="s">
        <v>1389</v>
      </c>
      <c r="G373" t="s">
        <v>3932</v>
      </c>
      <c r="H373" t="s">
        <v>4776</v>
      </c>
      <c r="I373" t="s">
        <v>7409</v>
      </c>
      <c r="M373" s="7" t="s">
        <v>28</v>
      </c>
      <c r="R373">
        <f t="shared" si="5"/>
        <v>28</v>
      </c>
    </row>
    <row r="374" spans="1:18" x14ac:dyDescent="0.25">
      <c r="A374" t="s">
        <v>4849</v>
      </c>
      <c r="B374" t="s">
        <v>4776</v>
      </c>
      <c r="C374">
        <v>1909</v>
      </c>
      <c r="D374" t="s">
        <v>4850</v>
      </c>
      <c r="E374" t="s">
        <v>878</v>
      </c>
      <c r="F374" t="s">
        <v>878</v>
      </c>
      <c r="G374" t="s">
        <v>3932</v>
      </c>
      <c r="H374" t="s">
        <v>4776</v>
      </c>
      <c r="I374" t="s">
        <v>7409</v>
      </c>
      <c r="M374" s="7" t="s">
        <v>28</v>
      </c>
      <c r="R374">
        <f t="shared" si="5"/>
        <v>28</v>
      </c>
    </row>
    <row r="375" spans="1:18" x14ac:dyDescent="0.25">
      <c r="A375" t="s">
        <v>4851</v>
      </c>
      <c r="B375" t="s">
        <v>4776</v>
      </c>
      <c r="C375">
        <v>1902</v>
      </c>
      <c r="D375" t="s">
        <v>3331</v>
      </c>
      <c r="E375" t="s">
        <v>962</v>
      </c>
      <c r="F375" t="s">
        <v>962</v>
      </c>
      <c r="G375" t="s">
        <v>3932</v>
      </c>
      <c r="H375" t="s">
        <v>4776</v>
      </c>
      <c r="I375" t="s">
        <v>7409</v>
      </c>
      <c r="M375" s="7" t="s">
        <v>28</v>
      </c>
      <c r="R375">
        <f t="shared" si="5"/>
        <v>27</v>
      </c>
    </row>
    <row r="376" spans="1:18" x14ac:dyDescent="0.25">
      <c r="A376" t="s">
        <v>4852</v>
      </c>
      <c r="B376" t="s">
        <v>4853</v>
      </c>
      <c r="C376">
        <v>1920</v>
      </c>
      <c r="D376" t="s">
        <v>4854</v>
      </c>
      <c r="E376" t="s">
        <v>68</v>
      </c>
      <c r="F376" t="s">
        <v>524</v>
      </c>
      <c r="G376" t="s">
        <v>3932</v>
      </c>
      <c r="H376" t="s">
        <v>4853</v>
      </c>
      <c r="I376" t="s">
        <v>7420</v>
      </c>
      <c r="R376">
        <f t="shared" si="5"/>
        <v>25</v>
      </c>
    </row>
    <row r="377" spans="1:18" x14ac:dyDescent="0.25">
      <c r="A377" t="s">
        <v>4855</v>
      </c>
      <c r="B377" t="s">
        <v>4853</v>
      </c>
      <c r="C377">
        <v>1920</v>
      </c>
      <c r="D377" t="s">
        <v>4856</v>
      </c>
      <c r="E377" t="s">
        <v>4857</v>
      </c>
      <c r="F377" t="s">
        <v>878</v>
      </c>
      <c r="G377" t="s">
        <v>3932</v>
      </c>
      <c r="H377" t="s">
        <v>4853</v>
      </c>
      <c r="I377" t="s">
        <v>7420</v>
      </c>
      <c r="L377" t="s">
        <v>28</v>
      </c>
      <c r="R377">
        <f t="shared" si="5"/>
        <v>28</v>
      </c>
    </row>
    <row r="378" spans="1:18" x14ac:dyDescent="0.25">
      <c r="A378" t="s">
        <v>4858</v>
      </c>
      <c r="B378" t="s">
        <v>4853</v>
      </c>
      <c r="C378">
        <v>1920</v>
      </c>
      <c r="D378" t="s">
        <v>3000</v>
      </c>
      <c r="E378" t="s">
        <v>4651</v>
      </c>
      <c r="F378" t="s">
        <v>1265</v>
      </c>
      <c r="G378" t="s">
        <v>3932</v>
      </c>
      <c r="H378" t="s">
        <v>4853</v>
      </c>
      <c r="I378" t="s">
        <v>7420</v>
      </c>
      <c r="L378" t="s">
        <v>28</v>
      </c>
      <c r="R378">
        <f t="shared" si="5"/>
        <v>26</v>
      </c>
    </row>
    <row r="379" spans="1:18" x14ac:dyDescent="0.25">
      <c r="A379" t="s">
        <v>4859</v>
      </c>
      <c r="B379" t="s">
        <v>4853</v>
      </c>
      <c r="C379">
        <v>1891</v>
      </c>
      <c r="D379" t="s">
        <v>4860</v>
      </c>
      <c r="E379" t="s">
        <v>22</v>
      </c>
      <c r="F379" t="s">
        <v>1403</v>
      </c>
      <c r="G379" t="s">
        <v>3932</v>
      </c>
      <c r="H379" t="s">
        <v>4853</v>
      </c>
      <c r="I379" t="s">
        <v>7420</v>
      </c>
      <c r="R379">
        <f t="shared" si="5"/>
        <v>21</v>
      </c>
    </row>
    <row r="380" spans="1:18" x14ac:dyDescent="0.25">
      <c r="A380" t="s">
        <v>4861</v>
      </c>
      <c r="B380" t="s">
        <v>4853</v>
      </c>
      <c r="C380">
        <v>1909</v>
      </c>
      <c r="D380" t="s">
        <v>4862</v>
      </c>
      <c r="E380" t="s">
        <v>962</v>
      </c>
      <c r="F380" t="s">
        <v>28</v>
      </c>
      <c r="G380" t="s">
        <v>3932</v>
      </c>
      <c r="H380" t="s">
        <v>4853</v>
      </c>
      <c r="I380" t="s">
        <v>7420</v>
      </c>
      <c r="R380">
        <f t="shared" si="5"/>
        <v>21</v>
      </c>
    </row>
    <row r="381" spans="1:18" x14ac:dyDescent="0.25">
      <c r="A381" t="s">
        <v>4863</v>
      </c>
      <c r="B381" t="s">
        <v>4853</v>
      </c>
      <c r="C381">
        <v>1907</v>
      </c>
      <c r="D381" t="s">
        <v>4864</v>
      </c>
      <c r="E381" t="s">
        <v>962</v>
      </c>
      <c r="F381" t="s">
        <v>1265</v>
      </c>
      <c r="G381" t="s">
        <v>3932</v>
      </c>
      <c r="H381" t="s">
        <v>4853</v>
      </c>
      <c r="I381" t="s">
        <v>7420</v>
      </c>
      <c r="R381">
        <f t="shared" si="5"/>
        <v>22</v>
      </c>
    </row>
    <row r="382" spans="1:18" x14ac:dyDescent="0.25">
      <c r="A382" t="s">
        <v>4865</v>
      </c>
      <c r="B382" t="s">
        <v>4853</v>
      </c>
      <c r="C382">
        <v>1920</v>
      </c>
      <c r="D382" t="s">
        <v>4866</v>
      </c>
      <c r="E382" t="s">
        <v>391</v>
      </c>
      <c r="F382" t="s">
        <v>1631</v>
      </c>
      <c r="G382" t="s">
        <v>3932</v>
      </c>
      <c r="H382" t="s">
        <v>4853</v>
      </c>
      <c r="I382" t="s">
        <v>7420</v>
      </c>
      <c r="R382">
        <f t="shared" si="5"/>
        <v>24</v>
      </c>
    </row>
    <row r="383" spans="1:18" x14ac:dyDescent="0.25">
      <c r="A383" t="s">
        <v>4867</v>
      </c>
      <c r="B383" t="s">
        <v>4853</v>
      </c>
      <c r="C383">
        <v>1920</v>
      </c>
      <c r="D383" t="s">
        <v>4868</v>
      </c>
      <c r="E383" t="s">
        <v>1265</v>
      </c>
      <c r="F383" t="s">
        <v>1403</v>
      </c>
      <c r="G383" t="s">
        <v>3932</v>
      </c>
      <c r="H383" t="s">
        <v>4853</v>
      </c>
      <c r="I383" t="s">
        <v>7420</v>
      </c>
      <c r="R383">
        <f t="shared" si="5"/>
        <v>21</v>
      </c>
    </row>
    <row r="384" spans="1:18" x14ac:dyDescent="0.25">
      <c r="A384" t="s">
        <v>4869</v>
      </c>
      <c r="B384" t="s">
        <v>4853</v>
      </c>
      <c r="C384">
        <v>1908</v>
      </c>
      <c r="D384" t="s">
        <v>4870</v>
      </c>
      <c r="E384" t="s">
        <v>1403</v>
      </c>
      <c r="G384" t="s">
        <v>3932</v>
      </c>
      <c r="H384" t="s">
        <v>4853</v>
      </c>
      <c r="I384" t="s">
        <v>7420</v>
      </c>
      <c r="J384" t="s">
        <v>28</v>
      </c>
      <c r="R384">
        <f t="shared" si="5"/>
        <v>18</v>
      </c>
    </row>
    <row r="385" spans="1:18" s="3" customFormat="1" x14ac:dyDescent="0.25">
      <c r="A385" s="3" t="s">
        <v>4871</v>
      </c>
      <c r="B385" s="3" t="s">
        <v>4853</v>
      </c>
      <c r="C385" s="3">
        <v>1920</v>
      </c>
      <c r="D385" s="3" t="s">
        <v>4872</v>
      </c>
      <c r="E385" s="3" t="s">
        <v>23</v>
      </c>
      <c r="F385" s="3" t="s">
        <v>960</v>
      </c>
      <c r="G385" s="3" t="s">
        <v>3932</v>
      </c>
      <c r="H385" s="3" t="s">
        <v>4853</v>
      </c>
      <c r="I385" t="s">
        <v>7420</v>
      </c>
      <c r="R385">
        <f t="shared" si="5"/>
        <v>24</v>
      </c>
    </row>
    <row r="386" spans="1:18" x14ac:dyDescent="0.25">
      <c r="J386">
        <f>COUNTIF(J18:J385, "f") + COUNTIF(J18:J385, "a") + COUNTIF(J18:J385, "b") + COUNTIF(J18:J385, "a/b")</f>
        <v>82</v>
      </c>
      <c r="K386">
        <f t="shared" ref="K386:O386" si="6">COUNTIF(K18:K385, "f") + COUNTIF(K18:K385, "a") + COUNTIF(K18:K385, "b") + COUNTIF(K18:K385, "a/b")</f>
        <v>22</v>
      </c>
      <c r="L386">
        <f t="shared" si="6"/>
        <v>25</v>
      </c>
      <c r="M386">
        <f t="shared" si="6"/>
        <v>135</v>
      </c>
      <c r="N386">
        <f t="shared" si="6"/>
        <v>95</v>
      </c>
      <c r="O386">
        <f t="shared" si="6"/>
        <v>112</v>
      </c>
      <c r="Q386">
        <f>SUM(Q2:Q385)</f>
        <v>35</v>
      </c>
      <c r="R386">
        <f>SUM(R2:R385)</f>
        <v>10920</v>
      </c>
    </row>
    <row r="387" spans="1:18" x14ac:dyDescent="0.25">
      <c r="J387">
        <f>1-(J386/409)</f>
        <v>0.79951100244498774</v>
      </c>
      <c r="K387">
        <f t="shared" ref="K387:O387" si="7">1-(K386/409)</f>
        <v>0.94621026894865523</v>
      </c>
      <c r="L387">
        <f t="shared" si="7"/>
        <v>0.93887530562347188</v>
      </c>
      <c r="M387">
        <f t="shared" si="7"/>
        <v>0.66992665036674814</v>
      </c>
      <c r="N387">
        <f t="shared" si="7"/>
        <v>0.76772616136919314</v>
      </c>
      <c r="O387">
        <f t="shared" si="7"/>
        <v>0.7261613691931541</v>
      </c>
      <c r="Q387">
        <f>Q386/R386</f>
        <v>3.205128205128205E-3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620F-E27A-45F7-9C55-D3CCFD25CA66}">
  <dimension ref="A1:T385"/>
  <sheetViews>
    <sheetView zoomScale="85" zoomScaleNormal="85" workbookViewId="0">
      <pane ySplit="1" topLeftCell="A344" activePane="bottomLeft" state="frozen"/>
      <selection pane="bottomLeft" activeCell="I385" sqref="I385"/>
    </sheetView>
  </sheetViews>
  <sheetFormatPr defaultRowHeight="15" x14ac:dyDescent="0.25"/>
  <cols>
    <col min="8" max="8" width="27.85546875" customWidth="1"/>
    <col min="18" max="18" width="17.140625" customWidth="1"/>
  </cols>
  <sheetData>
    <row r="1" spans="1:20" x14ac:dyDescent="0.25">
      <c r="A1" t="s">
        <v>0</v>
      </c>
      <c r="B1" t="s">
        <v>1</v>
      </c>
      <c r="C1" t="s">
        <v>4873</v>
      </c>
      <c r="D1" t="s">
        <v>4874</v>
      </c>
      <c r="E1" t="s">
        <v>4875</v>
      </c>
      <c r="F1" t="s">
        <v>13</v>
      </c>
      <c r="G1" t="s">
        <v>3928</v>
      </c>
      <c r="H1" t="s">
        <v>8</v>
      </c>
      <c r="I1" t="s">
        <v>4873</v>
      </c>
      <c r="J1" t="s">
        <v>4874</v>
      </c>
      <c r="K1" t="s">
        <v>4875</v>
      </c>
      <c r="L1" t="s">
        <v>13</v>
      </c>
      <c r="M1" t="s">
        <v>3928</v>
      </c>
      <c r="N1" t="s">
        <v>8</v>
      </c>
      <c r="O1" t="s">
        <v>6906</v>
      </c>
      <c r="P1" t="s">
        <v>6909</v>
      </c>
      <c r="R1" t="s">
        <v>14</v>
      </c>
      <c r="S1" t="s">
        <v>15</v>
      </c>
      <c r="T1" t="s">
        <v>16</v>
      </c>
    </row>
    <row r="2" spans="1:20" x14ac:dyDescent="0.25">
      <c r="A2" t="s">
        <v>4876</v>
      </c>
      <c r="B2">
        <v>1873</v>
      </c>
      <c r="C2" t="s">
        <v>6910</v>
      </c>
      <c r="H2" t="s">
        <v>4877</v>
      </c>
      <c r="I2" t="s">
        <v>28</v>
      </c>
      <c r="P2">
        <f t="shared" ref="P2:P65" si="0">LEN(C2)+LEN(D2)+LEN(E2)+LEN(F2)+LEN(G2)+LEN(H2)</f>
        <v>21</v>
      </c>
      <c r="R2" t="s">
        <v>15</v>
      </c>
      <c r="S2" t="s">
        <v>22</v>
      </c>
      <c r="T2" t="s">
        <v>23</v>
      </c>
    </row>
    <row r="3" spans="1:20" x14ac:dyDescent="0.25">
      <c r="A3" t="s">
        <v>4878</v>
      </c>
      <c r="B3">
        <v>1873</v>
      </c>
      <c r="C3" t="s">
        <v>6911</v>
      </c>
      <c r="H3" t="s">
        <v>4879</v>
      </c>
      <c r="P3">
        <f t="shared" si="0"/>
        <v>21</v>
      </c>
      <c r="R3" t="s">
        <v>16</v>
      </c>
      <c r="S3" t="s">
        <v>23</v>
      </c>
      <c r="T3" t="s">
        <v>22</v>
      </c>
    </row>
    <row r="4" spans="1:20" x14ac:dyDescent="0.25">
      <c r="A4" t="s">
        <v>4880</v>
      </c>
      <c r="B4">
        <v>1873</v>
      </c>
      <c r="C4" t="s">
        <v>6912</v>
      </c>
      <c r="H4" t="s">
        <v>4877</v>
      </c>
      <c r="P4">
        <f t="shared" si="0"/>
        <v>25</v>
      </c>
    </row>
    <row r="5" spans="1:20" x14ac:dyDescent="0.25">
      <c r="A5" t="s">
        <v>4881</v>
      </c>
      <c r="B5">
        <v>1873</v>
      </c>
      <c r="C5" t="s">
        <v>6913</v>
      </c>
      <c r="G5" t="s">
        <v>4882</v>
      </c>
      <c r="H5" t="s">
        <v>4883</v>
      </c>
      <c r="I5" t="s">
        <v>28</v>
      </c>
      <c r="M5" t="s">
        <v>28</v>
      </c>
      <c r="N5" t="s">
        <v>28</v>
      </c>
      <c r="P5">
        <f t="shared" si="0"/>
        <v>35</v>
      </c>
      <c r="R5" t="s">
        <v>36</v>
      </c>
    </row>
    <row r="6" spans="1:20" x14ac:dyDescent="0.25">
      <c r="A6" t="s">
        <v>4884</v>
      </c>
      <c r="B6">
        <v>1873</v>
      </c>
      <c r="C6" t="s">
        <v>6914</v>
      </c>
      <c r="H6" t="s">
        <v>4885</v>
      </c>
      <c r="M6" t="s">
        <v>28</v>
      </c>
      <c r="N6" t="s">
        <v>28</v>
      </c>
      <c r="P6">
        <f t="shared" si="0"/>
        <v>22</v>
      </c>
      <c r="R6" t="s">
        <v>14</v>
      </c>
      <c r="S6" t="s">
        <v>15</v>
      </c>
      <c r="T6" t="s">
        <v>16</v>
      </c>
    </row>
    <row r="7" spans="1:20" x14ac:dyDescent="0.25">
      <c r="A7" t="s">
        <v>4886</v>
      </c>
      <c r="B7">
        <v>1873</v>
      </c>
      <c r="C7" t="s">
        <v>6915</v>
      </c>
      <c r="H7" t="s">
        <v>4887</v>
      </c>
      <c r="I7" t="s">
        <v>28</v>
      </c>
      <c r="P7">
        <f t="shared" si="0"/>
        <v>24</v>
      </c>
      <c r="R7" t="s">
        <v>15</v>
      </c>
      <c r="T7" t="s">
        <v>23</v>
      </c>
    </row>
    <row r="8" spans="1:20" x14ac:dyDescent="0.25">
      <c r="A8" t="s">
        <v>4888</v>
      </c>
      <c r="B8">
        <v>1876</v>
      </c>
      <c r="C8" t="s">
        <v>6916</v>
      </c>
      <c r="H8" t="s">
        <v>4889</v>
      </c>
      <c r="P8">
        <f t="shared" si="0"/>
        <v>22</v>
      </c>
      <c r="R8" t="s">
        <v>16</v>
      </c>
      <c r="S8" t="s">
        <v>23</v>
      </c>
    </row>
    <row r="9" spans="1:20" s="4" customFormat="1" x14ac:dyDescent="0.25">
      <c r="A9" s="4" t="s">
        <v>4890</v>
      </c>
      <c r="B9" s="4">
        <v>1876</v>
      </c>
      <c r="C9" s="4" t="s">
        <v>6917</v>
      </c>
      <c r="G9" s="4" t="s">
        <v>4891</v>
      </c>
      <c r="H9" s="4" t="s">
        <v>4892</v>
      </c>
      <c r="P9">
        <f t="shared" si="0"/>
        <v>36</v>
      </c>
    </row>
    <row r="10" spans="1:20" x14ac:dyDescent="0.25">
      <c r="A10" t="s">
        <v>4893</v>
      </c>
      <c r="B10">
        <v>1876</v>
      </c>
      <c r="C10" t="s">
        <v>6918</v>
      </c>
      <c r="H10" t="s">
        <v>4894</v>
      </c>
      <c r="M10" t="s">
        <v>28</v>
      </c>
      <c r="N10" t="s">
        <v>28</v>
      </c>
      <c r="P10">
        <f t="shared" si="0"/>
        <v>26</v>
      </c>
      <c r="R10" t="s">
        <v>57</v>
      </c>
    </row>
    <row r="11" spans="1:20" x14ac:dyDescent="0.25">
      <c r="A11" t="s">
        <v>4895</v>
      </c>
      <c r="B11">
        <v>1876</v>
      </c>
      <c r="C11" t="s">
        <v>6919</v>
      </c>
      <c r="H11" t="s">
        <v>4896</v>
      </c>
      <c r="I11" t="s">
        <v>68</v>
      </c>
      <c r="O11">
        <v>2</v>
      </c>
      <c r="P11">
        <f t="shared" si="0"/>
        <v>25</v>
      </c>
      <c r="R11" t="s">
        <v>62</v>
      </c>
    </row>
    <row r="12" spans="1:20" x14ac:dyDescent="0.25">
      <c r="A12" t="s">
        <v>4897</v>
      </c>
      <c r="B12">
        <v>1876</v>
      </c>
      <c r="C12" t="s">
        <v>6920</v>
      </c>
      <c r="H12" t="s">
        <v>4898</v>
      </c>
      <c r="P12">
        <f t="shared" si="0"/>
        <v>17</v>
      </c>
      <c r="R12" t="s">
        <v>1437</v>
      </c>
      <c r="S12" t="s">
        <v>68</v>
      </c>
    </row>
    <row r="13" spans="1:20" x14ac:dyDescent="0.25">
      <c r="A13" t="s">
        <v>4899</v>
      </c>
      <c r="B13">
        <v>1876</v>
      </c>
      <c r="C13" t="s">
        <v>6921</v>
      </c>
      <c r="H13" t="s">
        <v>4900</v>
      </c>
      <c r="I13" t="s">
        <v>68</v>
      </c>
      <c r="J13" t="s">
        <v>28</v>
      </c>
      <c r="O13">
        <v>3</v>
      </c>
      <c r="P13">
        <f t="shared" si="0"/>
        <v>21</v>
      </c>
      <c r="R13" t="s">
        <v>1441</v>
      </c>
      <c r="S13" t="s">
        <v>28</v>
      </c>
    </row>
    <row r="14" spans="1:20" x14ac:dyDescent="0.25">
      <c r="A14" t="s">
        <v>4901</v>
      </c>
      <c r="B14">
        <v>1876</v>
      </c>
      <c r="C14" t="s">
        <v>6922</v>
      </c>
      <c r="H14" t="s">
        <v>4902</v>
      </c>
      <c r="N14" t="s">
        <v>28</v>
      </c>
      <c r="P14">
        <f t="shared" si="0"/>
        <v>26</v>
      </c>
    </row>
    <row r="15" spans="1:20" x14ac:dyDescent="0.25">
      <c r="A15" t="s">
        <v>4903</v>
      </c>
      <c r="B15">
        <v>1876</v>
      </c>
      <c r="C15" t="s">
        <v>6923</v>
      </c>
      <c r="G15" t="s">
        <v>4904</v>
      </c>
      <c r="H15" t="s">
        <v>4896</v>
      </c>
      <c r="M15" t="s">
        <v>28</v>
      </c>
      <c r="N15" t="s">
        <v>28</v>
      </c>
      <c r="P15">
        <f t="shared" si="0"/>
        <v>38</v>
      </c>
    </row>
    <row r="16" spans="1:20" x14ac:dyDescent="0.25">
      <c r="A16" t="s">
        <v>4905</v>
      </c>
      <c r="B16">
        <v>1876</v>
      </c>
      <c r="C16" t="s">
        <v>6924</v>
      </c>
      <c r="G16" t="s">
        <v>4906</v>
      </c>
      <c r="H16" t="s">
        <v>4896</v>
      </c>
      <c r="I16" t="s">
        <v>68</v>
      </c>
      <c r="O16">
        <v>1</v>
      </c>
      <c r="P16">
        <f t="shared" si="0"/>
        <v>50</v>
      </c>
    </row>
    <row r="17" spans="1:16" x14ac:dyDescent="0.25">
      <c r="A17" t="s">
        <v>4907</v>
      </c>
      <c r="B17">
        <v>1876</v>
      </c>
      <c r="C17" t="s">
        <v>6925</v>
      </c>
      <c r="H17" t="s">
        <v>4908</v>
      </c>
      <c r="N17" t="s">
        <v>28</v>
      </c>
      <c r="P17">
        <f t="shared" si="0"/>
        <v>25</v>
      </c>
    </row>
    <row r="18" spans="1:16" x14ac:dyDescent="0.25">
      <c r="A18" t="s">
        <v>4909</v>
      </c>
      <c r="B18">
        <v>1876</v>
      </c>
      <c r="C18" t="s">
        <v>6912</v>
      </c>
      <c r="H18" t="s">
        <v>4877</v>
      </c>
      <c r="P18">
        <f t="shared" si="0"/>
        <v>25</v>
      </c>
    </row>
    <row r="19" spans="1:16" x14ac:dyDescent="0.25">
      <c r="A19" t="s">
        <v>4910</v>
      </c>
      <c r="B19">
        <v>1876</v>
      </c>
      <c r="C19" t="s">
        <v>6926</v>
      </c>
      <c r="H19" t="s">
        <v>4911</v>
      </c>
      <c r="J19" t="s">
        <v>28</v>
      </c>
      <c r="P19">
        <f t="shared" si="0"/>
        <v>27</v>
      </c>
    </row>
    <row r="20" spans="1:16" x14ac:dyDescent="0.25">
      <c r="A20" t="s">
        <v>4912</v>
      </c>
      <c r="B20">
        <v>1876</v>
      </c>
      <c r="C20" t="s">
        <v>6927</v>
      </c>
      <c r="H20" t="s">
        <v>4913</v>
      </c>
      <c r="P20">
        <f t="shared" si="0"/>
        <v>24</v>
      </c>
    </row>
    <row r="21" spans="1:16" x14ac:dyDescent="0.25">
      <c r="A21" t="s">
        <v>4914</v>
      </c>
      <c r="B21">
        <v>1876</v>
      </c>
      <c r="C21" t="s">
        <v>6928</v>
      </c>
      <c r="H21" t="s">
        <v>4915</v>
      </c>
      <c r="I21" t="s">
        <v>68</v>
      </c>
      <c r="O21">
        <v>2</v>
      </c>
      <c r="P21">
        <f t="shared" si="0"/>
        <v>26</v>
      </c>
    </row>
    <row r="22" spans="1:16" x14ac:dyDescent="0.25">
      <c r="A22" t="s">
        <v>4916</v>
      </c>
      <c r="B22">
        <v>1876</v>
      </c>
      <c r="C22" t="s">
        <v>6929</v>
      </c>
      <c r="H22" t="s">
        <v>4917</v>
      </c>
      <c r="M22" t="s">
        <v>28</v>
      </c>
      <c r="P22">
        <f t="shared" si="0"/>
        <v>19</v>
      </c>
    </row>
    <row r="23" spans="1:16" x14ac:dyDescent="0.25">
      <c r="A23" t="s">
        <v>4918</v>
      </c>
      <c r="B23">
        <v>1877</v>
      </c>
      <c r="C23" t="s">
        <v>6930</v>
      </c>
      <c r="H23" t="s">
        <v>4919</v>
      </c>
      <c r="I23" t="s">
        <v>68</v>
      </c>
      <c r="L23" t="s">
        <v>28</v>
      </c>
      <c r="O23">
        <v>2</v>
      </c>
      <c r="P23">
        <f t="shared" si="0"/>
        <v>23</v>
      </c>
    </row>
    <row r="24" spans="1:16" s="4" customFormat="1" x14ac:dyDescent="0.25">
      <c r="A24" s="4" t="s">
        <v>4920</v>
      </c>
      <c r="B24" s="4">
        <v>1877</v>
      </c>
      <c r="C24" s="4" t="s">
        <v>6931</v>
      </c>
      <c r="H24" s="4" t="s">
        <v>4877</v>
      </c>
      <c r="P24">
        <f t="shared" si="0"/>
        <v>23</v>
      </c>
    </row>
    <row r="25" spans="1:16" x14ac:dyDescent="0.25">
      <c r="A25" t="s">
        <v>4921</v>
      </c>
      <c r="B25">
        <v>1877</v>
      </c>
      <c r="C25" t="s">
        <v>6932</v>
      </c>
      <c r="H25" t="s">
        <v>4922</v>
      </c>
      <c r="N25" t="s">
        <v>68</v>
      </c>
      <c r="O25">
        <v>3</v>
      </c>
      <c r="P25">
        <f t="shared" si="0"/>
        <v>37</v>
      </c>
    </row>
    <row r="26" spans="1:16" x14ac:dyDescent="0.25">
      <c r="A26" t="s">
        <v>4923</v>
      </c>
      <c r="B26">
        <v>1877</v>
      </c>
      <c r="C26" t="s">
        <v>6933</v>
      </c>
      <c r="H26" t="s">
        <v>3511</v>
      </c>
      <c r="P26">
        <f t="shared" si="0"/>
        <v>26</v>
      </c>
    </row>
    <row r="27" spans="1:16" s="4" customFormat="1" x14ac:dyDescent="0.25">
      <c r="A27" s="4" t="s">
        <v>4924</v>
      </c>
      <c r="B27" s="4">
        <v>1877</v>
      </c>
      <c r="C27" s="4" t="s">
        <v>6934</v>
      </c>
      <c r="G27" s="4" t="s">
        <v>4925</v>
      </c>
      <c r="H27" s="4" t="s">
        <v>3688</v>
      </c>
      <c r="P27">
        <f t="shared" si="0"/>
        <v>34</v>
      </c>
    </row>
    <row r="28" spans="1:16" x14ac:dyDescent="0.25">
      <c r="A28" t="s">
        <v>4926</v>
      </c>
      <c r="B28">
        <v>1877</v>
      </c>
      <c r="C28" t="s">
        <v>6935</v>
      </c>
      <c r="H28" t="s">
        <v>4927</v>
      </c>
      <c r="I28" t="s">
        <v>68</v>
      </c>
      <c r="O28">
        <v>2</v>
      </c>
      <c r="P28">
        <f t="shared" si="0"/>
        <v>24</v>
      </c>
    </row>
    <row r="29" spans="1:16" x14ac:dyDescent="0.25">
      <c r="A29" t="s">
        <v>4928</v>
      </c>
      <c r="B29">
        <v>1877</v>
      </c>
      <c r="C29" t="s">
        <v>6936</v>
      </c>
      <c r="H29" t="s">
        <v>4877</v>
      </c>
      <c r="P29">
        <f t="shared" si="0"/>
        <v>21</v>
      </c>
    </row>
    <row r="30" spans="1:16" x14ac:dyDescent="0.25">
      <c r="A30" t="s">
        <v>4929</v>
      </c>
      <c r="B30">
        <v>1877</v>
      </c>
      <c r="C30" t="s">
        <v>6937</v>
      </c>
      <c r="F30" t="s">
        <v>880</v>
      </c>
      <c r="H30" t="s">
        <v>4930</v>
      </c>
      <c r="L30" t="s">
        <v>28</v>
      </c>
      <c r="M30" t="s">
        <v>28</v>
      </c>
      <c r="P30">
        <f t="shared" si="0"/>
        <v>30</v>
      </c>
    </row>
    <row r="31" spans="1:16" x14ac:dyDescent="0.25">
      <c r="A31" t="s">
        <v>4931</v>
      </c>
      <c r="B31">
        <v>1877</v>
      </c>
      <c r="C31" t="s">
        <v>6938</v>
      </c>
      <c r="G31" t="s">
        <v>4932</v>
      </c>
      <c r="H31" t="s">
        <v>4933</v>
      </c>
      <c r="P31">
        <f t="shared" si="0"/>
        <v>58</v>
      </c>
    </row>
    <row r="32" spans="1:16" x14ac:dyDescent="0.25">
      <c r="A32" t="s">
        <v>4934</v>
      </c>
      <c r="B32">
        <v>1877</v>
      </c>
      <c r="C32" t="s">
        <v>6939</v>
      </c>
      <c r="H32" t="s">
        <v>4935</v>
      </c>
      <c r="I32" t="s">
        <v>68</v>
      </c>
      <c r="O32">
        <v>4</v>
      </c>
      <c r="P32">
        <f t="shared" si="0"/>
        <v>27</v>
      </c>
    </row>
    <row r="33" spans="1:16" x14ac:dyDescent="0.25">
      <c r="A33" t="s">
        <v>4936</v>
      </c>
      <c r="B33">
        <v>1877</v>
      </c>
      <c r="C33" t="s">
        <v>6940</v>
      </c>
      <c r="H33" t="s">
        <v>4879</v>
      </c>
      <c r="I33" t="s">
        <v>68</v>
      </c>
      <c r="O33">
        <v>2</v>
      </c>
      <c r="P33">
        <f t="shared" si="0"/>
        <v>17</v>
      </c>
    </row>
    <row r="34" spans="1:16" x14ac:dyDescent="0.25">
      <c r="A34" t="s">
        <v>4937</v>
      </c>
      <c r="B34">
        <v>1877</v>
      </c>
      <c r="C34" t="s">
        <v>6941</v>
      </c>
      <c r="H34" t="s">
        <v>4938</v>
      </c>
      <c r="P34">
        <f t="shared" si="0"/>
        <v>22</v>
      </c>
    </row>
    <row r="35" spans="1:16" x14ac:dyDescent="0.25">
      <c r="A35" t="s">
        <v>4939</v>
      </c>
      <c r="B35">
        <v>1877</v>
      </c>
      <c r="C35" t="s">
        <v>6942</v>
      </c>
      <c r="H35" t="s">
        <v>4915</v>
      </c>
      <c r="P35">
        <f t="shared" si="0"/>
        <v>25</v>
      </c>
    </row>
    <row r="36" spans="1:16" s="4" customFormat="1" x14ac:dyDescent="0.25">
      <c r="A36" s="4" t="s">
        <v>4940</v>
      </c>
      <c r="B36" s="4">
        <v>1877</v>
      </c>
      <c r="C36" s="4" t="s">
        <v>6943</v>
      </c>
      <c r="H36" s="4" t="s">
        <v>4941</v>
      </c>
      <c r="P36">
        <f t="shared" si="0"/>
        <v>30</v>
      </c>
    </row>
    <row r="37" spans="1:16" x14ac:dyDescent="0.25">
      <c r="A37" t="s">
        <v>4942</v>
      </c>
      <c r="B37">
        <v>1877</v>
      </c>
      <c r="C37" t="s">
        <v>6944</v>
      </c>
      <c r="G37" t="s">
        <v>4943</v>
      </c>
      <c r="H37" t="s">
        <v>4877</v>
      </c>
      <c r="M37" t="s">
        <v>28</v>
      </c>
      <c r="P37">
        <f t="shared" si="0"/>
        <v>47</v>
      </c>
    </row>
    <row r="38" spans="1:16" x14ac:dyDescent="0.25">
      <c r="A38" t="s">
        <v>4944</v>
      </c>
      <c r="B38">
        <v>1877</v>
      </c>
      <c r="C38" t="s">
        <v>6945</v>
      </c>
      <c r="G38" t="s">
        <v>4945</v>
      </c>
      <c r="H38" t="s">
        <v>4896</v>
      </c>
      <c r="P38">
        <f t="shared" si="0"/>
        <v>45</v>
      </c>
    </row>
    <row r="39" spans="1:16" x14ac:dyDescent="0.25">
      <c r="A39" t="s">
        <v>4946</v>
      </c>
      <c r="B39">
        <v>1877</v>
      </c>
      <c r="C39" t="s">
        <v>6946</v>
      </c>
      <c r="H39" t="s">
        <v>4947</v>
      </c>
      <c r="I39" t="s">
        <v>68</v>
      </c>
      <c r="M39" t="s">
        <v>28</v>
      </c>
      <c r="N39" t="s">
        <v>28</v>
      </c>
      <c r="O39">
        <v>2</v>
      </c>
      <c r="P39">
        <f t="shared" si="0"/>
        <v>24</v>
      </c>
    </row>
    <row r="40" spans="1:16" x14ac:dyDescent="0.25">
      <c r="A40" t="s">
        <v>4948</v>
      </c>
      <c r="B40">
        <v>1880</v>
      </c>
      <c r="C40" t="s">
        <v>6947</v>
      </c>
      <c r="H40" t="s">
        <v>4949</v>
      </c>
      <c r="P40">
        <f t="shared" si="0"/>
        <v>22</v>
      </c>
    </row>
    <row r="41" spans="1:16" x14ac:dyDescent="0.25">
      <c r="A41" t="s">
        <v>4950</v>
      </c>
      <c r="B41">
        <v>1880</v>
      </c>
      <c r="C41" t="s">
        <v>6948</v>
      </c>
      <c r="H41" t="s">
        <v>4949</v>
      </c>
      <c r="P41">
        <f t="shared" si="0"/>
        <v>22</v>
      </c>
    </row>
    <row r="42" spans="1:16" x14ac:dyDescent="0.25">
      <c r="A42" t="s">
        <v>4951</v>
      </c>
      <c r="B42">
        <v>1880</v>
      </c>
      <c r="C42" t="s">
        <v>6949</v>
      </c>
      <c r="H42" t="s">
        <v>4952</v>
      </c>
      <c r="M42" t="s">
        <v>28</v>
      </c>
      <c r="P42">
        <f t="shared" si="0"/>
        <v>21</v>
      </c>
    </row>
    <row r="43" spans="1:16" s="4" customFormat="1" x14ac:dyDescent="0.25">
      <c r="A43" s="4" t="s">
        <v>4953</v>
      </c>
      <c r="B43" s="4">
        <v>1880</v>
      </c>
      <c r="C43" s="4" t="s">
        <v>6950</v>
      </c>
      <c r="G43" s="4" t="s">
        <v>4943</v>
      </c>
      <c r="H43" s="4" t="s">
        <v>4877</v>
      </c>
      <c r="P43">
        <f t="shared" si="0"/>
        <v>48</v>
      </c>
    </row>
    <row r="44" spans="1:16" x14ac:dyDescent="0.25">
      <c r="A44" t="s">
        <v>4954</v>
      </c>
      <c r="B44">
        <v>1880</v>
      </c>
      <c r="C44" t="s">
        <v>6951</v>
      </c>
      <c r="D44" t="s">
        <v>4955</v>
      </c>
      <c r="H44" t="s">
        <v>4956</v>
      </c>
      <c r="P44">
        <f t="shared" si="0"/>
        <v>43</v>
      </c>
    </row>
    <row r="45" spans="1:16" x14ac:dyDescent="0.25">
      <c r="A45" t="s">
        <v>4957</v>
      </c>
      <c r="B45">
        <v>1880</v>
      </c>
      <c r="C45" t="s">
        <v>6952</v>
      </c>
      <c r="G45" t="s">
        <v>4958</v>
      </c>
      <c r="H45" t="s">
        <v>4959</v>
      </c>
      <c r="P45">
        <f t="shared" si="0"/>
        <v>52</v>
      </c>
    </row>
    <row r="46" spans="1:16" x14ac:dyDescent="0.25">
      <c r="A46" t="s">
        <v>4960</v>
      </c>
      <c r="B46">
        <v>1880</v>
      </c>
      <c r="C46" t="s">
        <v>6953</v>
      </c>
      <c r="H46" t="s">
        <v>4961</v>
      </c>
      <c r="I46" t="s">
        <v>28</v>
      </c>
      <c r="P46">
        <f t="shared" si="0"/>
        <v>23</v>
      </c>
    </row>
    <row r="47" spans="1:16" x14ac:dyDescent="0.25">
      <c r="A47" t="s">
        <v>4962</v>
      </c>
      <c r="B47">
        <v>1880</v>
      </c>
      <c r="C47" t="s">
        <v>6954</v>
      </c>
      <c r="H47" t="s">
        <v>4963</v>
      </c>
      <c r="M47" t="s">
        <v>28</v>
      </c>
      <c r="P47">
        <f t="shared" si="0"/>
        <v>23</v>
      </c>
    </row>
    <row r="48" spans="1:16" x14ac:dyDescent="0.25">
      <c r="A48" t="s">
        <v>4964</v>
      </c>
      <c r="B48">
        <v>1880</v>
      </c>
      <c r="C48" t="s">
        <v>6955</v>
      </c>
      <c r="H48" t="s">
        <v>4965</v>
      </c>
      <c r="N48" t="s">
        <v>28</v>
      </c>
      <c r="P48">
        <f t="shared" si="0"/>
        <v>25</v>
      </c>
    </row>
    <row r="49" spans="1:16" x14ac:dyDescent="0.25">
      <c r="A49" t="s">
        <v>4966</v>
      </c>
      <c r="B49">
        <v>1880</v>
      </c>
      <c r="C49" t="s">
        <v>6956</v>
      </c>
      <c r="H49" t="s">
        <v>4967</v>
      </c>
      <c r="M49" t="s">
        <v>28</v>
      </c>
      <c r="N49" t="s">
        <v>28</v>
      </c>
      <c r="P49">
        <f t="shared" si="0"/>
        <v>32</v>
      </c>
    </row>
    <row r="50" spans="1:16" x14ac:dyDescent="0.25">
      <c r="A50" t="s">
        <v>4968</v>
      </c>
      <c r="B50">
        <v>1880</v>
      </c>
      <c r="C50" t="s">
        <v>6957</v>
      </c>
      <c r="H50" t="s">
        <v>4915</v>
      </c>
      <c r="P50">
        <f t="shared" si="0"/>
        <v>24</v>
      </c>
    </row>
    <row r="51" spans="1:16" s="4" customFormat="1" x14ac:dyDescent="0.25">
      <c r="A51" s="4" t="s">
        <v>4969</v>
      </c>
      <c r="B51" s="4">
        <v>1880</v>
      </c>
      <c r="C51" s="4" t="s">
        <v>6958</v>
      </c>
      <c r="H51" s="4" t="s">
        <v>4970</v>
      </c>
      <c r="P51">
        <f t="shared" si="0"/>
        <v>21</v>
      </c>
    </row>
    <row r="52" spans="1:16" x14ac:dyDescent="0.25">
      <c r="A52" t="s">
        <v>4971</v>
      </c>
      <c r="B52">
        <v>1880</v>
      </c>
      <c r="C52" t="s">
        <v>6959</v>
      </c>
      <c r="G52" t="s">
        <v>4972</v>
      </c>
      <c r="H52" t="s">
        <v>4896</v>
      </c>
      <c r="P52">
        <f t="shared" si="0"/>
        <v>41</v>
      </c>
    </row>
    <row r="53" spans="1:16" x14ac:dyDescent="0.25">
      <c r="A53" t="s">
        <v>4973</v>
      </c>
      <c r="B53">
        <v>1880</v>
      </c>
      <c r="C53" t="s">
        <v>6960</v>
      </c>
      <c r="D53" t="s">
        <v>4974</v>
      </c>
      <c r="H53" t="s">
        <v>4975</v>
      </c>
      <c r="L53" t="s">
        <v>28</v>
      </c>
      <c r="P53">
        <f t="shared" si="0"/>
        <v>35</v>
      </c>
    </row>
    <row r="54" spans="1:16" x14ac:dyDescent="0.25">
      <c r="A54" t="s">
        <v>4976</v>
      </c>
      <c r="B54">
        <v>1880</v>
      </c>
      <c r="C54" t="s">
        <v>6961</v>
      </c>
      <c r="H54" t="s">
        <v>4977</v>
      </c>
      <c r="I54" t="s">
        <v>28</v>
      </c>
      <c r="P54">
        <f t="shared" si="0"/>
        <v>17</v>
      </c>
    </row>
    <row r="55" spans="1:16" x14ac:dyDescent="0.25">
      <c r="A55" t="s">
        <v>4978</v>
      </c>
      <c r="B55">
        <v>1880</v>
      </c>
      <c r="C55" t="s">
        <v>6962</v>
      </c>
      <c r="H55" t="s">
        <v>4979</v>
      </c>
      <c r="I55" t="s">
        <v>68</v>
      </c>
      <c r="O55">
        <v>4</v>
      </c>
      <c r="P55">
        <f t="shared" si="0"/>
        <v>22</v>
      </c>
    </row>
    <row r="56" spans="1:16" x14ac:dyDescent="0.25">
      <c r="A56" t="s">
        <v>4980</v>
      </c>
      <c r="B56">
        <v>1880</v>
      </c>
      <c r="C56" t="s">
        <v>6963</v>
      </c>
      <c r="H56" t="s">
        <v>4981</v>
      </c>
      <c r="P56">
        <f t="shared" si="0"/>
        <v>24</v>
      </c>
    </row>
    <row r="57" spans="1:16" x14ac:dyDescent="0.25">
      <c r="A57" t="s">
        <v>4982</v>
      </c>
      <c r="B57">
        <v>1880</v>
      </c>
      <c r="C57" t="s">
        <v>6964</v>
      </c>
      <c r="G57" t="s">
        <v>4983</v>
      </c>
      <c r="H57" t="s">
        <v>4984</v>
      </c>
      <c r="I57" t="s">
        <v>68</v>
      </c>
      <c r="M57" t="s">
        <v>28</v>
      </c>
      <c r="O57">
        <v>2</v>
      </c>
      <c r="P57">
        <f t="shared" si="0"/>
        <v>38</v>
      </c>
    </row>
    <row r="58" spans="1:16" x14ac:dyDescent="0.25">
      <c r="A58" t="s">
        <v>4985</v>
      </c>
      <c r="B58">
        <v>1880</v>
      </c>
      <c r="C58" t="s">
        <v>6965</v>
      </c>
      <c r="H58" t="s">
        <v>4986</v>
      </c>
      <c r="P58">
        <f t="shared" si="0"/>
        <v>23</v>
      </c>
    </row>
    <row r="59" spans="1:16" x14ac:dyDescent="0.25">
      <c r="A59" t="s">
        <v>4987</v>
      </c>
      <c r="B59">
        <v>1880</v>
      </c>
      <c r="C59" t="s">
        <v>6966</v>
      </c>
      <c r="H59" t="s">
        <v>4988</v>
      </c>
      <c r="L59" t="s">
        <v>28</v>
      </c>
      <c r="M59" t="s">
        <v>28</v>
      </c>
      <c r="N59" t="s">
        <v>28</v>
      </c>
      <c r="P59">
        <f t="shared" si="0"/>
        <v>28</v>
      </c>
    </row>
    <row r="60" spans="1:16" x14ac:dyDescent="0.25">
      <c r="A60" t="s">
        <v>4989</v>
      </c>
      <c r="B60">
        <v>1880</v>
      </c>
      <c r="C60" t="s">
        <v>6967</v>
      </c>
      <c r="H60" t="s">
        <v>4990</v>
      </c>
      <c r="P60">
        <f t="shared" si="0"/>
        <v>24</v>
      </c>
    </row>
    <row r="61" spans="1:16" x14ac:dyDescent="0.25">
      <c r="A61" t="s">
        <v>4991</v>
      </c>
      <c r="B61">
        <v>1880</v>
      </c>
      <c r="C61" t="s">
        <v>6968</v>
      </c>
      <c r="H61" t="s">
        <v>4992</v>
      </c>
      <c r="I61" t="s">
        <v>68</v>
      </c>
      <c r="O61">
        <v>2</v>
      </c>
      <c r="P61">
        <f t="shared" si="0"/>
        <v>23</v>
      </c>
    </row>
    <row r="62" spans="1:16" x14ac:dyDescent="0.25">
      <c r="A62" t="s">
        <v>4993</v>
      </c>
      <c r="B62">
        <v>1880</v>
      </c>
      <c r="C62" t="s">
        <v>6969</v>
      </c>
      <c r="H62" t="s">
        <v>4915</v>
      </c>
      <c r="P62">
        <f t="shared" si="0"/>
        <v>26</v>
      </c>
    </row>
    <row r="63" spans="1:16" x14ac:dyDescent="0.25">
      <c r="A63" t="s">
        <v>4994</v>
      </c>
      <c r="B63">
        <v>1880</v>
      </c>
      <c r="C63" t="s">
        <v>6970</v>
      </c>
      <c r="H63" t="s">
        <v>4995</v>
      </c>
      <c r="I63" t="s">
        <v>68</v>
      </c>
      <c r="O63">
        <v>4</v>
      </c>
      <c r="P63">
        <f t="shared" si="0"/>
        <v>32</v>
      </c>
    </row>
    <row r="64" spans="1:16" x14ac:dyDescent="0.25">
      <c r="A64" t="s">
        <v>4996</v>
      </c>
      <c r="B64">
        <v>1880</v>
      </c>
      <c r="C64" t="s">
        <v>6971</v>
      </c>
      <c r="H64" t="s">
        <v>4997</v>
      </c>
      <c r="I64" t="s">
        <v>28</v>
      </c>
      <c r="P64">
        <f t="shared" si="0"/>
        <v>19</v>
      </c>
    </row>
    <row r="65" spans="1:16" x14ac:dyDescent="0.25">
      <c r="A65" t="s">
        <v>4998</v>
      </c>
      <c r="B65">
        <v>1880</v>
      </c>
      <c r="C65" t="s">
        <v>6972</v>
      </c>
      <c r="G65" t="s">
        <v>4999</v>
      </c>
      <c r="H65" t="s">
        <v>4984</v>
      </c>
      <c r="M65" t="s">
        <v>28</v>
      </c>
      <c r="N65" t="s">
        <v>28</v>
      </c>
      <c r="P65">
        <f t="shared" si="0"/>
        <v>40</v>
      </c>
    </row>
    <row r="66" spans="1:16" x14ac:dyDescent="0.25">
      <c r="A66" t="s">
        <v>5000</v>
      </c>
      <c r="B66">
        <v>1882</v>
      </c>
      <c r="C66" t="s">
        <v>6973</v>
      </c>
      <c r="H66" t="s">
        <v>5001</v>
      </c>
      <c r="M66" t="s">
        <v>28</v>
      </c>
      <c r="N66" t="s">
        <v>68</v>
      </c>
      <c r="O66">
        <v>3</v>
      </c>
      <c r="P66">
        <f t="shared" ref="P66:P129" si="1">LEN(C66)+LEN(D66)+LEN(E66)+LEN(F66)+LEN(G66)+LEN(H66)</f>
        <v>20</v>
      </c>
    </row>
    <row r="67" spans="1:16" x14ac:dyDescent="0.25">
      <c r="A67" t="s">
        <v>5002</v>
      </c>
      <c r="B67">
        <v>1882</v>
      </c>
      <c r="C67" t="s">
        <v>6974</v>
      </c>
      <c r="H67" t="s">
        <v>5003</v>
      </c>
      <c r="M67" t="s">
        <v>28</v>
      </c>
      <c r="P67">
        <f t="shared" si="1"/>
        <v>26</v>
      </c>
    </row>
    <row r="68" spans="1:16" x14ac:dyDescent="0.25">
      <c r="A68" t="s">
        <v>5004</v>
      </c>
      <c r="B68">
        <v>1882</v>
      </c>
      <c r="C68" t="s">
        <v>6975</v>
      </c>
      <c r="H68" t="s">
        <v>4915</v>
      </c>
      <c r="I68" t="s">
        <v>68</v>
      </c>
      <c r="O68">
        <v>2</v>
      </c>
      <c r="P68">
        <f t="shared" si="1"/>
        <v>23</v>
      </c>
    </row>
    <row r="69" spans="1:16" s="4" customFormat="1" x14ac:dyDescent="0.25">
      <c r="A69" s="4" t="s">
        <v>5005</v>
      </c>
      <c r="B69" s="4">
        <v>1882</v>
      </c>
      <c r="C69" s="4" t="s">
        <v>6976</v>
      </c>
      <c r="H69" s="4" t="s">
        <v>4877</v>
      </c>
      <c r="P69">
        <f t="shared" si="1"/>
        <v>21</v>
      </c>
    </row>
    <row r="70" spans="1:16" x14ac:dyDescent="0.25">
      <c r="A70" t="s">
        <v>5006</v>
      </c>
      <c r="B70">
        <v>1882</v>
      </c>
      <c r="C70" t="s">
        <v>6977</v>
      </c>
      <c r="H70" t="s">
        <v>4915</v>
      </c>
      <c r="P70">
        <f t="shared" si="1"/>
        <v>25</v>
      </c>
    </row>
    <row r="71" spans="1:16" x14ac:dyDescent="0.25">
      <c r="A71" t="s">
        <v>5007</v>
      </c>
      <c r="B71">
        <v>1882</v>
      </c>
      <c r="C71" t="s">
        <v>6978</v>
      </c>
      <c r="H71" t="s">
        <v>4949</v>
      </c>
      <c r="P71">
        <f t="shared" si="1"/>
        <v>22</v>
      </c>
    </row>
    <row r="72" spans="1:16" x14ac:dyDescent="0.25">
      <c r="A72" t="s">
        <v>5008</v>
      </c>
      <c r="B72">
        <v>1882</v>
      </c>
      <c r="C72" t="s">
        <v>6979</v>
      </c>
      <c r="H72" t="s">
        <v>5009</v>
      </c>
      <c r="M72" t="s">
        <v>28</v>
      </c>
      <c r="P72">
        <f t="shared" si="1"/>
        <v>17</v>
      </c>
    </row>
    <row r="73" spans="1:16" x14ac:dyDescent="0.25">
      <c r="A73" t="s">
        <v>5010</v>
      </c>
      <c r="B73">
        <v>1882</v>
      </c>
      <c r="C73" t="s">
        <v>6980</v>
      </c>
      <c r="H73" t="s">
        <v>5011</v>
      </c>
      <c r="N73" t="s">
        <v>28</v>
      </c>
      <c r="P73">
        <f t="shared" si="1"/>
        <v>27</v>
      </c>
    </row>
    <row r="74" spans="1:16" x14ac:dyDescent="0.25">
      <c r="A74" t="s">
        <v>5012</v>
      </c>
      <c r="B74">
        <v>1882</v>
      </c>
      <c r="C74" t="s">
        <v>6981</v>
      </c>
      <c r="H74" t="s">
        <v>5013</v>
      </c>
      <c r="M74" t="s">
        <v>28</v>
      </c>
      <c r="N74" t="s">
        <v>28</v>
      </c>
      <c r="P74">
        <f t="shared" si="1"/>
        <v>22</v>
      </c>
    </row>
    <row r="75" spans="1:16" x14ac:dyDescent="0.25">
      <c r="A75" t="s">
        <v>5014</v>
      </c>
      <c r="B75">
        <v>1882</v>
      </c>
      <c r="C75" t="s">
        <v>6982</v>
      </c>
      <c r="H75" t="s">
        <v>4990</v>
      </c>
      <c r="I75" t="s">
        <v>28</v>
      </c>
      <c r="P75">
        <f t="shared" si="1"/>
        <v>22</v>
      </c>
    </row>
    <row r="76" spans="1:16" x14ac:dyDescent="0.25">
      <c r="A76" t="s">
        <v>5015</v>
      </c>
      <c r="B76">
        <v>1882</v>
      </c>
      <c r="C76" t="s">
        <v>6983</v>
      </c>
      <c r="H76" t="s">
        <v>5016</v>
      </c>
      <c r="M76" t="s">
        <v>28</v>
      </c>
      <c r="P76">
        <f t="shared" si="1"/>
        <v>21</v>
      </c>
    </row>
    <row r="77" spans="1:16" x14ac:dyDescent="0.25">
      <c r="A77" t="s">
        <v>5017</v>
      </c>
      <c r="B77">
        <v>1882</v>
      </c>
      <c r="C77" t="s">
        <v>6984</v>
      </c>
      <c r="H77" t="s">
        <v>5018</v>
      </c>
      <c r="M77" t="s">
        <v>28</v>
      </c>
      <c r="P77">
        <f t="shared" si="1"/>
        <v>28</v>
      </c>
    </row>
    <row r="78" spans="1:16" x14ac:dyDescent="0.25">
      <c r="A78" t="s">
        <v>5019</v>
      </c>
      <c r="B78">
        <v>1882</v>
      </c>
      <c r="C78" t="s">
        <v>6985</v>
      </c>
      <c r="H78" t="s">
        <v>5020</v>
      </c>
      <c r="P78">
        <f t="shared" si="1"/>
        <v>25</v>
      </c>
    </row>
    <row r="79" spans="1:16" x14ac:dyDescent="0.25">
      <c r="A79" t="s">
        <v>5021</v>
      </c>
      <c r="B79">
        <v>1882</v>
      </c>
      <c r="C79" t="s">
        <v>6986</v>
      </c>
      <c r="H79" t="s">
        <v>5022</v>
      </c>
      <c r="I79" t="s">
        <v>68</v>
      </c>
      <c r="M79" t="s">
        <v>28</v>
      </c>
      <c r="O79">
        <v>2</v>
      </c>
      <c r="P79">
        <f t="shared" si="1"/>
        <v>20</v>
      </c>
    </row>
    <row r="80" spans="1:16" s="4" customFormat="1" x14ac:dyDescent="0.25">
      <c r="A80" s="4" t="s">
        <v>5023</v>
      </c>
      <c r="B80" s="4">
        <v>1882</v>
      </c>
      <c r="C80" s="4" t="s">
        <v>6987</v>
      </c>
      <c r="H80" s="4" t="s">
        <v>5024</v>
      </c>
      <c r="P80">
        <f t="shared" si="1"/>
        <v>21</v>
      </c>
    </row>
    <row r="81" spans="1:16" x14ac:dyDescent="0.25">
      <c r="A81" t="s">
        <v>5025</v>
      </c>
      <c r="B81">
        <v>1882</v>
      </c>
      <c r="C81" t="s">
        <v>6988</v>
      </c>
      <c r="H81" t="s">
        <v>5026</v>
      </c>
      <c r="I81" t="s">
        <v>68</v>
      </c>
      <c r="O81">
        <v>3</v>
      </c>
      <c r="P81">
        <f t="shared" si="1"/>
        <v>27</v>
      </c>
    </row>
    <row r="82" spans="1:16" x14ac:dyDescent="0.25">
      <c r="A82" t="s">
        <v>5027</v>
      </c>
      <c r="B82">
        <v>1882</v>
      </c>
      <c r="C82" t="s">
        <v>6989</v>
      </c>
      <c r="H82" t="s">
        <v>4877</v>
      </c>
      <c r="I82" t="s">
        <v>68</v>
      </c>
      <c r="O82">
        <v>3</v>
      </c>
      <c r="P82">
        <f t="shared" si="1"/>
        <v>22</v>
      </c>
    </row>
    <row r="83" spans="1:16" s="4" customFormat="1" x14ac:dyDescent="0.25">
      <c r="A83" s="4" t="s">
        <v>5028</v>
      </c>
      <c r="B83" s="4">
        <v>1882</v>
      </c>
      <c r="C83" s="4" t="s">
        <v>6990</v>
      </c>
      <c r="H83" s="4" t="s">
        <v>4877</v>
      </c>
      <c r="P83">
        <f t="shared" si="1"/>
        <v>22</v>
      </c>
    </row>
    <row r="84" spans="1:16" x14ac:dyDescent="0.25">
      <c r="A84" t="s">
        <v>5029</v>
      </c>
      <c r="B84">
        <v>1882</v>
      </c>
      <c r="C84" t="s">
        <v>6991</v>
      </c>
      <c r="H84" t="s">
        <v>5030</v>
      </c>
      <c r="I84" t="s">
        <v>28</v>
      </c>
      <c r="P84">
        <f t="shared" si="1"/>
        <v>26</v>
      </c>
    </row>
    <row r="85" spans="1:16" x14ac:dyDescent="0.25">
      <c r="A85" t="s">
        <v>5031</v>
      </c>
      <c r="B85">
        <v>1882</v>
      </c>
      <c r="C85" t="s">
        <v>6992</v>
      </c>
      <c r="H85" t="s">
        <v>4877</v>
      </c>
      <c r="I85" t="s">
        <v>68</v>
      </c>
      <c r="O85">
        <v>2</v>
      </c>
      <c r="P85">
        <f t="shared" si="1"/>
        <v>24</v>
      </c>
    </row>
    <row r="86" spans="1:16" x14ac:dyDescent="0.25">
      <c r="A86" t="s">
        <v>5032</v>
      </c>
      <c r="B86">
        <v>1882</v>
      </c>
      <c r="C86" t="s">
        <v>6993</v>
      </c>
      <c r="H86" t="s">
        <v>5033</v>
      </c>
      <c r="P86">
        <f t="shared" si="1"/>
        <v>21</v>
      </c>
    </row>
    <row r="87" spans="1:16" x14ac:dyDescent="0.25">
      <c r="A87" t="s">
        <v>5034</v>
      </c>
      <c r="B87">
        <v>1882</v>
      </c>
      <c r="C87" t="s">
        <v>6994</v>
      </c>
      <c r="H87" t="s">
        <v>4949</v>
      </c>
      <c r="I87" t="s">
        <v>68</v>
      </c>
      <c r="O87">
        <v>2</v>
      </c>
      <c r="P87">
        <f t="shared" si="1"/>
        <v>23</v>
      </c>
    </row>
    <row r="88" spans="1:16" x14ac:dyDescent="0.25">
      <c r="A88" t="s">
        <v>5035</v>
      </c>
      <c r="B88">
        <v>1882</v>
      </c>
      <c r="C88" t="s">
        <v>6995</v>
      </c>
      <c r="H88" t="s">
        <v>5036</v>
      </c>
      <c r="I88" t="s">
        <v>68</v>
      </c>
      <c r="O88">
        <v>3</v>
      </c>
      <c r="P88">
        <f t="shared" si="1"/>
        <v>23</v>
      </c>
    </row>
    <row r="89" spans="1:16" x14ac:dyDescent="0.25">
      <c r="A89" t="s">
        <v>5035</v>
      </c>
      <c r="B89">
        <v>1882</v>
      </c>
      <c r="C89" t="s">
        <v>6995</v>
      </c>
      <c r="H89" t="s">
        <v>5036</v>
      </c>
      <c r="I89" t="s">
        <v>68</v>
      </c>
      <c r="O89">
        <v>3</v>
      </c>
      <c r="P89">
        <f t="shared" si="1"/>
        <v>23</v>
      </c>
    </row>
    <row r="90" spans="1:16" x14ac:dyDescent="0.25">
      <c r="A90" t="s">
        <v>5037</v>
      </c>
      <c r="B90">
        <v>1882</v>
      </c>
      <c r="C90" t="s">
        <v>6996</v>
      </c>
      <c r="H90" t="s">
        <v>5038</v>
      </c>
      <c r="I90" t="s">
        <v>68</v>
      </c>
      <c r="M90" t="s">
        <v>28</v>
      </c>
      <c r="N90" t="s">
        <v>28</v>
      </c>
      <c r="O90">
        <v>2</v>
      </c>
      <c r="P90">
        <f t="shared" si="1"/>
        <v>21</v>
      </c>
    </row>
    <row r="91" spans="1:16" x14ac:dyDescent="0.25">
      <c r="A91" t="s">
        <v>5039</v>
      </c>
      <c r="B91">
        <v>1882</v>
      </c>
      <c r="C91" t="s">
        <v>6997</v>
      </c>
      <c r="H91" t="s">
        <v>5040</v>
      </c>
      <c r="I91" t="s">
        <v>68</v>
      </c>
      <c r="O91">
        <v>3</v>
      </c>
      <c r="P91">
        <f t="shared" si="1"/>
        <v>24</v>
      </c>
    </row>
    <row r="92" spans="1:16" x14ac:dyDescent="0.25">
      <c r="A92" t="s">
        <v>5041</v>
      </c>
      <c r="B92">
        <v>1882</v>
      </c>
      <c r="C92" t="s">
        <v>6998</v>
      </c>
      <c r="H92" t="s">
        <v>5042</v>
      </c>
      <c r="I92" t="s">
        <v>68</v>
      </c>
      <c r="M92" t="s">
        <v>28</v>
      </c>
      <c r="O92">
        <v>4</v>
      </c>
      <c r="P92">
        <f t="shared" si="1"/>
        <v>21</v>
      </c>
    </row>
    <row r="93" spans="1:16" x14ac:dyDescent="0.25">
      <c r="A93" t="s">
        <v>5043</v>
      </c>
      <c r="B93">
        <v>1882</v>
      </c>
      <c r="C93" t="s">
        <v>6999</v>
      </c>
      <c r="H93" t="s">
        <v>5044</v>
      </c>
      <c r="P93">
        <f t="shared" si="1"/>
        <v>22</v>
      </c>
    </row>
    <row r="94" spans="1:16" x14ac:dyDescent="0.25">
      <c r="A94" t="s">
        <v>5045</v>
      </c>
      <c r="B94">
        <v>1882</v>
      </c>
      <c r="C94" t="s">
        <v>7000</v>
      </c>
      <c r="H94" t="s">
        <v>5046</v>
      </c>
      <c r="P94">
        <f t="shared" si="1"/>
        <v>26</v>
      </c>
    </row>
    <row r="95" spans="1:16" x14ac:dyDescent="0.25">
      <c r="A95" t="s">
        <v>5047</v>
      </c>
      <c r="B95">
        <v>1882</v>
      </c>
      <c r="C95" t="s">
        <v>7001</v>
      </c>
      <c r="H95" t="s">
        <v>4990</v>
      </c>
      <c r="I95" t="s">
        <v>68</v>
      </c>
      <c r="O95">
        <v>2</v>
      </c>
      <c r="P95">
        <f t="shared" si="1"/>
        <v>24</v>
      </c>
    </row>
    <row r="96" spans="1:16" x14ac:dyDescent="0.25">
      <c r="A96" t="s">
        <v>5048</v>
      </c>
      <c r="B96">
        <v>1882</v>
      </c>
      <c r="C96" t="s">
        <v>7002</v>
      </c>
      <c r="H96" t="s">
        <v>5049</v>
      </c>
      <c r="I96" t="s">
        <v>28</v>
      </c>
      <c r="M96" t="s">
        <v>28</v>
      </c>
      <c r="P96">
        <f t="shared" si="1"/>
        <v>23</v>
      </c>
    </row>
    <row r="97" spans="1:16" x14ac:dyDescent="0.25">
      <c r="A97" t="s">
        <v>5048</v>
      </c>
      <c r="B97">
        <v>1882</v>
      </c>
      <c r="C97" t="s">
        <v>7002</v>
      </c>
      <c r="H97" t="s">
        <v>5049</v>
      </c>
      <c r="I97" t="s">
        <v>28</v>
      </c>
      <c r="M97" t="s">
        <v>28</v>
      </c>
      <c r="P97">
        <f t="shared" si="1"/>
        <v>23</v>
      </c>
    </row>
    <row r="98" spans="1:16" x14ac:dyDescent="0.25">
      <c r="A98" t="s">
        <v>5050</v>
      </c>
      <c r="B98">
        <v>1882</v>
      </c>
      <c r="C98" t="s">
        <v>7003</v>
      </c>
      <c r="H98" t="s">
        <v>4952</v>
      </c>
      <c r="I98" t="s">
        <v>68</v>
      </c>
      <c r="M98" t="s">
        <v>28</v>
      </c>
      <c r="O98">
        <v>2</v>
      </c>
      <c r="P98">
        <f t="shared" si="1"/>
        <v>24</v>
      </c>
    </row>
    <row r="99" spans="1:16" x14ac:dyDescent="0.25">
      <c r="A99" t="s">
        <v>5051</v>
      </c>
      <c r="B99">
        <v>1882</v>
      </c>
      <c r="C99" t="s">
        <v>7004</v>
      </c>
      <c r="H99" t="s">
        <v>5052</v>
      </c>
      <c r="P99">
        <f t="shared" si="1"/>
        <v>28</v>
      </c>
    </row>
    <row r="100" spans="1:16" x14ac:dyDescent="0.25">
      <c r="A100" t="s">
        <v>5053</v>
      </c>
      <c r="B100">
        <v>1884</v>
      </c>
      <c r="C100" t="s">
        <v>7005</v>
      </c>
      <c r="H100" t="s">
        <v>5020</v>
      </c>
      <c r="P100">
        <f t="shared" si="1"/>
        <v>25</v>
      </c>
    </row>
    <row r="101" spans="1:16" x14ac:dyDescent="0.25">
      <c r="A101" t="s">
        <v>5054</v>
      </c>
      <c r="B101">
        <v>1884</v>
      </c>
      <c r="C101" t="s">
        <v>7006</v>
      </c>
      <c r="H101" t="s">
        <v>5055</v>
      </c>
      <c r="I101" t="s">
        <v>68</v>
      </c>
      <c r="O101">
        <v>1</v>
      </c>
      <c r="P101">
        <f t="shared" si="1"/>
        <v>27</v>
      </c>
    </row>
    <row r="102" spans="1:16" x14ac:dyDescent="0.25">
      <c r="A102" t="s">
        <v>5056</v>
      </c>
      <c r="B102">
        <v>1884</v>
      </c>
      <c r="C102" t="s">
        <v>7007</v>
      </c>
      <c r="H102" t="s">
        <v>5057</v>
      </c>
      <c r="P102">
        <f t="shared" si="1"/>
        <v>23</v>
      </c>
    </row>
    <row r="103" spans="1:16" x14ac:dyDescent="0.25">
      <c r="A103" t="s">
        <v>5058</v>
      </c>
      <c r="B103">
        <v>1884</v>
      </c>
      <c r="C103" t="s">
        <v>7008</v>
      </c>
      <c r="H103" t="s">
        <v>4949</v>
      </c>
      <c r="P103">
        <f t="shared" si="1"/>
        <v>22</v>
      </c>
    </row>
    <row r="104" spans="1:16" x14ac:dyDescent="0.25">
      <c r="A104" t="s">
        <v>5059</v>
      </c>
      <c r="B104">
        <v>1884</v>
      </c>
      <c r="C104" t="s">
        <v>7009</v>
      </c>
      <c r="H104" t="s">
        <v>4915</v>
      </c>
      <c r="P104">
        <f t="shared" si="1"/>
        <v>25</v>
      </c>
    </row>
    <row r="105" spans="1:16" x14ac:dyDescent="0.25">
      <c r="A105" t="s">
        <v>5060</v>
      </c>
      <c r="B105">
        <v>1884</v>
      </c>
      <c r="C105" t="s">
        <v>7010</v>
      </c>
      <c r="H105" t="s">
        <v>5061</v>
      </c>
      <c r="M105" t="s">
        <v>28</v>
      </c>
      <c r="N105" t="s">
        <v>28</v>
      </c>
      <c r="P105">
        <f t="shared" si="1"/>
        <v>31</v>
      </c>
    </row>
    <row r="106" spans="1:16" x14ac:dyDescent="0.25">
      <c r="A106" t="s">
        <v>5062</v>
      </c>
      <c r="B106">
        <v>1884</v>
      </c>
      <c r="C106" t="s">
        <v>7011</v>
      </c>
      <c r="H106" t="s">
        <v>5063</v>
      </c>
      <c r="J106" t="s">
        <v>28</v>
      </c>
      <c r="P106">
        <f t="shared" si="1"/>
        <v>25</v>
      </c>
    </row>
    <row r="107" spans="1:16" x14ac:dyDescent="0.25">
      <c r="A107" t="s">
        <v>5064</v>
      </c>
      <c r="B107">
        <v>1884</v>
      </c>
      <c r="C107" t="s">
        <v>7012</v>
      </c>
      <c r="H107" t="s">
        <v>4949</v>
      </c>
      <c r="I107" t="s">
        <v>68</v>
      </c>
      <c r="O107">
        <v>2</v>
      </c>
      <c r="P107">
        <f t="shared" si="1"/>
        <v>24</v>
      </c>
    </row>
    <row r="108" spans="1:16" s="4" customFormat="1" x14ac:dyDescent="0.25">
      <c r="A108" s="4" t="s">
        <v>5065</v>
      </c>
      <c r="B108" s="4">
        <v>1884</v>
      </c>
      <c r="C108" s="4" t="s">
        <v>7013</v>
      </c>
      <c r="H108" s="4" t="s">
        <v>4877</v>
      </c>
      <c r="P108">
        <f t="shared" si="1"/>
        <v>22</v>
      </c>
    </row>
    <row r="109" spans="1:16" x14ac:dyDescent="0.25">
      <c r="A109" t="s">
        <v>5066</v>
      </c>
      <c r="B109">
        <v>1884</v>
      </c>
      <c r="C109" t="s">
        <v>7014</v>
      </c>
      <c r="G109" t="s">
        <v>5067</v>
      </c>
      <c r="H109" t="s">
        <v>5068</v>
      </c>
      <c r="P109">
        <f t="shared" si="1"/>
        <v>41</v>
      </c>
    </row>
    <row r="110" spans="1:16" x14ac:dyDescent="0.25">
      <c r="A110" t="s">
        <v>5069</v>
      </c>
      <c r="B110">
        <v>1884</v>
      </c>
      <c r="C110" t="s">
        <v>7015</v>
      </c>
      <c r="H110" t="s">
        <v>4877</v>
      </c>
      <c r="P110">
        <f t="shared" si="1"/>
        <v>22</v>
      </c>
    </row>
    <row r="111" spans="1:16" x14ac:dyDescent="0.25">
      <c r="A111" t="s">
        <v>5070</v>
      </c>
      <c r="B111">
        <v>1884</v>
      </c>
      <c r="C111" t="s">
        <v>7016</v>
      </c>
      <c r="H111" t="s">
        <v>5071</v>
      </c>
      <c r="M111" t="s">
        <v>28</v>
      </c>
      <c r="P111">
        <f t="shared" si="1"/>
        <v>21</v>
      </c>
    </row>
    <row r="112" spans="1:16" x14ac:dyDescent="0.25">
      <c r="A112" t="s">
        <v>5072</v>
      </c>
      <c r="B112">
        <v>1884</v>
      </c>
      <c r="C112" t="s">
        <v>7017</v>
      </c>
      <c r="H112" t="s">
        <v>4915</v>
      </c>
      <c r="P112">
        <f t="shared" si="1"/>
        <v>27</v>
      </c>
    </row>
    <row r="113" spans="1:16" x14ac:dyDescent="0.25">
      <c r="A113" t="s">
        <v>5073</v>
      </c>
      <c r="B113">
        <v>1884</v>
      </c>
      <c r="C113" t="s">
        <v>7018</v>
      </c>
      <c r="G113" t="s">
        <v>4983</v>
      </c>
      <c r="H113" t="s">
        <v>4984</v>
      </c>
      <c r="I113" t="s">
        <v>68</v>
      </c>
      <c r="O113">
        <v>2</v>
      </c>
      <c r="P113">
        <f t="shared" si="1"/>
        <v>40</v>
      </c>
    </row>
    <row r="114" spans="1:16" x14ac:dyDescent="0.25">
      <c r="A114" t="s">
        <v>5074</v>
      </c>
      <c r="B114">
        <v>1884</v>
      </c>
      <c r="C114" t="s">
        <v>7019</v>
      </c>
      <c r="H114" t="s">
        <v>4877</v>
      </c>
      <c r="P114">
        <f t="shared" si="1"/>
        <v>24</v>
      </c>
    </row>
    <row r="115" spans="1:16" x14ac:dyDescent="0.25">
      <c r="A115" t="s">
        <v>5075</v>
      </c>
      <c r="B115">
        <v>1884</v>
      </c>
      <c r="C115" t="s">
        <v>7020</v>
      </c>
      <c r="H115" t="s">
        <v>5076</v>
      </c>
      <c r="P115">
        <f t="shared" si="1"/>
        <v>26</v>
      </c>
    </row>
    <row r="116" spans="1:16" x14ac:dyDescent="0.25">
      <c r="A116" t="s">
        <v>5077</v>
      </c>
      <c r="B116">
        <v>1884</v>
      </c>
      <c r="C116" t="s">
        <v>7021</v>
      </c>
      <c r="H116" t="s">
        <v>5078</v>
      </c>
      <c r="I116" t="s">
        <v>68</v>
      </c>
      <c r="O116">
        <v>2</v>
      </c>
      <c r="P116">
        <f t="shared" si="1"/>
        <v>26</v>
      </c>
    </row>
    <row r="117" spans="1:16" x14ac:dyDescent="0.25">
      <c r="A117" t="s">
        <v>5079</v>
      </c>
      <c r="B117">
        <v>1884</v>
      </c>
      <c r="C117" t="s">
        <v>7022</v>
      </c>
      <c r="H117" t="s">
        <v>5080</v>
      </c>
      <c r="I117" t="s">
        <v>68</v>
      </c>
      <c r="O117">
        <v>3</v>
      </c>
      <c r="P117">
        <f t="shared" si="1"/>
        <v>23</v>
      </c>
    </row>
    <row r="118" spans="1:16" x14ac:dyDescent="0.25">
      <c r="A118" t="s">
        <v>5081</v>
      </c>
      <c r="B118">
        <v>1884</v>
      </c>
      <c r="C118" t="s">
        <v>7023</v>
      </c>
      <c r="H118" t="s">
        <v>3086</v>
      </c>
      <c r="M118" t="s">
        <v>28</v>
      </c>
      <c r="P118">
        <f t="shared" si="1"/>
        <v>19</v>
      </c>
    </row>
    <row r="119" spans="1:16" x14ac:dyDescent="0.25">
      <c r="A119" t="s">
        <v>5082</v>
      </c>
      <c r="B119">
        <v>1884</v>
      </c>
      <c r="C119" t="s">
        <v>7024</v>
      </c>
      <c r="H119" t="s">
        <v>5083</v>
      </c>
      <c r="I119" t="s">
        <v>68</v>
      </c>
      <c r="M119" t="s">
        <v>28</v>
      </c>
      <c r="O119">
        <v>3</v>
      </c>
      <c r="P119">
        <f t="shared" si="1"/>
        <v>24</v>
      </c>
    </row>
    <row r="120" spans="1:16" x14ac:dyDescent="0.25">
      <c r="A120" t="s">
        <v>5084</v>
      </c>
      <c r="B120">
        <v>1884</v>
      </c>
      <c r="C120" t="s">
        <v>7025</v>
      </c>
      <c r="H120" t="s">
        <v>4949</v>
      </c>
      <c r="P120">
        <f t="shared" si="1"/>
        <v>24</v>
      </c>
    </row>
    <row r="121" spans="1:16" x14ac:dyDescent="0.25">
      <c r="A121" t="s">
        <v>5085</v>
      </c>
      <c r="B121">
        <v>1884</v>
      </c>
      <c r="C121" t="s">
        <v>7026</v>
      </c>
      <c r="H121" t="s">
        <v>5086</v>
      </c>
      <c r="P121">
        <f t="shared" si="1"/>
        <v>26</v>
      </c>
    </row>
    <row r="122" spans="1:16" x14ac:dyDescent="0.25">
      <c r="A122" t="s">
        <v>5087</v>
      </c>
      <c r="B122">
        <v>1884</v>
      </c>
      <c r="C122" t="s">
        <v>7027</v>
      </c>
      <c r="H122" t="s">
        <v>5088</v>
      </c>
      <c r="I122" t="s">
        <v>68</v>
      </c>
      <c r="M122" t="s">
        <v>28</v>
      </c>
      <c r="N122" t="s">
        <v>68</v>
      </c>
      <c r="O122">
        <v>7</v>
      </c>
      <c r="P122">
        <f t="shared" si="1"/>
        <v>26</v>
      </c>
    </row>
    <row r="123" spans="1:16" x14ac:dyDescent="0.25">
      <c r="A123" t="s">
        <v>5089</v>
      </c>
      <c r="B123">
        <v>1884</v>
      </c>
      <c r="C123" t="s">
        <v>7028</v>
      </c>
      <c r="H123" t="s">
        <v>5090</v>
      </c>
      <c r="M123" t="s">
        <v>28</v>
      </c>
      <c r="N123" t="s">
        <v>28</v>
      </c>
      <c r="P123">
        <f t="shared" si="1"/>
        <v>23</v>
      </c>
    </row>
    <row r="124" spans="1:16" x14ac:dyDescent="0.25">
      <c r="A124" t="s">
        <v>5091</v>
      </c>
      <c r="B124">
        <v>1884</v>
      </c>
      <c r="C124" t="s">
        <v>7029</v>
      </c>
      <c r="H124" t="s">
        <v>5092</v>
      </c>
      <c r="I124" t="s">
        <v>68</v>
      </c>
      <c r="O124">
        <v>2</v>
      </c>
      <c r="P124">
        <f t="shared" si="1"/>
        <v>20</v>
      </c>
    </row>
    <row r="125" spans="1:16" x14ac:dyDescent="0.25">
      <c r="A125" t="s">
        <v>5093</v>
      </c>
      <c r="B125">
        <v>1884</v>
      </c>
      <c r="C125" t="s">
        <v>7030</v>
      </c>
      <c r="H125" t="s">
        <v>5094</v>
      </c>
      <c r="P125">
        <f t="shared" si="1"/>
        <v>21</v>
      </c>
    </row>
    <row r="126" spans="1:16" x14ac:dyDescent="0.25">
      <c r="A126" t="s">
        <v>5095</v>
      </c>
      <c r="B126">
        <v>1884</v>
      </c>
      <c r="C126" t="s">
        <v>7031</v>
      </c>
      <c r="G126" t="s">
        <v>3930</v>
      </c>
      <c r="H126" t="s">
        <v>5096</v>
      </c>
      <c r="L126" t="s">
        <v>28</v>
      </c>
      <c r="P126">
        <f t="shared" si="1"/>
        <v>30</v>
      </c>
    </row>
    <row r="127" spans="1:16" x14ac:dyDescent="0.25">
      <c r="A127" t="s">
        <v>5097</v>
      </c>
      <c r="B127">
        <v>1884</v>
      </c>
      <c r="C127" t="s">
        <v>7032</v>
      </c>
      <c r="H127" t="s">
        <v>5090</v>
      </c>
      <c r="I127" t="s">
        <v>68</v>
      </c>
      <c r="O127">
        <v>3</v>
      </c>
      <c r="P127">
        <f t="shared" si="1"/>
        <v>18</v>
      </c>
    </row>
    <row r="128" spans="1:16" x14ac:dyDescent="0.25">
      <c r="A128" t="s">
        <v>5098</v>
      </c>
      <c r="B128">
        <v>1884</v>
      </c>
      <c r="C128" t="s">
        <v>7033</v>
      </c>
      <c r="H128" t="s">
        <v>3688</v>
      </c>
      <c r="I128" t="s">
        <v>28</v>
      </c>
      <c r="P128">
        <f t="shared" si="1"/>
        <v>17</v>
      </c>
    </row>
    <row r="129" spans="1:16" x14ac:dyDescent="0.25">
      <c r="A129" t="s">
        <v>5099</v>
      </c>
      <c r="B129">
        <v>1884</v>
      </c>
      <c r="C129" t="s">
        <v>7034</v>
      </c>
      <c r="H129" t="s">
        <v>5100</v>
      </c>
      <c r="N129" t="s">
        <v>28</v>
      </c>
      <c r="P129">
        <f t="shared" si="1"/>
        <v>22</v>
      </c>
    </row>
    <row r="130" spans="1:16" x14ac:dyDescent="0.25">
      <c r="A130" t="s">
        <v>5101</v>
      </c>
      <c r="B130">
        <v>1884</v>
      </c>
      <c r="C130" t="s">
        <v>7035</v>
      </c>
      <c r="H130" t="s">
        <v>5102</v>
      </c>
      <c r="P130">
        <f t="shared" ref="P130:P193" si="2">LEN(C130)+LEN(D130)+LEN(E130)+LEN(F130)+LEN(G130)+LEN(H130)</f>
        <v>22</v>
      </c>
    </row>
    <row r="131" spans="1:16" x14ac:dyDescent="0.25">
      <c r="A131" t="s">
        <v>5103</v>
      </c>
      <c r="B131">
        <v>1884</v>
      </c>
      <c r="C131" t="s">
        <v>7036</v>
      </c>
      <c r="H131" t="s">
        <v>5104</v>
      </c>
      <c r="P131">
        <f t="shared" si="2"/>
        <v>20</v>
      </c>
    </row>
    <row r="132" spans="1:16" x14ac:dyDescent="0.25">
      <c r="A132" t="s">
        <v>5105</v>
      </c>
      <c r="B132">
        <v>1884</v>
      </c>
      <c r="C132" t="s">
        <v>7037</v>
      </c>
      <c r="H132" t="s">
        <v>5106</v>
      </c>
      <c r="M132" t="s">
        <v>28</v>
      </c>
      <c r="P132">
        <f t="shared" si="2"/>
        <v>22</v>
      </c>
    </row>
    <row r="133" spans="1:16" x14ac:dyDescent="0.25">
      <c r="A133" t="s">
        <v>5107</v>
      </c>
      <c r="B133">
        <v>1884</v>
      </c>
      <c r="C133" t="s">
        <v>7038</v>
      </c>
      <c r="H133" t="s">
        <v>5108</v>
      </c>
      <c r="I133" t="s">
        <v>68</v>
      </c>
      <c r="O133">
        <v>3</v>
      </c>
      <c r="P133">
        <f t="shared" si="2"/>
        <v>22</v>
      </c>
    </row>
    <row r="134" spans="1:16" x14ac:dyDescent="0.25">
      <c r="A134" t="s">
        <v>5109</v>
      </c>
      <c r="B134">
        <v>1884</v>
      </c>
      <c r="C134" t="s">
        <v>7039</v>
      </c>
      <c r="H134" t="s">
        <v>5110</v>
      </c>
      <c r="N134" t="s">
        <v>28</v>
      </c>
      <c r="P134">
        <f t="shared" si="2"/>
        <v>32</v>
      </c>
    </row>
    <row r="135" spans="1:16" x14ac:dyDescent="0.25">
      <c r="A135" t="s">
        <v>5111</v>
      </c>
      <c r="B135">
        <v>1884</v>
      </c>
      <c r="C135" t="s">
        <v>7040</v>
      </c>
      <c r="H135" t="s">
        <v>5112</v>
      </c>
      <c r="M135" t="s">
        <v>28</v>
      </c>
      <c r="P135">
        <f t="shared" si="2"/>
        <v>23</v>
      </c>
    </row>
    <row r="136" spans="1:16" x14ac:dyDescent="0.25">
      <c r="A136" t="s">
        <v>5113</v>
      </c>
      <c r="B136">
        <v>1884</v>
      </c>
      <c r="C136" t="s">
        <v>7041</v>
      </c>
      <c r="H136" t="s">
        <v>4877</v>
      </c>
      <c r="P136">
        <f t="shared" si="2"/>
        <v>24</v>
      </c>
    </row>
    <row r="137" spans="1:16" x14ac:dyDescent="0.25">
      <c r="A137" t="s">
        <v>5114</v>
      </c>
      <c r="B137">
        <v>1884</v>
      </c>
      <c r="C137" t="s">
        <v>7042</v>
      </c>
      <c r="H137" t="s">
        <v>5115</v>
      </c>
      <c r="M137" t="s">
        <v>28</v>
      </c>
      <c r="P137">
        <f t="shared" si="2"/>
        <v>24</v>
      </c>
    </row>
    <row r="138" spans="1:16" x14ac:dyDescent="0.25">
      <c r="A138" t="s">
        <v>5116</v>
      </c>
      <c r="B138">
        <v>1884</v>
      </c>
      <c r="C138" t="s">
        <v>7043</v>
      </c>
      <c r="H138" t="s">
        <v>5117</v>
      </c>
      <c r="I138" t="s">
        <v>68</v>
      </c>
      <c r="O138">
        <v>2</v>
      </c>
      <c r="P138">
        <f t="shared" si="2"/>
        <v>23</v>
      </c>
    </row>
    <row r="139" spans="1:16" x14ac:dyDescent="0.25">
      <c r="A139" t="s">
        <v>5118</v>
      </c>
      <c r="B139">
        <v>1884</v>
      </c>
      <c r="C139" t="s">
        <v>7044</v>
      </c>
      <c r="H139" t="s">
        <v>4915</v>
      </c>
      <c r="P139">
        <f t="shared" si="2"/>
        <v>24</v>
      </c>
    </row>
    <row r="140" spans="1:16" x14ac:dyDescent="0.25">
      <c r="A140" t="s">
        <v>5119</v>
      </c>
      <c r="B140">
        <v>1886</v>
      </c>
      <c r="C140" t="s">
        <v>7045</v>
      </c>
      <c r="H140" t="s">
        <v>5120</v>
      </c>
      <c r="P140">
        <f t="shared" si="2"/>
        <v>24</v>
      </c>
    </row>
    <row r="141" spans="1:16" x14ac:dyDescent="0.25">
      <c r="A141" t="s">
        <v>5121</v>
      </c>
      <c r="B141">
        <v>1886</v>
      </c>
      <c r="C141" t="s">
        <v>7046</v>
      </c>
      <c r="G141" t="s">
        <v>5122</v>
      </c>
      <c r="H141" t="s">
        <v>3688</v>
      </c>
      <c r="P141">
        <f t="shared" si="2"/>
        <v>41</v>
      </c>
    </row>
    <row r="142" spans="1:16" x14ac:dyDescent="0.25">
      <c r="A142" t="s">
        <v>5123</v>
      </c>
      <c r="B142">
        <v>1886</v>
      </c>
      <c r="C142" t="s">
        <v>7047</v>
      </c>
      <c r="H142" t="s">
        <v>4877</v>
      </c>
      <c r="M142" t="s">
        <v>28</v>
      </c>
      <c r="P142">
        <f t="shared" si="2"/>
        <v>21</v>
      </c>
    </row>
    <row r="143" spans="1:16" x14ac:dyDescent="0.25">
      <c r="A143" t="s">
        <v>5124</v>
      </c>
      <c r="B143">
        <v>1886</v>
      </c>
      <c r="C143" t="s">
        <v>7048</v>
      </c>
      <c r="H143" t="s">
        <v>5125</v>
      </c>
      <c r="P143">
        <f t="shared" si="2"/>
        <v>30</v>
      </c>
    </row>
    <row r="144" spans="1:16" x14ac:dyDescent="0.25">
      <c r="A144" t="s">
        <v>5126</v>
      </c>
      <c r="B144">
        <v>1886</v>
      </c>
      <c r="C144" t="s">
        <v>7049</v>
      </c>
      <c r="H144" t="s">
        <v>4877</v>
      </c>
      <c r="N144" t="s">
        <v>28</v>
      </c>
      <c r="P144">
        <f t="shared" si="2"/>
        <v>25</v>
      </c>
    </row>
    <row r="145" spans="1:16" x14ac:dyDescent="0.25">
      <c r="A145" t="s">
        <v>5127</v>
      </c>
      <c r="B145">
        <v>1886</v>
      </c>
      <c r="C145" t="s">
        <v>7050</v>
      </c>
      <c r="H145" t="s">
        <v>3688</v>
      </c>
      <c r="P145">
        <f t="shared" si="2"/>
        <v>21</v>
      </c>
    </row>
    <row r="146" spans="1:16" x14ac:dyDescent="0.25">
      <c r="A146" t="s">
        <v>5128</v>
      </c>
      <c r="B146">
        <v>1886</v>
      </c>
      <c r="C146" t="s">
        <v>7051</v>
      </c>
      <c r="H146" t="s">
        <v>5104</v>
      </c>
      <c r="P146">
        <f t="shared" si="2"/>
        <v>20</v>
      </c>
    </row>
    <row r="147" spans="1:16" x14ac:dyDescent="0.25">
      <c r="A147" t="s">
        <v>5129</v>
      </c>
      <c r="B147">
        <v>1886</v>
      </c>
      <c r="C147" t="s">
        <v>7052</v>
      </c>
      <c r="H147" t="s">
        <v>5130</v>
      </c>
      <c r="M147" t="s">
        <v>28</v>
      </c>
      <c r="P147">
        <f t="shared" si="2"/>
        <v>25</v>
      </c>
    </row>
    <row r="148" spans="1:16" x14ac:dyDescent="0.25">
      <c r="A148" t="s">
        <v>5131</v>
      </c>
      <c r="B148">
        <v>1886</v>
      </c>
      <c r="C148" t="s">
        <v>7053</v>
      </c>
      <c r="H148" t="s">
        <v>4877</v>
      </c>
      <c r="P148">
        <f t="shared" si="2"/>
        <v>22</v>
      </c>
    </row>
    <row r="149" spans="1:16" x14ac:dyDescent="0.25">
      <c r="A149" t="s">
        <v>5132</v>
      </c>
      <c r="B149">
        <v>1886</v>
      </c>
      <c r="C149" t="s">
        <v>7054</v>
      </c>
      <c r="H149" t="s">
        <v>4877</v>
      </c>
      <c r="I149" t="s">
        <v>68</v>
      </c>
      <c r="O149">
        <v>3</v>
      </c>
      <c r="P149">
        <f t="shared" si="2"/>
        <v>22</v>
      </c>
    </row>
    <row r="150" spans="1:16" x14ac:dyDescent="0.25">
      <c r="A150" t="s">
        <v>5133</v>
      </c>
      <c r="B150">
        <v>1886</v>
      </c>
      <c r="C150" t="s">
        <v>6953</v>
      </c>
      <c r="H150" t="s">
        <v>5134</v>
      </c>
      <c r="I150" t="s">
        <v>28</v>
      </c>
      <c r="P150">
        <f t="shared" si="2"/>
        <v>24</v>
      </c>
    </row>
    <row r="151" spans="1:16" x14ac:dyDescent="0.25">
      <c r="A151" t="s">
        <v>5135</v>
      </c>
      <c r="B151">
        <v>1886</v>
      </c>
      <c r="C151" t="s">
        <v>6910</v>
      </c>
      <c r="H151" t="s">
        <v>4877</v>
      </c>
      <c r="I151" t="s">
        <v>28</v>
      </c>
      <c r="P151">
        <f t="shared" si="2"/>
        <v>21</v>
      </c>
    </row>
    <row r="152" spans="1:16" x14ac:dyDescent="0.25">
      <c r="A152" t="s">
        <v>5136</v>
      </c>
      <c r="B152">
        <v>1886</v>
      </c>
      <c r="C152" t="s">
        <v>7055</v>
      </c>
      <c r="G152" t="s">
        <v>5137</v>
      </c>
      <c r="H152" t="s">
        <v>3688</v>
      </c>
      <c r="I152" t="s">
        <v>68</v>
      </c>
      <c r="O152">
        <v>2</v>
      </c>
      <c r="P152">
        <f t="shared" si="2"/>
        <v>44</v>
      </c>
    </row>
    <row r="153" spans="1:16" x14ac:dyDescent="0.25">
      <c r="A153" t="s">
        <v>5138</v>
      </c>
      <c r="B153">
        <v>1886</v>
      </c>
      <c r="C153" t="s">
        <v>6983</v>
      </c>
      <c r="H153" t="s">
        <v>5016</v>
      </c>
      <c r="M153" t="s">
        <v>28</v>
      </c>
      <c r="P153">
        <f t="shared" si="2"/>
        <v>21</v>
      </c>
    </row>
    <row r="154" spans="1:16" x14ac:dyDescent="0.25">
      <c r="A154" t="s">
        <v>5139</v>
      </c>
      <c r="B154">
        <v>1886</v>
      </c>
      <c r="C154" t="s">
        <v>7016</v>
      </c>
      <c r="H154" t="s">
        <v>5071</v>
      </c>
      <c r="N154" t="s">
        <v>28</v>
      </c>
      <c r="P154">
        <f t="shared" si="2"/>
        <v>21</v>
      </c>
    </row>
    <row r="155" spans="1:16" x14ac:dyDescent="0.25">
      <c r="A155" t="s">
        <v>5140</v>
      </c>
      <c r="B155">
        <v>1886</v>
      </c>
      <c r="C155" t="s">
        <v>7017</v>
      </c>
      <c r="H155" t="s">
        <v>4915</v>
      </c>
      <c r="P155">
        <f t="shared" si="2"/>
        <v>27</v>
      </c>
    </row>
    <row r="156" spans="1:16" x14ac:dyDescent="0.25">
      <c r="A156" t="s">
        <v>5141</v>
      </c>
      <c r="B156">
        <v>1886</v>
      </c>
      <c r="C156" t="s">
        <v>7056</v>
      </c>
      <c r="H156" t="s">
        <v>4877</v>
      </c>
      <c r="I156" t="s">
        <v>68</v>
      </c>
      <c r="O156">
        <v>3</v>
      </c>
      <c r="P156">
        <f t="shared" si="2"/>
        <v>22</v>
      </c>
    </row>
    <row r="157" spans="1:16" x14ac:dyDescent="0.25">
      <c r="A157" t="s">
        <v>5142</v>
      </c>
      <c r="B157">
        <v>1886</v>
      </c>
      <c r="C157" t="s">
        <v>7057</v>
      </c>
      <c r="H157" t="s">
        <v>4915</v>
      </c>
      <c r="I157" t="s">
        <v>28</v>
      </c>
      <c r="P157">
        <f t="shared" si="2"/>
        <v>25</v>
      </c>
    </row>
    <row r="158" spans="1:16" x14ac:dyDescent="0.25">
      <c r="A158" t="s">
        <v>5143</v>
      </c>
      <c r="B158">
        <v>1886</v>
      </c>
      <c r="C158" t="s">
        <v>7058</v>
      </c>
      <c r="G158" t="s">
        <v>4943</v>
      </c>
      <c r="H158" t="s">
        <v>4877</v>
      </c>
      <c r="L158" t="s">
        <v>28</v>
      </c>
      <c r="P158">
        <f t="shared" si="2"/>
        <v>46</v>
      </c>
    </row>
    <row r="159" spans="1:16" x14ac:dyDescent="0.25">
      <c r="A159" t="s">
        <v>5144</v>
      </c>
      <c r="B159">
        <v>1886</v>
      </c>
      <c r="C159" t="s">
        <v>7059</v>
      </c>
      <c r="G159" t="s">
        <v>5145</v>
      </c>
      <c r="H159" t="s">
        <v>5146</v>
      </c>
      <c r="M159" t="s">
        <v>28</v>
      </c>
      <c r="N159" t="s">
        <v>28</v>
      </c>
      <c r="P159">
        <f t="shared" si="2"/>
        <v>43</v>
      </c>
    </row>
    <row r="160" spans="1:16" x14ac:dyDescent="0.25">
      <c r="A160" t="s">
        <v>5147</v>
      </c>
      <c r="B160">
        <v>1886</v>
      </c>
      <c r="C160" t="s">
        <v>7060</v>
      </c>
      <c r="H160" t="s">
        <v>4990</v>
      </c>
      <c r="P160">
        <f t="shared" si="2"/>
        <v>23</v>
      </c>
    </row>
    <row r="161" spans="1:16" x14ac:dyDescent="0.25">
      <c r="A161" t="s">
        <v>5148</v>
      </c>
      <c r="B161">
        <v>1886</v>
      </c>
      <c r="C161" t="s">
        <v>7061</v>
      </c>
      <c r="H161" t="s">
        <v>5149</v>
      </c>
      <c r="N161" t="s">
        <v>28</v>
      </c>
      <c r="P161">
        <f t="shared" si="2"/>
        <v>21</v>
      </c>
    </row>
    <row r="162" spans="1:16" x14ac:dyDescent="0.25">
      <c r="A162" t="s">
        <v>5150</v>
      </c>
      <c r="B162">
        <v>1886</v>
      </c>
      <c r="C162" t="s">
        <v>7062</v>
      </c>
      <c r="H162" t="s">
        <v>5151</v>
      </c>
      <c r="P162">
        <f t="shared" si="2"/>
        <v>20</v>
      </c>
    </row>
    <row r="163" spans="1:16" x14ac:dyDescent="0.25">
      <c r="A163" t="s">
        <v>5152</v>
      </c>
      <c r="B163">
        <v>1886</v>
      </c>
      <c r="C163" t="s">
        <v>7063</v>
      </c>
      <c r="H163" t="s">
        <v>5153</v>
      </c>
      <c r="I163" t="s">
        <v>68</v>
      </c>
      <c r="O163">
        <v>2</v>
      </c>
      <c r="P163">
        <f t="shared" si="2"/>
        <v>27</v>
      </c>
    </row>
    <row r="164" spans="1:16" x14ac:dyDescent="0.25">
      <c r="A164" t="s">
        <v>5154</v>
      </c>
      <c r="B164">
        <v>1886</v>
      </c>
      <c r="C164" t="s">
        <v>7064</v>
      </c>
      <c r="G164" t="s">
        <v>5155</v>
      </c>
      <c r="H164" t="s">
        <v>5156</v>
      </c>
      <c r="P164">
        <f t="shared" si="2"/>
        <v>53</v>
      </c>
    </row>
    <row r="165" spans="1:16" x14ac:dyDescent="0.25">
      <c r="A165" t="s">
        <v>5157</v>
      </c>
      <c r="B165">
        <v>1886</v>
      </c>
      <c r="C165" t="s">
        <v>7065</v>
      </c>
      <c r="H165" t="s">
        <v>3688</v>
      </c>
      <c r="I165" t="s">
        <v>68</v>
      </c>
      <c r="O165">
        <v>2</v>
      </c>
      <c r="P165">
        <f t="shared" si="2"/>
        <v>22</v>
      </c>
    </row>
    <row r="166" spans="1:16" x14ac:dyDescent="0.25">
      <c r="A166" t="s">
        <v>5158</v>
      </c>
      <c r="B166">
        <v>1886</v>
      </c>
      <c r="C166" t="s">
        <v>7066</v>
      </c>
      <c r="H166" t="s">
        <v>5159</v>
      </c>
      <c r="I166" t="s">
        <v>68</v>
      </c>
      <c r="O166">
        <v>2</v>
      </c>
      <c r="P166">
        <f t="shared" si="2"/>
        <v>18</v>
      </c>
    </row>
    <row r="167" spans="1:16" x14ac:dyDescent="0.25">
      <c r="A167" t="s">
        <v>5160</v>
      </c>
      <c r="B167">
        <v>1886</v>
      </c>
      <c r="C167" t="s">
        <v>7067</v>
      </c>
      <c r="H167" t="s">
        <v>5161</v>
      </c>
      <c r="I167" t="s">
        <v>68</v>
      </c>
      <c r="O167">
        <v>2</v>
      </c>
      <c r="P167">
        <f t="shared" si="2"/>
        <v>29</v>
      </c>
    </row>
    <row r="168" spans="1:16" x14ac:dyDescent="0.25">
      <c r="A168" t="s">
        <v>5162</v>
      </c>
      <c r="B168">
        <v>1886</v>
      </c>
      <c r="C168" t="s">
        <v>7068</v>
      </c>
      <c r="H168" t="s">
        <v>5163</v>
      </c>
      <c r="P168">
        <f t="shared" si="2"/>
        <v>33</v>
      </c>
    </row>
    <row r="169" spans="1:16" s="4" customFormat="1" x14ac:dyDescent="0.25">
      <c r="A169" s="4" t="s">
        <v>5164</v>
      </c>
      <c r="B169" s="4">
        <v>1886</v>
      </c>
      <c r="C169" s="4" t="s">
        <v>7069</v>
      </c>
      <c r="H169" s="4" t="s">
        <v>5165</v>
      </c>
      <c r="P169">
        <f t="shared" si="2"/>
        <v>30</v>
      </c>
    </row>
    <row r="170" spans="1:16" x14ac:dyDescent="0.25">
      <c r="A170" t="s">
        <v>5166</v>
      </c>
      <c r="B170">
        <v>1886</v>
      </c>
      <c r="C170" t="s">
        <v>7070</v>
      </c>
      <c r="H170" t="s">
        <v>3688</v>
      </c>
      <c r="P170">
        <f t="shared" si="2"/>
        <v>21</v>
      </c>
    </row>
    <row r="171" spans="1:16" x14ac:dyDescent="0.25">
      <c r="A171" t="s">
        <v>5167</v>
      </c>
      <c r="B171">
        <v>1886</v>
      </c>
      <c r="C171" t="s">
        <v>7071</v>
      </c>
      <c r="H171" t="s">
        <v>5094</v>
      </c>
      <c r="P171">
        <f t="shared" si="2"/>
        <v>25</v>
      </c>
    </row>
    <row r="172" spans="1:16" x14ac:dyDescent="0.25">
      <c r="A172" t="s">
        <v>5168</v>
      </c>
      <c r="B172">
        <v>1886</v>
      </c>
      <c r="C172" t="s">
        <v>7072</v>
      </c>
      <c r="H172" t="s">
        <v>4877</v>
      </c>
      <c r="P172">
        <f t="shared" si="2"/>
        <v>24</v>
      </c>
    </row>
    <row r="173" spans="1:16" x14ac:dyDescent="0.25">
      <c r="A173" t="s">
        <v>5169</v>
      </c>
      <c r="B173">
        <v>1886</v>
      </c>
      <c r="C173" t="s">
        <v>7073</v>
      </c>
      <c r="H173" t="s">
        <v>5170</v>
      </c>
      <c r="I173" t="s">
        <v>68</v>
      </c>
      <c r="O173">
        <v>2</v>
      </c>
      <c r="P173">
        <f t="shared" si="2"/>
        <v>25</v>
      </c>
    </row>
    <row r="174" spans="1:16" x14ac:dyDescent="0.25">
      <c r="A174" t="s">
        <v>5171</v>
      </c>
      <c r="B174">
        <v>1890</v>
      </c>
      <c r="C174" t="s">
        <v>7074</v>
      </c>
      <c r="H174" t="s">
        <v>5172</v>
      </c>
      <c r="P174">
        <f t="shared" si="2"/>
        <v>26</v>
      </c>
    </row>
    <row r="175" spans="1:16" x14ac:dyDescent="0.25">
      <c r="A175" t="s">
        <v>5173</v>
      </c>
      <c r="B175">
        <v>1890</v>
      </c>
      <c r="C175" t="s">
        <v>7075</v>
      </c>
      <c r="H175" t="s">
        <v>3688</v>
      </c>
      <c r="P175">
        <f t="shared" si="2"/>
        <v>21</v>
      </c>
    </row>
    <row r="176" spans="1:16" s="4" customFormat="1" x14ac:dyDescent="0.25">
      <c r="A176" s="4" t="s">
        <v>5174</v>
      </c>
      <c r="B176" s="4">
        <v>1892</v>
      </c>
      <c r="C176" s="4" t="s">
        <v>7076</v>
      </c>
      <c r="H176" s="4" t="s">
        <v>5175</v>
      </c>
      <c r="P176">
        <f t="shared" si="2"/>
        <v>23</v>
      </c>
    </row>
    <row r="177" spans="1:16" s="4" customFormat="1" x14ac:dyDescent="0.25">
      <c r="A177" s="4" t="s">
        <v>5176</v>
      </c>
      <c r="B177" s="4">
        <v>1892</v>
      </c>
      <c r="C177" s="4" t="s">
        <v>7077</v>
      </c>
      <c r="F177" s="4" t="s">
        <v>5177</v>
      </c>
      <c r="H177" s="4" t="s">
        <v>5178</v>
      </c>
      <c r="P177">
        <f t="shared" si="2"/>
        <v>43</v>
      </c>
    </row>
    <row r="178" spans="1:16" x14ac:dyDescent="0.25">
      <c r="A178" t="s">
        <v>5179</v>
      </c>
      <c r="B178">
        <v>1892</v>
      </c>
      <c r="C178" t="s">
        <v>7078</v>
      </c>
      <c r="H178" t="s">
        <v>3688</v>
      </c>
      <c r="P178">
        <f t="shared" si="2"/>
        <v>20</v>
      </c>
    </row>
    <row r="179" spans="1:16" s="4" customFormat="1" x14ac:dyDescent="0.25">
      <c r="A179" s="4" t="s">
        <v>5180</v>
      </c>
      <c r="B179" s="4">
        <v>1892</v>
      </c>
      <c r="C179" s="4" t="s">
        <v>7079</v>
      </c>
      <c r="F179" s="4" t="s">
        <v>4206</v>
      </c>
      <c r="G179" s="4" t="s">
        <v>5181</v>
      </c>
      <c r="H179" s="4" t="s">
        <v>5182</v>
      </c>
      <c r="P179">
        <f t="shared" si="2"/>
        <v>71</v>
      </c>
    </row>
    <row r="180" spans="1:16" x14ac:dyDescent="0.25">
      <c r="A180" t="s">
        <v>5183</v>
      </c>
      <c r="B180">
        <v>1892</v>
      </c>
      <c r="C180" t="s">
        <v>7080</v>
      </c>
      <c r="H180" t="s">
        <v>4898</v>
      </c>
      <c r="N180" t="s">
        <v>28</v>
      </c>
      <c r="P180">
        <f t="shared" si="2"/>
        <v>17</v>
      </c>
    </row>
    <row r="181" spans="1:16" s="4" customFormat="1" x14ac:dyDescent="0.25">
      <c r="A181" s="4" t="s">
        <v>5184</v>
      </c>
      <c r="B181" s="4">
        <v>1892</v>
      </c>
      <c r="C181" s="4" t="s">
        <v>7081</v>
      </c>
      <c r="H181" s="4" t="s">
        <v>4977</v>
      </c>
      <c r="P181">
        <f t="shared" si="2"/>
        <v>18</v>
      </c>
    </row>
    <row r="182" spans="1:16" s="4" customFormat="1" x14ac:dyDescent="0.25">
      <c r="A182" s="4" t="s">
        <v>5185</v>
      </c>
      <c r="B182" s="4">
        <v>1892</v>
      </c>
      <c r="C182" s="4" t="s">
        <v>7082</v>
      </c>
      <c r="F182" s="4" t="s">
        <v>5186</v>
      </c>
      <c r="G182" s="4" t="s">
        <v>5187</v>
      </c>
      <c r="H182" s="4" t="s">
        <v>4915</v>
      </c>
      <c r="P182">
        <f t="shared" si="2"/>
        <v>45</v>
      </c>
    </row>
    <row r="183" spans="1:16" s="4" customFormat="1" x14ac:dyDescent="0.25">
      <c r="A183" s="4" t="s">
        <v>5188</v>
      </c>
      <c r="B183" s="4">
        <v>1892</v>
      </c>
      <c r="C183" s="4" t="s">
        <v>7083</v>
      </c>
      <c r="F183" s="4" t="s">
        <v>929</v>
      </c>
      <c r="G183" s="4" t="s">
        <v>5189</v>
      </c>
      <c r="H183" s="4" t="s">
        <v>5190</v>
      </c>
      <c r="P183">
        <f t="shared" si="2"/>
        <v>68</v>
      </c>
    </row>
    <row r="184" spans="1:16" s="4" customFormat="1" x14ac:dyDescent="0.25">
      <c r="A184" s="4" t="s">
        <v>5191</v>
      </c>
      <c r="B184" s="4">
        <v>1892</v>
      </c>
      <c r="C184" s="4" t="s">
        <v>7084</v>
      </c>
      <c r="F184" s="4" t="s">
        <v>5192</v>
      </c>
      <c r="G184" s="4" t="s">
        <v>5193</v>
      </c>
      <c r="H184" s="4" t="s">
        <v>5194</v>
      </c>
      <c r="P184">
        <f t="shared" si="2"/>
        <v>44</v>
      </c>
    </row>
    <row r="185" spans="1:16" s="4" customFormat="1" x14ac:dyDescent="0.25">
      <c r="A185" s="4" t="s">
        <v>5195</v>
      </c>
      <c r="B185" s="4">
        <v>1892</v>
      </c>
      <c r="C185" s="4" t="s">
        <v>7085</v>
      </c>
      <c r="F185" s="4" t="s">
        <v>929</v>
      </c>
      <c r="G185" s="4" t="s">
        <v>5196</v>
      </c>
      <c r="H185" s="4" t="s">
        <v>5197</v>
      </c>
      <c r="P185">
        <f t="shared" si="2"/>
        <v>86</v>
      </c>
    </row>
    <row r="186" spans="1:16" s="4" customFormat="1" x14ac:dyDescent="0.25">
      <c r="A186" s="4" t="s">
        <v>5198</v>
      </c>
      <c r="B186" s="4">
        <v>1892</v>
      </c>
      <c r="C186" s="4" t="s">
        <v>7086</v>
      </c>
      <c r="H186" s="4" t="s">
        <v>5199</v>
      </c>
      <c r="P186">
        <f t="shared" si="2"/>
        <v>24</v>
      </c>
    </row>
    <row r="187" spans="1:16" s="4" customFormat="1" x14ac:dyDescent="0.25">
      <c r="A187" s="4" t="s">
        <v>5200</v>
      </c>
      <c r="B187" s="4">
        <v>1892</v>
      </c>
      <c r="C187" s="4" t="s">
        <v>7087</v>
      </c>
      <c r="H187" s="4" t="s">
        <v>5201</v>
      </c>
      <c r="P187">
        <f t="shared" si="2"/>
        <v>23</v>
      </c>
    </row>
    <row r="188" spans="1:16" x14ac:dyDescent="0.25">
      <c r="A188" t="s">
        <v>5202</v>
      </c>
      <c r="B188">
        <v>1892</v>
      </c>
      <c r="C188" t="s">
        <v>7088</v>
      </c>
      <c r="F188" t="s">
        <v>5203</v>
      </c>
      <c r="G188" t="s">
        <v>5204</v>
      </c>
      <c r="H188" t="s">
        <v>5086</v>
      </c>
      <c r="P188">
        <f t="shared" si="2"/>
        <v>65</v>
      </c>
    </row>
    <row r="189" spans="1:16" x14ac:dyDescent="0.25">
      <c r="A189" t="s">
        <v>5205</v>
      </c>
      <c r="B189">
        <v>1892</v>
      </c>
      <c r="C189" t="s">
        <v>7089</v>
      </c>
      <c r="H189" t="s">
        <v>5206</v>
      </c>
      <c r="P189">
        <f t="shared" si="2"/>
        <v>26</v>
      </c>
    </row>
    <row r="190" spans="1:16" s="4" customFormat="1" x14ac:dyDescent="0.25">
      <c r="A190" s="4" t="s">
        <v>5207</v>
      </c>
      <c r="B190" s="4">
        <v>1892</v>
      </c>
      <c r="C190" s="4" t="s">
        <v>7090</v>
      </c>
      <c r="F190" s="4" t="s">
        <v>880</v>
      </c>
      <c r="G190" s="4" t="s">
        <v>5208</v>
      </c>
      <c r="H190" s="4" t="s">
        <v>5209</v>
      </c>
      <c r="P190">
        <f t="shared" si="2"/>
        <v>70</v>
      </c>
    </row>
    <row r="191" spans="1:16" s="4" customFormat="1" x14ac:dyDescent="0.25">
      <c r="A191" s="4" t="s">
        <v>5210</v>
      </c>
      <c r="B191" s="4">
        <v>1892</v>
      </c>
      <c r="C191" s="4" t="s">
        <v>7091</v>
      </c>
      <c r="H191" s="4" t="s">
        <v>5211</v>
      </c>
      <c r="P191">
        <f t="shared" si="2"/>
        <v>19</v>
      </c>
    </row>
    <row r="192" spans="1:16" s="4" customFormat="1" x14ac:dyDescent="0.25">
      <c r="A192" s="4" t="s">
        <v>5212</v>
      </c>
      <c r="B192" s="4">
        <v>1892</v>
      </c>
      <c r="C192" s="4" t="s">
        <v>7092</v>
      </c>
      <c r="F192" s="4" t="s">
        <v>2944</v>
      </c>
      <c r="G192" s="4" t="s">
        <v>5213</v>
      </c>
      <c r="H192" s="4" t="s">
        <v>4898</v>
      </c>
      <c r="P192">
        <f t="shared" si="2"/>
        <v>47</v>
      </c>
    </row>
    <row r="193" spans="1:16" s="4" customFormat="1" x14ac:dyDescent="0.25">
      <c r="A193" s="4" t="s">
        <v>5214</v>
      </c>
      <c r="B193" s="4">
        <v>1892</v>
      </c>
      <c r="C193" s="4" t="s">
        <v>7093</v>
      </c>
      <c r="H193" s="4" t="s">
        <v>5215</v>
      </c>
      <c r="P193">
        <f t="shared" si="2"/>
        <v>31</v>
      </c>
    </row>
    <row r="194" spans="1:16" x14ac:dyDescent="0.25">
      <c r="A194" t="s">
        <v>5216</v>
      </c>
      <c r="B194">
        <v>1892</v>
      </c>
      <c r="C194" t="s">
        <v>7094</v>
      </c>
      <c r="H194" t="s">
        <v>5217</v>
      </c>
      <c r="P194">
        <f t="shared" ref="P194:P257" si="3">LEN(C194)+LEN(D194)+LEN(E194)+LEN(F194)+LEN(G194)+LEN(H194)</f>
        <v>21</v>
      </c>
    </row>
    <row r="195" spans="1:16" x14ac:dyDescent="0.25">
      <c r="A195" t="s">
        <v>5218</v>
      </c>
      <c r="B195">
        <v>1892</v>
      </c>
      <c r="C195" t="s">
        <v>7095</v>
      </c>
      <c r="F195" t="s">
        <v>5219</v>
      </c>
      <c r="H195" t="s">
        <v>5220</v>
      </c>
      <c r="L195" t="s">
        <v>28</v>
      </c>
      <c r="N195" t="s">
        <v>28</v>
      </c>
      <c r="P195">
        <f t="shared" si="3"/>
        <v>37</v>
      </c>
    </row>
    <row r="196" spans="1:16" s="4" customFormat="1" x14ac:dyDescent="0.25">
      <c r="A196" s="4" t="s">
        <v>5221</v>
      </c>
      <c r="B196" s="4">
        <v>1892</v>
      </c>
      <c r="C196" s="4" t="s">
        <v>7096</v>
      </c>
      <c r="H196" s="4" t="s">
        <v>5222</v>
      </c>
      <c r="P196">
        <f t="shared" si="3"/>
        <v>22</v>
      </c>
    </row>
    <row r="197" spans="1:16" x14ac:dyDescent="0.25">
      <c r="A197" t="s">
        <v>5223</v>
      </c>
      <c r="B197">
        <v>1892</v>
      </c>
      <c r="C197" t="s">
        <v>7097</v>
      </c>
      <c r="F197" t="s">
        <v>5192</v>
      </c>
      <c r="H197" t="s">
        <v>5224</v>
      </c>
      <c r="L197" t="s">
        <v>28</v>
      </c>
      <c r="P197">
        <f t="shared" si="3"/>
        <v>38</v>
      </c>
    </row>
    <row r="198" spans="1:16" x14ac:dyDescent="0.25">
      <c r="A198" t="s">
        <v>5225</v>
      </c>
      <c r="B198">
        <v>1892</v>
      </c>
      <c r="C198" t="s">
        <v>7098</v>
      </c>
      <c r="F198" t="s">
        <v>5226</v>
      </c>
      <c r="H198" t="s">
        <v>5090</v>
      </c>
      <c r="I198" t="s">
        <v>68</v>
      </c>
      <c r="O198">
        <v>2</v>
      </c>
      <c r="P198">
        <f t="shared" si="3"/>
        <v>38</v>
      </c>
    </row>
    <row r="199" spans="1:16" s="4" customFormat="1" x14ac:dyDescent="0.25">
      <c r="A199" s="4" t="s">
        <v>5227</v>
      </c>
      <c r="B199" s="4">
        <v>1892</v>
      </c>
      <c r="C199" s="4" t="s">
        <v>7099</v>
      </c>
      <c r="H199" s="4" t="s">
        <v>5228</v>
      </c>
      <c r="P199">
        <f t="shared" si="3"/>
        <v>26</v>
      </c>
    </row>
    <row r="200" spans="1:16" s="4" customFormat="1" x14ac:dyDescent="0.25">
      <c r="A200" s="4" t="s">
        <v>5229</v>
      </c>
      <c r="B200" s="4">
        <v>1892</v>
      </c>
      <c r="C200" s="4" t="s">
        <v>7100</v>
      </c>
      <c r="G200" s="4" t="s">
        <v>5230</v>
      </c>
      <c r="H200" s="4" t="s">
        <v>5215</v>
      </c>
      <c r="P200">
        <f t="shared" si="3"/>
        <v>66</v>
      </c>
    </row>
    <row r="201" spans="1:16" s="4" customFormat="1" x14ac:dyDescent="0.25">
      <c r="A201" s="4" t="s">
        <v>5231</v>
      </c>
      <c r="B201" s="4">
        <v>1892</v>
      </c>
      <c r="C201" s="4" t="s">
        <v>7101</v>
      </c>
      <c r="H201" s="4" t="s">
        <v>4898</v>
      </c>
      <c r="P201">
        <f t="shared" si="3"/>
        <v>16</v>
      </c>
    </row>
    <row r="202" spans="1:16" s="4" customFormat="1" x14ac:dyDescent="0.25">
      <c r="A202" s="4" t="s">
        <v>5232</v>
      </c>
      <c r="B202" s="4">
        <v>1892</v>
      </c>
      <c r="C202" s="4" t="s">
        <v>7102</v>
      </c>
      <c r="F202" s="4" t="s">
        <v>880</v>
      </c>
      <c r="G202" s="4" t="s">
        <v>5233</v>
      </c>
      <c r="H202" s="4" t="s">
        <v>5234</v>
      </c>
      <c r="P202">
        <f t="shared" si="3"/>
        <v>46</v>
      </c>
    </row>
    <row r="203" spans="1:16" s="4" customFormat="1" x14ac:dyDescent="0.25">
      <c r="A203" s="4" t="s">
        <v>5235</v>
      </c>
      <c r="B203" s="4">
        <v>1892</v>
      </c>
      <c r="C203" s="4" t="s">
        <v>7103</v>
      </c>
      <c r="F203" s="4" t="s">
        <v>5236</v>
      </c>
      <c r="H203" s="4" t="s">
        <v>5237</v>
      </c>
      <c r="P203">
        <f t="shared" si="3"/>
        <v>41</v>
      </c>
    </row>
    <row r="204" spans="1:16" s="4" customFormat="1" x14ac:dyDescent="0.25">
      <c r="A204" s="4" t="s">
        <v>5238</v>
      </c>
      <c r="B204" s="4">
        <v>1892</v>
      </c>
      <c r="C204" s="4" t="s">
        <v>7104</v>
      </c>
      <c r="F204" s="4" t="s">
        <v>929</v>
      </c>
      <c r="H204" s="4" t="s">
        <v>3086</v>
      </c>
      <c r="P204">
        <f t="shared" si="3"/>
        <v>34</v>
      </c>
    </row>
    <row r="205" spans="1:16" s="4" customFormat="1" x14ac:dyDescent="0.25">
      <c r="A205" s="4" t="s">
        <v>5239</v>
      </c>
      <c r="B205" s="4">
        <v>1892</v>
      </c>
      <c r="C205" s="4" t="s">
        <v>7105</v>
      </c>
      <c r="G205" s="4" t="s">
        <v>5240</v>
      </c>
      <c r="H205" s="4" t="s">
        <v>5078</v>
      </c>
      <c r="P205">
        <f t="shared" si="3"/>
        <v>39</v>
      </c>
    </row>
    <row r="206" spans="1:16" s="4" customFormat="1" x14ac:dyDescent="0.25">
      <c r="A206" s="4" t="s">
        <v>5241</v>
      </c>
      <c r="B206" s="4">
        <v>1892</v>
      </c>
      <c r="C206" s="4" t="s">
        <v>7106</v>
      </c>
      <c r="F206" s="4" t="s">
        <v>5192</v>
      </c>
      <c r="H206" s="4" t="s">
        <v>4919</v>
      </c>
      <c r="P206">
        <f t="shared" si="3"/>
        <v>37</v>
      </c>
    </row>
    <row r="207" spans="1:16" s="4" customFormat="1" x14ac:dyDescent="0.25">
      <c r="A207" s="4" t="s">
        <v>5242</v>
      </c>
      <c r="B207" s="4">
        <v>1892</v>
      </c>
      <c r="C207" s="4" t="s">
        <v>7107</v>
      </c>
      <c r="H207" s="4" t="s">
        <v>5243</v>
      </c>
      <c r="P207">
        <f t="shared" si="3"/>
        <v>26</v>
      </c>
    </row>
    <row r="208" spans="1:16" s="4" customFormat="1" x14ac:dyDescent="0.25">
      <c r="A208" s="4" t="s">
        <v>5244</v>
      </c>
      <c r="B208" s="4">
        <v>1892</v>
      </c>
      <c r="C208" s="4" t="s">
        <v>7108</v>
      </c>
      <c r="F208" s="4" t="s">
        <v>4352</v>
      </c>
      <c r="G208" s="4" t="s">
        <v>5245</v>
      </c>
      <c r="H208" s="4" t="s">
        <v>5246</v>
      </c>
      <c r="P208">
        <f t="shared" si="3"/>
        <v>35</v>
      </c>
    </row>
    <row r="209" spans="1:16" s="4" customFormat="1" x14ac:dyDescent="0.25">
      <c r="A209" s="4" t="s">
        <v>5247</v>
      </c>
      <c r="B209" s="4">
        <v>1892</v>
      </c>
      <c r="C209" s="4" t="s">
        <v>7109</v>
      </c>
      <c r="F209" s="4" t="s">
        <v>4458</v>
      </c>
      <c r="G209" s="4" t="s">
        <v>5248</v>
      </c>
      <c r="H209" s="4" t="s">
        <v>5249</v>
      </c>
      <c r="P209">
        <f t="shared" si="3"/>
        <v>44</v>
      </c>
    </row>
    <row r="210" spans="1:16" s="4" customFormat="1" x14ac:dyDescent="0.25">
      <c r="A210" s="4" t="s">
        <v>5250</v>
      </c>
      <c r="B210" s="4">
        <v>1892</v>
      </c>
      <c r="C210" s="4" t="s">
        <v>7110</v>
      </c>
      <c r="F210" s="4" t="s">
        <v>880</v>
      </c>
      <c r="G210" s="4" t="s">
        <v>5251</v>
      </c>
      <c r="H210" s="4" t="s">
        <v>5252</v>
      </c>
      <c r="P210">
        <f t="shared" si="3"/>
        <v>52</v>
      </c>
    </row>
    <row r="211" spans="1:16" s="4" customFormat="1" x14ac:dyDescent="0.25">
      <c r="A211" s="4" t="s">
        <v>5253</v>
      </c>
      <c r="B211" s="4">
        <v>1892</v>
      </c>
      <c r="C211" s="4" t="s">
        <v>7111</v>
      </c>
      <c r="G211" s="4" t="s">
        <v>5254</v>
      </c>
      <c r="H211" s="4" t="s">
        <v>5255</v>
      </c>
      <c r="P211">
        <f t="shared" si="3"/>
        <v>45</v>
      </c>
    </row>
    <row r="212" spans="1:16" s="4" customFormat="1" x14ac:dyDescent="0.25">
      <c r="A212" s="4" t="s">
        <v>5256</v>
      </c>
      <c r="B212" s="4">
        <v>1892</v>
      </c>
      <c r="C212" s="4" t="s">
        <v>7112</v>
      </c>
      <c r="H212" s="4" t="s">
        <v>5092</v>
      </c>
      <c r="P212">
        <f t="shared" si="3"/>
        <v>17</v>
      </c>
    </row>
    <row r="213" spans="1:16" x14ac:dyDescent="0.25">
      <c r="A213" t="s">
        <v>5257</v>
      </c>
      <c r="B213">
        <v>1892</v>
      </c>
      <c r="C213" t="s">
        <v>7113</v>
      </c>
      <c r="F213" t="s">
        <v>1355</v>
      </c>
      <c r="H213" t="s">
        <v>5258</v>
      </c>
      <c r="L213" t="s">
        <v>28</v>
      </c>
      <c r="P213">
        <f t="shared" si="3"/>
        <v>32</v>
      </c>
    </row>
    <row r="214" spans="1:16" s="4" customFormat="1" x14ac:dyDescent="0.25">
      <c r="A214" s="4" t="s">
        <v>5259</v>
      </c>
      <c r="B214" s="4">
        <v>1892</v>
      </c>
      <c r="C214" s="4" t="s">
        <v>7114</v>
      </c>
      <c r="F214" s="4" t="s">
        <v>5192</v>
      </c>
      <c r="G214" s="4" t="s">
        <v>5260</v>
      </c>
      <c r="H214" s="4" t="s">
        <v>5261</v>
      </c>
      <c r="P214">
        <f t="shared" si="3"/>
        <v>63</v>
      </c>
    </row>
    <row r="215" spans="1:16" x14ac:dyDescent="0.25">
      <c r="A215" t="s">
        <v>5262</v>
      </c>
      <c r="B215">
        <v>1892</v>
      </c>
      <c r="C215" t="s">
        <v>7115</v>
      </c>
      <c r="F215" t="s">
        <v>5192</v>
      </c>
      <c r="H215" t="s">
        <v>5263</v>
      </c>
      <c r="L215" t="s">
        <v>28</v>
      </c>
      <c r="P215">
        <f t="shared" si="3"/>
        <v>37</v>
      </c>
    </row>
    <row r="216" spans="1:16" x14ac:dyDescent="0.25">
      <c r="A216" t="s">
        <v>5264</v>
      </c>
      <c r="B216">
        <v>1894</v>
      </c>
      <c r="C216" t="s">
        <v>7116</v>
      </c>
      <c r="H216" t="s">
        <v>5265</v>
      </c>
      <c r="M216" t="s">
        <v>28</v>
      </c>
      <c r="P216">
        <f t="shared" si="3"/>
        <v>26</v>
      </c>
    </row>
    <row r="217" spans="1:16" x14ac:dyDescent="0.25">
      <c r="A217" t="s">
        <v>5266</v>
      </c>
      <c r="B217">
        <v>1895</v>
      </c>
      <c r="C217" t="s">
        <v>7117</v>
      </c>
      <c r="H217" t="s">
        <v>5267</v>
      </c>
      <c r="L217" t="s">
        <v>28</v>
      </c>
      <c r="P217">
        <f t="shared" si="3"/>
        <v>24</v>
      </c>
    </row>
    <row r="218" spans="1:16" x14ac:dyDescent="0.25">
      <c r="A218" t="s">
        <v>5268</v>
      </c>
      <c r="B218">
        <v>1895</v>
      </c>
      <c r="C218" t="s">
        <v>7118</v>
      </c>
      <c r="H218" t="s">
        <v>4892</v>
      </c>
      <c r="P218">
        <f t="shared" si="3"/>
        <v>25</v>
      </c>
    </row>
    <row r="219" spans="1:16" x14ac:dyDescent="0.25">
      <c r="A219" t="s">
        <v>5269</v>
      </c>
      <c r="B219">
        <v>1896</v>
      </c>
      <c r="C219" t="s">
        <v>7119</v>
      </c>
      <c r="H219" t="s">
        <v>5270</v>
      </c>
      <c r="N219" t="s">
        <v>68</v>
      </c>
      <c r="O219">
        <v>3</v>
      </c>
      <c r="P219">
        <f t="shared" si="3"/>
        <v>33</v>
      </c>
    </row>
    <row r="220" spans="1:16" x14ac:dyDescent="0.25">
      <c r="A220" t="s">
        <v>5271</v>
      </c>
      <c r="B220">
        <v>1896</v>
      </c>
      <c r="C220" t="s">
        <v>7120</v>
      </c>
      <c r="H220" t="s">
        <v>5272</v>
      </c>
      <c r="P220">
        <f t="shared" si="3"/>
        <v>30</v>
      </c>
    </row>
    <row r="221" spans="1:16" x14ac:dyDescent="0.25">
      <c r="A221" t="s">
        <v>5273</v>
      </c>
      <c r="B221">
        <v>1899</v>
      </c>
      <c r="C221" t="s">
        <v>7121</v>
      </c>
      <c r="H221" t="s">
        <v>5274</v>
      </c>
      <c r="P221">
        <f t="shared" si="3"/>
        <v>35</v>
      </c>
    </row>
    <row r="222" spans="1:16" x14ac:dyDescent="0.25">
      <c r="A222" t="s">
        <v>5275</v>
      </c>
      <c r="B222">
        <v>1900</v>
      </c>
      <c r="C222" t="s">
        <v>7122</v>
      </c>
      <c r="H222" t="s">
        <v>5276</v>
      </c>
      <c r="N222" t="s">
        <v>28</v>
      </c>
      <c r="P222">
        <f t="shared" si="3"/>
        <v>25</v>
      </c>
    </row>
    <row r="223" spans="1:16" s="4" customFormat="1" x14ac:dyDescent="0.25">
      <c r="A223" s="4" t="s">
        <v>5277</v>
      </c>
      <c r="B223" s="4">
        <v>1902</v>
      </c>
      <c r="C223" s="4" t="s">
        <v>7123</v>
      </c>
      <c r="H223" s="4" t="s">
        <v>5194</v>
      </c>
      <c r="P223">
        <f t="shared" si="3"/>
        <v>18</v>
      </c>
    </row>
    <row r="224" spans="1:16" s="4" customFormat="1" x14ac:dyDescent="0.25">
      <c r="A224" s="4" t="s">
        <v>5278</v>
      </c>
      <c r="B224" s="4">
        <v>1902</v>
      </c>
      <c r="C224" s="4" t="s">
        <v>7124</v>
      </c>
      <c r="G224" s="4" t="s">
        <v>5279</v>
      </c>
      <c r="H224" s="4" t="s">
        <v>5280</v>
      </c>
      <c r="P224">
        <f t="shared" si="3"/>
        <v>52</v>
      </c>
    </row>
    <row r="225" spans="1:16" s="4" customFormat="1" x14ac:dyDescent="0.25">
      <c r="A225" s="4" t="s">
        <v>5281</v>
      </c>
      <c r="B225" s="4">
        <v>1902</v>
      </c>
      <c r="C225" s="4" t="s">
        <v>7125</v>
      </c>
      <c r="F225" s="4" t="s">
        <v>5192</v>
      </c>
      <c r="G225" s="4" t="s">
        <v>5282</v>
      </c>
      <c r="H225" s="4" t="s">
        <v>4915</v>
      </c>
      <c r="P225">
        <f t="shared" si="3"/>
        <v>61</v>
      </c>
    </row>
    <row r="226" spans="1:16" s="4" customFormat="1" x14ac:dyDescent="0.25">
      <c r="A226" s="4" t="s">
        <v>5283</v>
      </c>
      <c r="B226" s="4">
        <v>1902</v>
      </c>
      <c r="C226" s="4" t="s">
        <v>7126</v>
      </c>
      <c r="F226" s="4" t="s">
        <v>2867</v>
      </c>
      <c r="G226" s="4" t="s">
        <v>5284</v>
      </c>
      <c r="H226" s="4" t="s">
        <v>3688</v>
      </c>
      <c r="P226">
        <f t="shared" si="3"/>
        <v>56</v>
      </c>
    </row>
    <row r="227" spans="1:16" s="4" customFormat="1" x14ac:dyDescent="0.25">
      <c r="A227" s="4" t="s">
        <v>5285</v>
      </c>
      <c r="B227" s="4">
        <v>1902</v>
      </c>
      <c r="C227" s="4" t="s">
        <v>7127</v>
      </c>
      <c r="F227" s="4" t="s">
        <v>5192</v>
      </c>
      <c r="H227" s="4" t="s">
        <v>5286</v>
      </c>
      <c r="P227">
        <f t="shared" si="3"/>
        <v>40</v>
      </c>
    </row>
    <row r="228" spans="1:16" x14ac:dyDescent="0.25">
      <c r="A228" t="s">
        <v>5287</v>
      </c>
      <c r="B228">
        <v>1902</v>
      </c>
      <c r="C228" t="s">
        <v>7128</v>
      </c>
      <c r="G228" t="s">
        <v>5288</v>
      </c>
      <c r="H228" t="s">
        <v>4896</v>
      </c>
      <c r="P228">
        <f t="shared" si="3"/>
        <v>44</v>
      </c>
    </row>
    <row r="229" spans="1:16" x14ac:dyDescent="0.25">
      <c r="A229" t="s">
        <v>5289</v>
      </c>
      <c r="B229">
        <v>1902</v>
      </c>
      <c r="C229" t="s">
        <v>7129</v>
      </c>
      <c r="F229" t="s">
        <v>5192</v>
      </c>
      <c r="G229" t="s">
        <v>5290</v>
      </c>
      <c r="H229" t="s">
        <v>31</v>
      </c>
      <c r="P229">
        <f t="shared" si="3"/>
        <v>50</v>
      </c>
    </row>
    <row r="230" spans="1:16" x14ac:dyDescent="0.25">
      <c r="A230" t="s">
        <v>5291</v>
      </c>
      <c r="B230">
        <v>1902</v>
      </c>
      <c r="C230" t="s">
        <v>7130</v>
      </c>
      <c r="H230" t="s">
        <v>5151</v>
      </c>
      <c r="P230">
        <f t="shared" si="3"/>
        <v>21</v>
      </c>
    </row>
    <row r="231" spans="1:16" x14ac:dyDescent="0.25">
      <c r="A231" t="s">
        <v>5292</v>
      </c>
      <c r="B231">
        <v>1902</v>
      </c>
      <c r="C231" t="s">
        <v>7131</v>
      </c>
      <c r="D231" t="s">
        <v>4955</v>
      </c>
      <c r="H231" t="s">
        <v>5258</v>
      </c>
      <c r="P231">
        <f t="shared" si="3"/>
        <v>32</v>
      </c>
    </row>
    <row r="232" spans="1:16" x14ac:dyDescent="0.25">
      <c r="A232" t="s">
        <v>5293</v>
      </c>
      <c r="B232">
        <v>1902</v>
      </c>
      <c r="C232" t="s">
        <v>7132</v>
      </c>
      <c r="H232" t="s">
        <v>5294</v>
      </c>
      <c r="P232">
        <f t="shared" si="3"/>
        <v>23</v>
      </c>
    </row>
    <row r="233" spans="1:16" x14ac:dyDescent="0.25">
      <c r="A233" t="s">
        <v>5295</v>
      </c>
      <c r="B233">
        <v>1902</v>
      </c>
      <c r="C233" t="s">
        <v>7133</v>
      </c>
      <c r="H233" t="s">
        <v>5296</v>
      </c>
      <c r="P233">
        <f t="shared" si="3"/>
        <v>33</v>
      </c>
    </row>
    <row r="234" spans="1:16" x14ac:dyDescent="0.25">
      <c r="A234" t="s">
        <v>5297</v>
      </c>
      <c r="B234">
        <v>1902</v>
      </c>
      <c r="C234" t="s">
        <v>6974</v>
      </c>
      <c r="G234" t="s">
        <v>5298</v>
      </c>
      <c r="H234" t="s">
        <v>3086</v>
      </c>
      <c r="P234">
        <f t="shared" si="3"/>
        <v>39</v>
      </c>
    </row>
    <row r="235" spans="1:16" x14ac:dyDescent="0.25">
      <c r="A235" t="s">
        <v>5299</v>
      </c>
      <c r="B235">
        <v>1902</v>
      </c>
      <c r="C235" t="s">
        <v>7134</v>
      </c>
      <c r="F235" t="s">
        <v>5192</v>
      </c>
      <c r="H235" t="s">
        <v>5300</v>
      </c>
      <c r="P235">
        <f t="shared" si="3"/>
        <v>45</v>
      </c>
    </row>
    <row r="236" spans="1:16" x14ac:dyDescent="0.25">
      <c r="A236" t="s">
        <v>5301</v>
      </c>
      <c r="B236">
        <v>1902</v>
      </c>
      <c r="C236" t="s">
        <v>7135</v>
      </c>
      <c r="H236" t="s">
        <v>5302</v>
      </c>
      <c r="P236">
        <f t="shared" si="3"/>
        <v>26</v>
      </c>
    </row>
    <row r="237" spans="1:16" x14ac:dyDescent="0.25">
      <c r="A237" t="s">
        <v>5303</v>
      </c>
      <c r="B237">
        <v>1902</v>
      </c>
      <c r="C237" t="s">
        <v>7136</v>
      </c>
      <c r="H237" t="s">
        <v>4887</v>
      </c>
      <c r="P237">
        <f t="shared" si="3"/>
        <v>22</v>
      </c>
    </row>
    <row r="238" spans="1:16" x14ac:dyDescent="0.25">
      <c r="A238" t="s">
        <v>5304</v>
      </c>
      <c r="B238">
        <v>1902</v>
      </c>
      <c r="C238" t="s">
        <v>7137</v>
      </c>
      <c r="F238" t="s">
        <v>929</v>
      </c>
      <c r="G238" t="s">
        <v>5305</v>
      </c>
      <c r="H238" t="s">
        <v>5306</v>
      </c>
      <c r="P238">
        <f t="shared" si="3"/>
        <v>57</v>
      </c>
    </row>
    <row r="239" spans="1:16" x14ac:dyDescent="0.25">
      <c r="A239" t="s">
        <v>5307</v>
      </c>
      <c r="B239">
        <v>1902</v>
      </c>
      <c r="C239" t="s">
        <v>7138</v>
      </c>
      <c r="H239" t="s">
        <v>5308</v>
      </c>
      <c r="P239">
        <f t="shared" si="3"/>
        <v>23</v>
      </c>
    </row>
    <row r="240" spans="1:16" x14ac:dyDescent="0.25">
      <c r="A240" t="s">
        <v>5309</v>
      </c>
      <c r="B240">
        <v>1902</v>
      </c>
      <c r="C240" t="s">
        <v>7139</v>
      </c>
      <c r="F240" t="s">
        <v>2944</v>
      </c>
      <c r="G240" t="s">
        <v>5310</v>
      </c>
      <c r="H240" t="s">
        <v>3086</v>
      </c>
      <c r="P240">
        <f t="shared" si="3"/>
        <v>48</v>
      </c>
    </row>
    <row r="241" spans="1:16" x14ac:dyDescent="0.25">
      <c r="A241" t="s">
        <v>5311</v>
      </c>
      <c r="B241">
        <v>1902</v>
      </c>
      <c r="C241" t="s">
        <v>7140</v>
      </c>
      <c r="F241" t="s">
        <v>2944</v>
      </c>
      <c r="G241" t="s">
        <v>5312</v>
      </c>
      <c r="H241" t="s">
        <v>5199</v>
      </c>
      <c r="P241">
        <f t="shared" si="3"/>
        <v>52</v>
      </c>
    </row>
    <row r="242" spans="1:16" x14ac:dyDescent="0.25">
      <c r="A242" t="s">
        <v>5313</v>
      </c>
      <c r="B242">
        <v>1902</v>
      </c>
      <c r="C242" t="s">
        <v>7141</v>
      </c>
      <c r="F242" t="s">
        <v>4458</v>
      </c>
      <c r="G242" t="s">
        <v>5314</v>
      </c>
      <c r="H242" t="s">
        <v>5315</v>
      </c>
      <c r="P242">
        <f t="shared" si="3"/>
        <v>45</v>
      </c>
    </row>
    <row r="243" spans="1:16" x14ac:dyDescent="0.25">
      <c r="A243" t="s">
        <v>5316</v>
      </c>
      <c r="B243">
        <v>1902</v>
      </c>
      <c r="C243" t="s">
        <v>7142</v>
      </c>
      <c r="F243" t="s">
        <v>5317</v>
      </c>
      <c r="G243" t="s">
        <v>5318</v>
      </c>
      <c r="H243" t="s">
        <v>5319</v>
      </c>
      <c r="P243">
        <f t="shared" si="3"/>
        <v>67</v>
      </c>
    </row>
    <row r="244" spans="1:16" x14ac:dyDescent="0.25">
      <c r="A244" t="s">
        <v>5320</v>
      </c>
      <c r="B244">
        <v>1902</v>
      </c>
      <c r="C244" t="s">
        <v>7143</v>
      </c>
      <c r="H244" t="s">
        <v>5321</v>
      </c>
      <c r="P244">
        <f t="shared" si="3"/>
        <v>23</v>
      </c>
    </row>
    <row r="245" spans="1:16" x14ac:dyDescent="0.25">
      <c r="A245" t="s">
        <v>5322</v>
      </c>
      <c r="B245">
        <v>1902</v>
      </c>
      <c r="C245" t="s">
        <v>7144</v>
      </c>
      <c r="F245" t="s">
        <v>929</v>
      </c>
      <c r="G245" t="s">
        <v>5323</v>
      </c>
      <c r="H245" t="s">
        <v>5324</v>
      </c>
      <c r="P245">
        <f t="shared" si="3"/>
        <v>44</v>
      </c>
    </row>
    <row r="246" spans="1:16" x14ac:dyDescent="0.25">
      <c r="A246" t="s">
        <v>5325</v>
      </c>
      <c r="B246">
        <v>1902</v>
      </c>
      <c r="C246" t="s">
        <v>7145</v>
      </c>
      <c r="F246" t="s">
        <v>5192</v>
      </c>
      <c r="H246" t="s">
        <v>4896</v>
      </c>
      <c r="P246">
        <f t="shared" si="3"/>
        <v>41</v>
      </c>
    </row>
    <row r="247" spans="1:16" x14ac:dyDescent="0.25">
      <c r="A247" t="s">
        <v>5326</v>
      </c>
      <c r="B247">
        <v>1902</v>
      </c>
      <c r="C247" t="s">
        <v>7146</v>
      </c>
      <c r="H247" t="s">
        <v>3688</v>
      </c>
      <c r="P247">
        <f t="shared" si="3"/>
        <v>21</v>
      </c>
    </row>
    <row r="248" spans="1:16" x14ac:dyDescent="0.25">
      <c r="A248" t="s">
        <v>5327</v>
      </c>
      <c r="B248">
        <v>1902</v>
      </c>
      <c r="C248" t="s">
        <v>7147</v>
      </c>
      <c r="F248" t="s">
        <v>5192</v>
      </c>
      <c r="H248" t="s">
        <v>5258</v>
      </c>
      <c r="P248">
        <f t="shared" si="3"/>
        <v>38</v>
      </c>
    </row>
    <row r="249" spans="1:16" x14ac:dyDescent="0.25">
      <c r="A249" t="s">
        <v>5328</v>
      </c>
      <c r="B249">
        <v>1902</v>
      </c>
      <c r="C249" t="s">
        <v>7148</v>
      </c>
      <c r="F249" t="s">
        <v>929</v>
      </c>
      <c r="G249" t="s">
        <v>5329</v>
      </c>
      <c r="H249" t="s">
        <v>5172</v>
      </c>
      <c r="P249">
        <f t="shared" si="3"/>
        <v>58</v>
      </c>
    </row>
    <row r="250" spans="1:16" x14ac:dyDescent="0.25">
      <c r="A250" t="s">
        <v>5330</v>
      </c>
      <c r="B250">
        <v>1902</v>
      </c>
      <c r="C250" t="s">
        <v>7149</v>
      </c>
      <c r="H250" t="s">
        <v>5194</v>
      </c>
      <c r="P250">
        <f t="shared" si="3"/>
        <v>15</v>
      </c>
    </row>
    <row r="251" spans="1:16" x14ac:dyDescent="0.25">
      <c r="A251" t="s">
        <v>5331</v>
      </c>
      <c r="B251">
        <v>1902</v>
      </c>
      <c r="C251" t="s">
        <v>7150</v>
      </c>
      <c r="F251" t="s">
        <v>929</v>
      </c>
      <c r="G251" t="s">
        <v>5332</v>
      </c>
      <c r="H251" t="s">
        <v>5333</v>
      </c>
      <c r="P251">
        <f t="shared" si="3"/>
        <v>81</v>
      </c>
    </row>
    <row r="252" spans="1:16" x14ac:dyDescent="0.25">
      <c r="A252" t="s">
        <v>5334</v>
      </c>
      <c r="B252">
        <v>1902</v>
      </c>
      <c r="C252" t="s">
        <v>7151</v>
      </c>
      <c r="H252" t="s">
        <v>5224</v>
      </c>
      <c r="P252">
        <f t="shared" si="3"/>
        <v>20</v>
      </c>
    </row>
    <row r="253" spans="1:16" x14ac:dyDescent="0.25">
      <c r="A253" t="s">
        <v>5335</v>
      </c>
      <c r="B253">
        <v>1902</v>
      </c>
      <c r="C253" t="s">
        <v>7152</v>
      </c>
      <c r="H253" t="s">
        <v>5336</v>
      </c>
      <c r="P253">
        <f t="shared" si="3"/>
        <v>22</v>
      </c>
    </row>
    <row r="254" spans="1:16" x14ac:dyDescent="0.25">
      <c r="A254" t="s">
        <v>5337</v>
      </c>
      <c r="B254">
        <v>1902</v>
      </c>
      <c r="C254" t="s">
        <v>7153</v>
      </c>
      <c r="H254" t="s">
        <v>5338</v>
      </c>
      <c r="P254">
        <f t="shared" si="3"/>
        <v>27</v>
      </c>
    </row>
    <row r="255" spans="1:16" x14ac:dyDescent="0.25">
      <c r="A255" t="s">
        <v>5339</v>
      </c>
      <c r="B255">
        <v>1902</v>
      </c>
      <c r="C255" t="s">
        <v>7154</v>
      </c>
      <c r="F255" t="s">
        <v>880</v>
      </c>
      <c r="G255" t="s">
        <v>5340</v>
      </c>
      <c r="H255" t="s">
        <v>5341</v>
      </c>
      <c r="P255">
        <f t="shared" si="3"/>
        <v>47</v>
      </c>
    </row>
    <row r="256" spans="1:16" x14ac:dyDescent="0.25">
      <c r="A256" t="s">
        <v>5342</v>
      </c>
      <c r="B256">
        <v>1902</v>
      </c>
      <c r="C256" t="s">
        <v>7155</v>
      </c>
      <c r="H256" t="s">
        <v>5343</v>
      </c>
      <c r="P256">
        <f t="shared" si="3"/>
        <v>23</v>
      </c>
    </row>
    <row r="257" spans="1:16" x14ac:dyDescent="0.25">
      <c r="A257" t="s">
        <v>5344</v>
      </c>
      <c r="B257">
        <v>1902</v>
      </c>
      <c r="C257" t="s">
        <v>7015</v>
      </c>
      <c r="H257" t="s">
        <v>5224</v>
      </c>
      <c r="P257">
        <f t="shared" si="3"/>
        <v>20</v>
      </c>
    </row>
    <row r="258" spans="1:16" x14ac:dyDescent="0.25">
      <c r="A258" t="s">
        <v>5345</v>
      </c>
      <c r="B258">
        <v>1902</v>
      </c>
      <c r="C258" t="s">
        <v>7156</v>
      </c>
      <c r="G258" t="s">
        <v>5346</v>
      </c>
      <c r="H258" t="s">
        <v>5194</v>
      </c>
      <c r="P258">
        <f t="shared" ref="P258:P321" si="4">LEN(C258)+LEN(D258)+LEN(E258)+LEN(F258)+LEN(G258)+LEN(H258)</f>
        <v>33</v>
      </c>
    </row>
    <row r="259" spans="1:16" x14ac:dyDescent="0.25">
      <c r="A259" t="s">
        <v>5347</v>
      </c>
      <c r="B259">
        <v>1902</v>
      </c>
      <c r="C259" t="s">
        <v>7157</v>
      </c>
      <c r="F259" t="s">
        <v>880</v>
      </c>
      <c r="H259" t="s">
        <v>5348</v>
      </c>
      <c r="P259">
        <f t="shared" si="4"/>
        <v>37</v>
      </c>
    </row>
    <row r="260" spans="1:16" x14ac:dyDescent="0.25">
      <c r="A260" t="s">
        <v>5349</v>
      </c>
      <c r="B260">
        <v>1902</v>
      </c>
      <c r="C260" t="s">
        <v>7158</v>
      </c>
      <c r="F260" t="s">
        <v>4352</v>
      </c>
      <c r="G260" t="s">
        <v>5350</v>
      </c>
      <c r="H260" t="s">
        <v>5351</v>
      </c>
      <c r="P260">
        <f t="shared" si="4"/>
        <v>52</v>
      </c>
    </row>
    <row r="261" spans="1:16" x14ac:dyDescent="0.25">
      <c r="A261" t="s">
        <v>5352</v>
      </c>
      <c r="B261">
        <v>1902</v>
      </c>
      <c r="C261" t="s">
        <v>7159</v>
      </c>
      <c r="F261" t="s">
        <v>5192</v>
      </c>
      <c r="H261" t="s">
        <v>5353</v>
      </c>
      <c r="P261">
        <f t="shared" si="4"/>
        <v>38</v>
      </c>
    </row>
    <row r="262" spans="1:16" x14ac:dyDescent="0.25">
      <c r="A262" t="s">
        <v>5354</v>
      </c>
      <c r="B262">
        <v>1902</v>
      </c>
      <c r="C262" t="s">
        <v>7160</v>
      </c>
      <c r="F262" t="s">
        <v>2944</v>
      </c>
      <c r="G262" t="s">
        <v>5355</v>
      </c>
      <c r="H262" t="s">
        <v>5224</v>
      </c>
      <c r="P262">
        <f t="shared" si="4"/>
        <v>63</v>
      </c>
    </row>
    <row r="263" spans="1:16" x14ac:dyDescent="0.25">
      <c r="A263" t="s">
        <v>5356</v>
      </c>
      <c r="B263">
        <v>1902</v>
      </c>
      <c r="C263" t="s">
        <v>7161</v>
      </c>
      <c r="F263" t="s">
        <v>5192</v>
      </c>
      <c r="G263" t="s">
        <v>5357</v>
      </c>
      <c r="H263" t="s">
        <v>5263</v>
      </c>
      <c r="P263">
        <f t="shared" si="4"/>
        <v>58</v>
      </c>
    </row>
    <row r="264" spans="1:16" x14ac:dyDescent="0.25">
      <c r="A264" t="s">
        <v>5358</v>
      </c>
      <c r="B264">
        <v>1902</v>
      </c>
      <c r="C264" t="s">
        <v>7162</v>
      </c>
      <c r="G264" t="s">
        <v>5359</v>
      </c>
      <c r="H264" t="s">
        <v>5360</v>
      </c>
      <c r="P264">
        <f t="shared" si="4"/>
        <v>51</v>
      </c>
    </row>
    <row r="265" spans="1:16" x14ac:dyDescent="0.25">
      <c r="A265" t="s">
        <v>5361</v>
      </c>
      <c r="B265">
        <v>1902</v>
      </c>
      <c r="C265" t="s">
        <v>7163</v>
      </c>
      <c r="H265" t="s">
        <v>5215</v>
      </c>
      <c r="P265">
        <f t="shared" si="4"/>
        <v>26</v>
      </c>
    </row>
    <row r="266" spans="1:16" x14ac:dyDescent="0.25">
      <c r="A266" t="s">
        <v>5362</v>
      </c>
      <c r="B266">
        <v>1902</v>
      </c>
      <c r="C266" t="s">
        <v>7164</v>
      </c>
      <c r="F266" t="s">
        <v>5363</v>
      </c>
      <c r="G266" t="s">
        <v>5364</v>
      </c>
      <c r="H266" t="s">
        <v>4915</v>
      </c>
      <c r="P266">
        <f t="shared" si="4"/>
        <v>52</v>
      </c>
    </row>
    <row r="267" spans="1:16" x14ac:dyDescent="0.25">
      <c r="A267" t="s">
        <v>5365</v>
      </c>
      <c r="B267">
        <v>1902</v>
      </c>
      <c r="C267" t="s">
        <v>7165</v>
      </c>
      <c r="H267" t="s">
        <v>5366</v>
      </c>
      <c r="P267">
        <f t="shared" si="4"/>
        <v>18</v>
      </c>
    </row>
    <row r="268" spans="1:16" x14ac:dyDescent="0.25">
      <c r="A268" t="s">
        <v>5367</v>
      </c>
      <c r="B268">
        <v>1902</v>
      </c>
      <c r="C268" t="s">
        <v>7166</v>
      </c>
      <c r="H268" t="s">
        <v>5368</v>
      </c>
      <c r="P268">
        <f t="shared" si="4"/>
        <v>19</v>
      </c>
    </row>
    <row r="269" spans="1:16" x14ac:dyDescent="0.25">
      <c r="A269" t="s">
        <v>5369</v>
      </c>
      <c r="B269">
        <v>1902</v>
      </c>
      <c r="C269" t="s">
        <v>7167</v>
      </c>
      <c r="H269" t="s">
        <v>5370</v>
      </c>
      <c r="P269">
        <f t="shared" si="4"/>
        <v>30</v>
      </c>
    </row>
    <row r="270" spans="1:16" x14ac:dyDescent="0.25">
      <c r="A270" t="s">
        <v>5371</v>
      </c>
      <c r="B270">
        <v>1902</v>
      </c>
      <c r="C270" t="s">
        <v>7168</v>
      </c>
      <c r="F270" t="s">
        <v>5203</v>
      </c>
      <c r="G270" t="s">
        <v>5372</v>
      </c>
      <c r="H270" t="s">
        <v>5373</v>
      </c>
      <c r="P270">
        <f t="shared" si="4"/>
        <v>54</v>
      </c>
    </row>
    <row r="271" spans="1:16" x14ac:dyDescent="0.25">
      <c r="A271" t="s">
        <v>5374</v>
      </c>
      <c r="B271">
        <v>1902</v>
      </c>
      <c r="C271" t="s">
        <v>7169</v>
      </c>
      <c r="G271" t="s">
        <v>5375</v>
      </c>
      <c r="H271" t="s">
        <v>5376</v>
      </c>
      <c r="P271">
        <f t="shared" si="4"/>
        <v>47</v>
      </c>
    </row>
    <row r="272" spans="1:16" x14ac:dyDescent="0.25">
      <c r="A272" t="s">
        <v>5377</v>
      </c>
      <c r="B272">
        <v>1902</v>
      </c>
      <c r="C272" t="s">
        <v>7170</v>
      </c>
      <c r="F272" t="s">
        <v>880</v>
      </c>
      <c r="G272" t="s">
        <v>5245</v>
      </c>
      <c r="H272" t="s">
        <v>5378</v>
      </c>
      <c r="P272">
        <f t="shared" si="4"/>
        <v>34</v>
      </c>
    </row>
    <row r="273" spans="1:16" x14ac:dyDescent="0.25">
      <c r="A273" t="s">
        <v>5379</v>
      </c>
      <c r="B273">
        <v>1902</v>
      </c>
      <c r="C273" t="s">
        <v>7171</v>
      </c>
      <c r="F273" t="s">
        <v>929</v>
      </c>
      <c r="G273" t="s">
        <v>5380</v>
      </c>
      <c r="H273" t="s">
        <v>3688</v>
      </c>
      <c r="P273">
        <f t="shared" si="4"/>
        <v>49</v>
      </c>
    </row>
    <row r="274" spans="1:16" x14ac:dyDescent="0.25">
      <c r="A274" t="s">
        <v>5381</v>
      </c>
      <c r="B274">
        <v>1902</v>
      </c>
      <c r="C274" t="s">
        <v>7172</v>
      </c>
      <c r="F274" t="s">
        <v>5192</v>
      </c>
      <c r="G274" t="s">
        <v>5382</v>
      </c>
      <c r="H274" t="s">
        <v>5383</v>
      </c>
      <c r="P274">
        <f t="shared" si="4"/>
        <v>71</v>
      </c>
    </row>
    <row r="275" spans="1:16" x14ac:dyDescent="0.25">
      <c r="A275" t="s">
        <v>5384</v>
      </c>
      <c r="B275">
        <v>1902</v>
      </c>
      <c r="C275" t="s">
        <v>7173</v>
      </c>
      <c r="G275" t="s">
        <v>5385</v>
      </c>
      <c r="H275" t="s">
        <v>5386</v>
      </c>
      <c r="P275">
        <f t="shared" si="4"/>
        <v>41</v>
      </c>
    </row>
    <row r="276" spans="1:16" x14ac:dyDescent="0.25">
      <c r="A276" t="s">
        <v>5387</v>
      </c>
      <c r="B276">
        <v>1902</v>
      </c>
      <c r="C276" t="s">
        <v>7174</v>
      </c>
      <c r="F276" t="s">
        <v>929</v>
      </c>
      <c r="G276" t="s">
        <v>5388</v>
      </c>
      <c r="H276" t="s">
        <v>5215</v>
      </c>
      <c r="P276">
        <f t="shared" si="4"/>
        <v>60</v>
      </c>
    </row>
    <row r="277" spans="1:16" x14ac:dyDescent="0.25">
      <c r="A277" t="s">
        <v>5389</v>
      </c>
      <c r="B277">
        <v>1902</v>
      </c>
      <c r="C277" t="s">
        <v>7175</v>
      </c>
      <c r="F277" t="s">
        <v>5177</v>
      </c>
      <c r="G277" t="s">
        <v>5357</v>
      </c>
      <c r="H277" t="s">
        <v>5390</v>
      </c>
      <c r="P277">
        <f t="shared" si="4"/>
        <v>58</v>
      </c>
    </row>
    <row r="278" spans="1:16" x14ac:dyDescent="0.25">
      <c r="A278" t="s">
        <v>5391</v>
      </c>
      <c r="B278">
        <v>1902</v>
      </c>
      <c r="C278" t="s">
        <v>7176</v>
      </c>
      <c r="F278" t="s">
        <v>929</v>
      </c>
      <c r="G278" t="s">
        <v>5392</v>
      </c>
      <c r="H278" t="s">
        <v>5393</v>
      </c>
      <c r="P278">
        <f t="shared" si="4"/>
        <v>50</v>
      </c>
    </row>
    <row r="279" spans="1:16" x14ac:dyDescent="0.25">
      <c r="A279" t="s">
        <v>5394</v>
      </c>
      <c r="B279">
        <v>1902</v>
      </c>
      <c r="C279" t="s">
        <v>7177</v>
      </c>
      <c r="F279" t="s">
        <v>4376</v>
      </c>
      <c r="G279" t="s">
        <v>5395</v>
      </c>
      <c r="H279" t="s">
        <v>5396</v>
      </c>
      <c r="P279">
        <f t="shared" si="4"/>
        <v>52</v>
      </c>
    </row>
    <row r="280" spans="1:16" x14ac:dyDescent="0.25">
      <c r="A280" t="s">
        <v>5397</v>
      </c>
      <c r="B280">
        <v>1902</v>
      </c>
      <c r="C280" t="s">
        <v>7178</v>
      </c>
      <c r="F280" t="s">
        <v>4458</v>
      </c>
      <c r="H280" t="s">
        <v>5194</v>
      </c>
      <c r="P280">
        <f t="shared" si="4"/>
        <v>24</v>
      </c>
    </row>
    <row r="281" spans="1:16" x14ac:dyDescent="0.25">
      <c r="A281" t="s">
        <v>5398</v>
      </c>
      <c r="B281">
        <v>1902</v>
      </c>
      <c r="C281" t="s">
        <v>7179</v>
      </c>
      <c r="H281" t="s">
        <v>5090</v>
      </c>
      <c r="P281">
        <f t="shared" si="4"/>
        <v>21</v>
      </c>
    </row>
    <row r="282" spans="1:16" x14ac:dyDescent="0.25">
      <c r="A282" t="s">
        <v>5399</v>
      </c>
      <c r="B282">
        <v>1902</v>
      </c>
      <c r="C282" t="s">
        <v>7180</v>
      </c>
      <c r="F282" t="s">
        <v>5192</v>
      </c>
      <c r="H282" t="s">
        <v>5258</v>
      </c>
      <c r="P282">
        <f t="shared" si="4"/>
        <v>40</v>
      </c>
    </row>
    <row r="283" spans="1:16" x14ac:dyDescent="0.25">
      <c r="A283" t="s">
        <v>5400</v>
      </c>
      <c r="B283">
        <v>1902</v>
      </c>
      <c r="C283" t="s">
        <v>7181</v>
      </c>
      <c r="F283" t="s">
        <v>929</v>
      </c>
      <c r="G283" t="s">
        <v>5401</v>
      </c>
      <c r="H283" t="s">
        <v>5090</v>
      </c>
      <c r="P283">
        <f t="shared" si="4"/>
        <v>51</v>
      </c>
    </row>
    <row r="284" spans="1:16" x14ac:dyDescent="0.25">
      <c r="A284" t="s">
        <v>5402</v>
      </c>
      <c r="B284">
        <v>1902</v>
      </c>
      <c r="C284" t="s">
        <v>7097</v>
      </c>
      <c r="F284" t="s">
        <v>5192</v>
      </c>
      <c r="H284" t="s">
        <v>5258</v>
      </c>
      <c r="P284">
        <f t="shared" si="4"/>
        <v>41</v>
      </c>
    </row>
    <row r="285" spans="1:16" x14ac:dyDescent="0.25">
      <c r="A285" t="s">
        <v>5402</v>
      </c>
      <c r="B285">
        <v>1902</v>
      </c>
      <c r="C285" t="s">
        <v>7097</v>
      </c>
      <c r="F285" t="s">
        <v>5192</v>
      </c>
      <c r="H285" t="s">
        <v>5258</v>
      </c>
      <c r="P285">
        <f t="shared" si="4"/>
        <v>41</v>
      </c>
    </row>
    <row r="286" spans="1:16" x14ac:dyDescent="0.25">
      <c r="A286" t="s">
        <v>5403</v>
      </c>
      <c r="B286">
        <v>1902</v>
      </c>
      <c r="C286" t="s">
        <v>7182</v>
      </c>
      <c r="F286" t="s">
        <v>4526</v>
      </c>
      <c r="H286" t="s">
        <v>5404</v>
      </c>
      <c r="P286">
        <f t="shared" si="4"/>
        <v>30</v>
      </c>
    </row>
    <row r="287" spans="1:16" x14ac:dyDescent="0.25">
      <c r="A287" t="s">
        <v>5405</v>
      </c>
      <c r="B287">
        <v>1902</v>
      </c>
      <c r="C287" t="s">
        <v>7183</v>
      </c>
      <c r="F287" t="s">
        <v>5177</v>
      </c>
      <c r="G287" t="s">
        <v>5406</v>
      </c>
      <c r="H287" t="s">
        <v>5194</v>
      </c>
      <c r="P287">
        <f t="shared" si="4"/>
        <v>44</v>
      </c>
    </row>
    <row r="288" spans="1:16" x14ac:dyDescent="0.25">
      <c r="A288" t="s">
        <v>5407</v>
      </c>
      <c r="B288">
        <v>1902</v>
      </c>
      <c r="C288" t="s">
        <v>7184</v>
      </c>
      <c r="F288" t="s">
        <v>5236</v>
      </c>
      <c r="G288" t="s">
        <v>5408</v>
      </c>
      <c r="H288" t="s">
        <v>5409</v>
      </c>
      <c r="P288">
        <f t="shared" si="4"/>
        <v>54</v>
      </c>
    </row>
    <row r="289" spans="1:16" x14ac:dyDescent="0.25">
      <c r="A289" t="s">
        <v>5410</v>
      </c>
      <c r="B289">
        <v>1902</v>
      </c>
      <c r="C289" t="s">
        <v>7185</v>
      </c>
      <c r="F289" t="s">
        <v>5192</v>
      </c>
      <c r="H289" t="s">
        <v>5263</v>
      </c>
      <c r="P289">
        <f t="shared" si="4"/>
        <v>36</v>
      </c>
    </row>
    <row r="290" spans="1:16" x14ac:dyDescent="0.25">
      <c r="A290" t="s">
        <v>5411</v>
      </c>
      <c r="B290">
        <v>1902</v>
      </c>
      <c r="C290" t="s">
        <v>7186</v>
      </c>
      <c r="F290" t="s">
        <v>4175</v>
      </c>
      <c r="H290" t="s">
        <v>5412</v>
      </c>
      <c r="P290">
        <f t="shared" si="4"/>
        <v>29</v>
      </c>
    </row>
    <row r="291" spans="1:16" x14ac:dyDescent="0.25">
      <c r="A291" t="s">
        <v>5413</v>
      </c>
      <c r="B291">
        <v>1902</v>
      </c>
      <c r="C291" t="s">
        <v>7187</v>
      </c>
      <c r="H291" t="s">
        <v>5414</v>
      </c>
      <c r="P291">
        <f t="shared" si="4"/>
        <v>23</v>
      </c>
    </row>
    <row r="292" spans="1:16" x14ac:dyDescent="0.25">
      <c r="A292" t="s">
        <v>5415</v>
      </c>
      <c r="B292">
        <v>1902</v>
      </c>
      <c r="C292" t="s">
        <v>7188</v>
      </c>
      <c r="F292" t="s">
        <v>1355</v>
      </c>
      <c r="G292" t="s">
        <v>5416</v>
      </c>
      <c r="H292" t="s">
        <v>4915</v>
      </c>
      <c r="P292">
        <f t="shared" si="4"/>
        <v>53</v>
      </c>
    </row>
    <row r="293" spans="1:16" x14ac:dyDescent="0.25">
      <c r="A293" t="s">
        <v>5417</v>
      </c>
      <c r="B293">
        <v>1902</v>
      </c>
      <c r="C293" t="s">
        <v>7189</v>
      </c>
      <c r="F293" t="s">
        <v>4526</v>
      </c>
      <c r="G293" t="s">
        <v>5418</v>
      </c>
      <c r="H293" t="s">
        <v>4892</v>
      </c>
      <c r="P293">
        <f t="shared" si="4"/>
        <v>50</v>
      </c>
    </row>
    <row r="294" spans="1:16" x14ac:dyDescent="0.25">
      <c r="A294" t="s">
        <v>5419</v>
      </c>
      <c r="B294">
        <v>1902</v>
      </c>
      <c r="C294" t="s">
        <v>7101</v>
      </c>
      <c r="H294" t="s">
        <v>4898</v>
      </c>
      <c r="P294">
        <f t="shared" si="4"/>
        <v>16</v>
      </c>
    </row>
    <row r="295" spans="1:16" s="3" customFormat="1" x14ac:dyDescent="0.25">
      <c r="A295" s="3" t="s">
        <v>5420</v>
      </c>
      <c r="B295" s="3">
        <v>1902</v>
      </c>
      <c r="C295" s="3" t="s">
        <v>7190</v>
      </c>
      <c r="G295" s="3" t="s">
        <v>5421</v>
      </c>
      <c r="H295" s="3" t="s">
        <v>5422</v>
      </c>
      <c r="P295">
        <f t="shared" si="4"/>
        <v>37</v>
      </c>
    </row>
    <row r="296" spans="1:16" s="4" customFormat="1" x14ac:dyDescent="0.25">
      <c r="A296" s="4" t="s">
        <v>5423</v>
      </c>
      <c r="B296" s="4">
        <v>1902</v>
      </c>
      <c r="C296" s="4" t="s">
        <v>7191</v>
      </c>
      <c r="F296" s="4" t="s">
        <v>929</v>
      </c>
      <c r="G296" s="4" t="s">
        <v>5346</v>
      </c>
      <c r="H296" s="4" t="s">
        <v>5366</v>
      </c>
      <c r="P296">
        <f t="shared" si="4"/>
        <v>51</v>
      </c>
    </row>
    <row r="297" spans="1:16" x14ac:dyDescent="0.25">
      <c r="A297" t="s">
        <v>5424</v>
      </c>
      <c r="B297">
        <v>1902</v>
      </c>
      <c r="C297" t="s">
        <v>7192</v>
      </c>
      <c r="H297" t="s">
        <v>5083</v>
      </c>
      <c r="P297">
        <f t="shared" si="4"/>
        <v>26</v>
      </c>
    </row>
    <row r="298" spans="1:16" s="4" customFormat="1" x14ac:dyDescent="0.25">
      <c r="A298" s="4" t="s">
        <v>5425</v>
      </c>
      <c r="B298" s="4">
        <v>1902</v>
      </c>
      <c r="C298" s="4" t="s">
        <v>7193</v>
      </c>
      <c r="H298" s="4" t="s">
        <v>3688</v>
      </c>
      <c r="P298">
        <f t="shared" si="4"/>
        <v>22</v>
      </c>
    </row>
    <row r="299" spans="1:16" x14ac:dyDescent="0.25">
      <c r="A299" t="s">
        <v>5426</v>
      </c>
      <c r="B299">
        <v>1902</v>
      </c>
      <c r="C299" t="s">
        <v>7194</v>
      </c>
      <c r="F299" t="s">
        <v>5363</v>
      </c>
      <c r="G299" t="s">
        <v>5427</v>
      </c>
      <c r="H299" t="s">
        <v>4915</v>
      </c>
      <c r="L299" t="s">
        <v>28</v>
      </c>
      <c r="M299" t="s">
        <v>28</v>
      </c>
      <c r="P299">
        <f t="shared" si="4"/>
        <v>69</v>
      </c>
    </row>
    <row r="300" spans="1:16" s="4" customFormat="1" x14ac:dyDescent="0.25">
      <c r="A300" s="4" t="s">
        <v>5428</v>
      </c>
      <c r="B300" s="4">
        <v>1902</v>
      </c>
      <c r="C300" s="4" t="s">
        <v>7195</v>
      </c>
      <c r="H300" s="4" t="s">
        <v>5324</v>
      </c>
      <c r="P300">
        <f t="shared" si="4"/>
        <v>21</v>
      </c>
    </row>
    <row r="301" spans="1:16" x14ac:dyDescent="0.25">
      <c r="A301" t="s">
        <v>5429</v>
      </c>
      <c r="B301">
        <v>1902</v>
      </c>
      <c r="C301" t="s">
        <v>7196</v>
      </c>
      <c r="F301" t="s">
        <v>5177</v>
      </c>
      <c r="G301" t="s">
        <v>5430</v>
      </c>
      <c r="H301" t="s">
        <v>5431</v>
      </c>
      <c r="P301">
        <f t="shared" si="4"/>
        <v>66</v>
      </c>
    </row>
    <row r="302" spans="1:16" x14ac:dyDescent="0.25">
      <c r="A302" t="s">
        <v>5432</v>
      </c>
      <c r="B302">
        <v>1902</v>
      </c>
      <c r="C302" t="s">
        <v>7197</v>
      </c>
      <c r="G302" t="s">
        <v>5433</v>
      </c>
      <c r="H302" t="s">
        <v>5194</v>
      </c>
      <c r="M302" t="s">
        <v>28</v>
      </c>
      <c r="P302">
        <f t="shared" si="4"/>
        <v>27</v>
      </c>
    </row>
    <row r="303" spans="1:16" s="4" customFormat="1" x14ac:dyDescent="0.25">
      <c r="A303" s="4" t="s">
        <v>5434</v>
      </c>
      <c r="B303" s="4">
        <v>1902</v>
      </c>
      <c r="C303" s="4" t="s">
        <v>7198</v>
      </c>
      <c r="F303" s="4" t="s">
        <v>4526</v>
      </c>
      <c r="G303" s="4" t="s">
        <v>5435</v>
      </c>
      <c r="H303" s="4" t="s">
        <v>5436</v>
      </c>
      <c r="P303">
        <f t="shared" si="4"/>
        <v>49</v>
      </c>
    </row>
    <row r="304" spans="1:16" x14ac:dyDescent="0.25">
      <c r="A304" t="s">
        <v>5437</v>
      </c>
      <c r="B304">
        <v>1902</v>
      </c>
      <c r="C304" t="s">
        <v>7199</v>
      </c>
      <c r="F304" t="s">
        <v>5192</v>
      </c>
      <c r="G304" t="s">
        <v>5438</v>
      </c>
      <c r="H304" t="s">
        <v>5224</v>
      </c>
      <c r="L304" t="s">
        <v>28</v>
      </c>
      <c r="M304" t="s">
        <v>28</v>
      </c>
      <c r="P304">
        <f t="shared" si="4"/>
        <v>53</v>
      </c>
    </row>
    <row r="305" spans="1:16" s="4" customFormat="1" x14ac:dyDescent="0.25">
      <c r="A305" s="4" t="s">
        <v>5439</v>
      </c>
      <c r="B305" s="4">
        <v>1902</v>
      </c>
      <c r="C305" s="4" t="s">
        <v>7200</v>
      </c>
      <c r="G305" s="4" t="s">
        <v>5440</v>
      </c>
      <c r="H305" s="4" t="s">
        <v>5182</v>
      </c>
      <c r="P305">
        <f t="shared" si="4"/>
        <v>29</v>
      </c>
    </row>
    <row r="306" spans="1:16" s="4" customFormat="1" x14ac:dyDescent="0.25">
      <c r="A306" s="4" t="s">
        <v>5441</v>
      </c>
      <c r="B306" s="4">
        <v>1902</v>
      </c>
      <c r="C306" s="4" t="s">
        <v>7201</v>
      </c>
      <c r="H306" s="4" t="s">
        <v>5194</v>
      </c>
      <c r="P306">
        <f t="shared" si="4"/>
        <v>18</v>
      </c>
    </row>
    <row r="307" spans="1:16" s="4" customFormat="1" x14ac:dyDescent="0.25">
      <c r="A307" s="4" t="s">
        <v>5442</v>
      </c>
      <c r="B307" s="4">
        <v>1902</v>
      </c>
      <c r="C307" s="4" t="s">
        <v>7202</v>
      </c>
      <c r="H307" s="4" t="s">
        <v>5443</v>
      </c>
      <c r="P307">
        <f t="shared" si="4"/>
        <v>36</v>
      </c>
    </row>
    <row r="308" spans="1:16" s="4" customFormat="1" x14ac:dyDescent="0.25">
      <c r="A308" s="4" t="s">
        <v>5444</v>
      </c>
      <c r="B308" s="4">
        <v>1902</v>
      </c>
      <c r="C308" s="4" t="s">
        <v>7203</v>
      </c>
      <c r="H308" s="4" t="s">
        <v>5445</v>
      </c>
      <c r="P308">
        <f t="shared" si="4"/>
        <v>23</v>
      </c>
    </row>
    <row r="309" spans="1:16" s="4" customFormat="1" x14ac:dyDescent="0.25">
      <c r="A309" s="4" t="s">
        <v>5446</v>
      </c>
      <c r="B309" s="4">
        <v>1902</v>
      </c>
      <c r="C309" s="4" t="s">
        <v>7204</v>
      </c>
      <c r="H309" s="4" t="s">
        <v>5274</v>
      </c>
      <c r="P309">
        <f t="shared" si="4"/>
        <v>37</v>
      </c>
    </row>
    <row r="310" spans="1:16" s="4" customFormat="1" x14ac:dyDescent="0.25">
      <c r="A310" s="4" t="s">
        <v>5447</v>
      </c>
      <c r="B310" s="4">
        <v>1902</v>
      </c>
      <c r="C310" s="4" t="s">
        <v>7205</v>
      </c>
      <c r="H310" s="4" t="s">
        <v>5448</v>
      </c>
      <c r="P310">
        <f t="shared" si="4"/>
        <v>21</v>
      </c>
    </row>
    <row r="311" spans="1:16" x14ac:dyDescent="0.25">
      <c r="A311" t="s">
        <v>5449</v>
      </c>
      <c r="B311">
        <v>1902</v>
      </c>
      <c r="C311" t="s">
        <v>7206</v>
      </c>
      <c r="F311" t="s">
        <v>5192</v>
      </c>
      <c r="H311" t="s">
        <v>5450</v>
      </c>
      <c r="L311" t="s">
        <v>28</v>
      </c>
      <c r="N311" t="s">
        <v>28</v>
      </c>
      <c r="P311">
        <f t="shared" si="4"/>
        <v>41</v>
      </c>
    </row>
    <row r="312" spans="1:16" x14ac:dyDescent="0.25">
      <c r="A312" t="s">
        <v>5451</v>
      </c>
      <c r="B312">
        <v>1902</v>
      </c>
      <c r="C312" t="s">
        <v>7207</v>
      </c>
      <c r="F312" t="s">
        <v>4352</v>
      </c>
      <c r="G312" t="s">
        <v>5452</v>
      </c>
      <c r="H312" t="s">
        <v>5224</v>
      </c>
      <c r="L312" t="s">
        <v>28</v>
      </c>
      <c r="M312" t="s">
        <v>28</v>
      </c>
      <c r="N312" t="s">
        <v>28</v>
      </c>
      <c r="P312">
        <f t="shared" si="4"/>
        <v>48</v>
      </c>
    </row>
    <row r="313" spans="1:16" s="4" customFormat="1" x14ac:dyDescent="0.25">
      <c r="A313" s="4" t="s">
        <v>5453</v>
      </c>
      <c r="B313" s="4">
        <v>1902</v>
      </c>
      <c r="C313" s="4" t="s">
        <v>7208</v>
      </c>
      <c r="F313" s="4" t="s">
        <v>5203</v>
      </c>
      <c r="G313" s="4" t="s">
        <v>5454</v>
      </c>
      <c r="H313" s="4" t="s">
        <v>5455</v>
      </c>
      <c r="P313">
        <f t="shared" si="4"/>
        <v>54</v>
      </c>
    </row>
    <row r="314" spans="1:16" x14ac:dyDescent="0.25">
      <c r="A314" t="s">
        <v>5456</v>
      </c>
      <c r="B314">
        <v>1902</v>
      </c>
      <c r="C314" t="s">
        <v>7209</v>
      </c>
      <c r="F314" t="s">
        <v>5192</v>
      </c>
      <c r="H314" t="s">
        <v>5457</v>
      </c>
      <c r="L314" t="s">
        <v>28</v>
      </c>
      <c r="N314" t="s">
        <v>28</v>
      </c>
      <c r="P314">
        <f t="shared" si="4"/>
        <v>37</v>
      </c>
    </row>
    <row r="315" spans="1:16" s="4" customFormat="1" x14ac:dyDescent="0.25">
      <c r="A315" s="4" t="s">
        <v>5458</v>
      </c>
      <c r="B315" s="4">
        <v>1902</v>
      </c>
      <c r="C315" s="4" t="s">
        <v>7210</v>
      </c>
      <c r="F315" s="4" t="s">
        <v>5236</v>
      </c>
      <c r="H315" s="4" t="s">
        <v>5459</v>
      </c>
      <c r="P315">
        <f t="shared" si="4"/>
        <v>32</v>
      </c>
    </row>
    <row r="316" spans="1:16" x14ac:dyDescent="0.25">
      <c r="A316" t="s">
        <v>5460</v>
      </c>
      <c r="B316">
        <v>1902</v>
      </c>
      <c r="C316" t="s">
        <v>7211</v>
      </c>
      <c r="F316" t="s">
        <v>929</v>
      </c>
      <c r="H316" t="s">
        <v>5461</v>
      </c>
      <c r="L316" t="s">
        <v>28</v>
      </c>
      <c r="N316" t="s">
        <v>28</v>
      </c>
      <c r="P316">
        <f t="shared" si="4"/>
        <v>35</v>
      </c>
    </row>
    <row r="317" spans="1:16" x14ac:dyDescent="0.25">
      <c r="A317" t="s">
        <v>5462</v>
      </c>
      <c r="B317">
        <v>1902</v>
      </c>
      <c r="C317" t="s">
        <v>7211</v>
      </c>
      <c r="F317" t="s">
        <v>880</v>
      </c>
      <c r="G317" t="s">
        <v>5463</v>
      </c>
      <c r="H317" t="s">
        <v>5464</v>
      </c>
      <c r="M317" t="s">
        <v>28</v>
      </c>
      <c r="N317" t="s">
        <v>28</v>
      </c>
      <c r="P317">
        <f t="shared" si="4"/>
        <v>52</v>
      </c>
    </row>
    <row r="318" spans="1:16" s="4" customFormat="1" x14ac:dyDescent="0.25">
      <c r="A318" s="4" t="s">
        <v>5465</v>
      </c>
      <c r="B318" s="4">
        <v>1902</v>
      </c>
      <c r="C318" s="4" t="s">
        <v>7212</v>
      </c>
      <c r="G318" s="4" t="s">
        <v>5260</v>
      </c>
      <c r="H318" s="4" t="s">
        <v>5194</v>
      </c>
      <c r="P318">
        <f t="shared" si="4"/>
        <v>34</v>
      </c>
    </row>
    <row r="319" spans="1:16" s="4" customFormat="1" x14ac:dyDescent="0.25">
      <c r="A319" s="4" t="s">
        <v>5466</v>
      </c>
      <c r="B319" s="4">
        <v>1902</v>
      </c>
      <c r="C319" s="4" t="s">
        <v>7213</v>
      </c>
      <c r="F319" s="4" t="s">
        <v>5192</v>
      </c>
      <c r="G319" s="4" t="s">
        <v>5467</v>
      </c>
      <c r="H319" s="4" t="s">
        <v>5468</v>
      </c>
      <c r="P319">
        <f t="shared" si="4"/>
        <v>55</v>
      </c>
    </row>
    <row r="320" spans="1:16" s="4" customFormat="1" x14ac:dyDescent="0.25">
      <c r="A320" s="4" t="s">
        <v>5469</v>
      </c>
      <c r="B320" s="4">
        <v>1902</v>
      </c>
      <c r="C320" s="4" t="s">
        <v>7214</v>
      </c>
      <c r="F320" s="4" t="s">
        <v>929</v>
      </c>
      <c r="G320" s="4" t="s">
        <v>5470</v>
      </c>
      <c r="H320" s="4" t="s">
        <v>5471</v>
      </c>
      <c r="P320">
        <f t="shared" si="4"/>
        <v>47</v>
      </c>
    </row>
    <row r="321" spans="1:16" s="4" customFormat="1" x14ac:dyDescent="0.25">
      <c r="A321" s="4" t="s">
        <v>5472</v>
      </c>
      <c r="B321" s="4">
        <v>1902</v>
      </c>
      <c r="C321" s="4" t="s">
        <v>7215</v>
      </c>
      <c r="H321" s="4" t="s">
        <v>5473</v>
      </c>
      <c r="P321">
        <f t="shared" si="4"/>
        <v>28</v>
      </c>
    </row>
    <row r="322" spans="1:16" x14ac:dyDescent="0.25">
      <c r="A322" t="s">
        <v>5474</v>
      </c>
      <c r="B322">
        <v>1902</v>
      </c>
      <c r="C322" t="s">
        <v>7216</v>
      </c>
      <c r="H322" t="s">
        <v>5215</v>
      </c>
      <c r="P322">
        <f t="shared" ref="P322:P383" si="5">LEN(C322)+LEN(D322)+LEN(E322)+LEN(F322)+LEN(G322)+LEN(H322)</f>
        <v>29</v>
      </c>
    </row>
    <row r="323" spans="1:16" s="4" customFormat="1" x14ac:dyDescent="0.25">
      <c r="A323" s="4" t="s">
        <v>5475</v>
      </c>
      <c r="B323" s="4">
        <v>1902</v>
      </c>
      <c r="C323" s="4" t="s">
        <v>7217</v>
      </c>
      <c r="F323" s="4" t="s">
        <v>929</v>
      </c>
      <c r="G323" s="4" t="s">
        <v>5476</v>
      </c>
      <c r="H323" s="4" t="s">
        <v>5477</v>
      </c>
      <c r="P323">
        <f t="shared" si="5"/>
        <v>56</v>
      </c>
    </row>
    <row r="324" spans="1:16" s="4" customFormat="1" x14ac:dyDescent="0.25">
      <c r="A324" s="4" t="s">
        <v>5478</v>
      </c>
      <c r="B324" s="4">
        <v>1902</v>
      </c>
      <c r="C324" s="4" t="s">
        <v>7218</v>
      </c>
      <c r="F324" s="4" t="s">
        <v>5479</v>
      </c>
      <c r="G324" s="4" t="s">
        <v>5480</v>
      </c>
      <c r="H324" s="4" t="s">
        <v>5194</v>
      </c>
      <c r="P324">
        <f t="shared" si="5"/>
        <v>46</v>
      </c>
    </row>
    <row r="325" spans="1:16" s="4" customFormat="1" x14ac:dyDescent="0.25">
      <c r="A325" s="4" t="s">
        <v>5481</v>
      </c>
      <c r="B325" s="4">
        <v>1902</v>
      </c>
      <c r="C325" s="4" t="s">
        <v>7219</v>
      </c>
      <c r="F325" s="4" t="s">
        <v>5192</v>
      </c>
      <c r="G325" s="4" t="s">
        <v>5482</v>
      </c>
      <c r="H325" s="4" t="s">
        <v>4915</v>
      </c>
      <c r="P325">
        <f t="shared" si="5"/>
        <v>52</v>
      </c>
    </row>
    <row r="326" spans="1:16" s="4" customFormat="1" x14ac:dyDescent="0.25">
      <c r="A326" s="4" t="s">
        <v>5483</v>
      </c>
      <c r="B326" s="4">
        <v>1902</v>
      </c>
      <c r="C326" s="4" t="s">
        <v>7220</v>
      </c>
      <c r="F326" s="4" t="s">
        <v>5192</v>
      </c>
      <c r="H326" s="4" t="s">
        <v>5484</v>
      </c>
      <c r="P326">
        <f t="shared" si="5"/>
        <v>43</v>
      </c>
    </row>
    <row r="327" spans="1:16" x14ac:dyDescent="0.25">
      <c r="A327" t="s">
        <v>5485</v>
      </c>
      <c r="B327">
        <v>1902</v>
      </c>
      <c r="C327" t="s">
        <v>7221</v>
      </c>
      <c r="F327" t="s">
        <v>929</v>
      </c>
      <c r="G327" t="s">
        <v>5486</v>
      </c>
      <c r="H327" t="s">
        <v>5487</v>
      </c>
      <c r="L327" t="s">
        <v>28</v>
      </c>
      <c r="M327" t="s">
        <v>28</v>
      </c>
      <c r="P327">
        <f t="shared" si="5"/>
        <v>51</v>
      </c>
    </row>
    <row r="328" spans="1:16" s="4" customFormat="1" x14ac:dyDescent="0.25">
      <c r="A328" s="4" t="s">
        <v>5488</v>
      </c>
      <c r="B328" s="4">
        <v>1902</v>
      </c>
      <c r="C328" s="4" t="s">
        <v>7222</v>
      </c>
      <c r="H328" s="4" t="s">
        <v>5489</v>
      </c>
      <c r="P328">
        <f t="shared" si="5"/>
        <v>21</v>
      </c>
    </row>
    <row r="329" spans="1:16" s="4" customFormat="1" x14ac:dyDescent="0.25">
      <c r="A329" s="4" t="s">
        <v>5490</v>
      </c>
      <c r="B329" s="4">
        <v>1902</v>
      </c>
      <c r="C329" s="4" t="s">
        <v>7223</v>
      </c>
      <c r="F329" s="4" t="s">
        <v>4637</v>
      </c>
      <c r="G329" s="4" t="s">
        <v>5491</v>
      </c>
      <c r="H329" s="4" t="s">
        <v>5492</v>
      </c>
      <c r="P329">
        <f t="shared" si="5"/>
        <v>59</v>
      </c>
    </row>
    <row r="330" spans="1:16" s="4" customFormat="1" x14ac:dyDescent="0.25">
      <c r="A330" s="4" t="s">
        <v>5493</v>
      </c>
      <c r="B330" s="4">
        <v>1902</v>
      </c>
      <c r="C330" s="4" t="s">
        <v>7224</v>
      </c>
      <c r="F330" s="4" t="s">
        <v>880</v>
      </c>
      <c r="G330" s="4" t="s">
        <v>5494</v>
      </c>
      <c r="H330" s="4" t="s">
        <v>5495</v>
      </c>
      <c r="P330">
        <f t="shared" si="5"/>
        <v>52</v>
      </c>
    </row>
    <row r="331" spans="1:16" x14ac:dyDescent="0.25">
      <c r="A331" t="s">
        <v>5496</v>
      </c>
      <c r="B331">
        <v>1902</v>
      </c>
      <c r="C331" t="s">
        <v>7225</v>
      </c>
      <c r="H331" t="s">
        <v>5497</v>
      </c>
      <c r="N331" t="s">
        <v>28</v>
      </c>
      <c r="P331">
        <f t="shared" si="5"/>
        <v>31</v>
      </c>
    </row>
    <row r="332" spans="1:16" s="4" customFormat="1" x14ac:dyDescent="0.25">
      <c r="A332" s="4" t="s">
        <v>5498</v>
      </c>
      <c r="B332" s="4">
        <v>1902</v>
      </c>
      <c r="C332" s="4" t="s">
        <v>7226</v>
      </c>
      <c r="F332" s="4" t="s">
        <v>880</v>
      </c>
      <c r="G332" s="4" t="s">
        <v>5499</v>
      </c>
      <c r="H332" s="4" t="s">
        <v>5500</v>
      </c>
      <c r="P332">
        <f t="shared" si="5"/>
        <v>59</v>
      </c>
    </row>
    <row r="333" spans="1:16" s="4" customFormat="1" x14ac:dyDescent="0.25">
      <c r="A333" s="4" t="s">
        <v>5501</v>
      </c>
      <c r="B333" s="4">
        <v>1903</v>
      </c>
      <c r="C333" s="4" t="s">
        <v>7227</v>
      </c>
      <c r="F333" s="4" t="s">
        <v>5177</v>
      </c>
      <c r="H333" s="4" t="s">
        <v>5502</v>
      </c>
      <c r="P333">
        <f t="shared" si="5"/>
        <v>40</v>
      </c>
    </row>
    <row r="334" spans="1:16" s="4" customFormat="1" x14ac:dyDescent="0.25">
      <c r="A334" s="4" t="s">
        <v>5503</v>
      </c>
      <c r="B334" s="4">
        <v>1903</v>
      </c>
      <c r="C334" s="4" t="s">
        <v>7228</v>
      </c>
      <c r="F334" s="4" t="s">
        <v>5236</v>
      </c>
      <c r="H334" s="4" t="s">
        <v>5504</v>
      </c>
      <c r="P334">
        <f t="shared" si="5"/>
        <v>34</v>
      </c>
    </row>
    <row r="335" spans="1:16" x14ac:dyDescent="0.25">
      <c r="A335" t="s">
        <v>5505</v>
      </c>
      <c r="B335">
        <v>1904</v>
      </c>
      <c r="C335" t="s">
        <v>7229</v>
      </c>
      <c r="F335" t="s">
        <v>5192</v>
      </c>
      <c r="H335" t="s">
        <v>5117</v>
      </c>
      <c r="P335">
        <f t="shared" si="5"/>
        <v>40</v>
      </c>
    </row>
    <row r="336" spans="1:16" x14ac:dyDescent="0.25">
      <c r="A336" t="s">
        <v>5506</v>
      </c>
      <c r="B336">
        <v>1904</v>
      </c>
      <c r="C336" t="s">
        <v>7230</v>
      </c>
      <c r="F336" t="s">
        <v>5507</v>
      </c>
      <c r="H336" t="s">
        <v>5508</v>
      </c>
      <c r="P336">
        <f t="shared" si="5"/>
        <v>42</v>
      </c>
    </row>
    <row r="337" spans="1:16" x14ac:dyDescent="0.25">
      <c r="A337" t="s">
        <v>5509</v>
      </c>
      <c r="B337">
        <v>1904</v>
      </c>
      <c r="C337" t="s">
        <v>7231</v>
      </c>
      <c r="F337" t="s">
        <v>5236</v>
      </c>
      <c r="H337" t="s">
        <v>5510</v>
      </c>
      <c r="P337">
        <f t="shared" si="5"/>
        <v>30</v>
      </c>
    </row>
    <row r="338" spans="1:16" x14ac:dyDescent="0.25">
      <c r="A338" t="s">
        <v>5511</v>
      </c>
      <c r="B338">
        <v>1904</v>
      </c>
      <c r="C338" t="s">
        <v>7232</v>
      </c>
      <c r="F338" t="s">
        <v>2944</v>
      </c>
      <c r="H338" t="s">
        <v>5508</v>
      </c>
      <c r="P338">
        <f t="shared" si="5"/>
        <v>31</v>
      </c>
    </row>
    <row r="339" spans="1:16" x14ac:dyDescent="0.25">
      <c r="A339" t="s">
        <v>5512</v>
      </c>
      <c r="B339">
        <v>1905</v>
      </c>
      <c r="C339" t="s">
        <v>7233</v>
      </c>
      <c r="H339" t="s">
        <v>5513</v>
      </c>
      <c r="P339">
        <f t="shared" si="5"/>
        <v>23</v>
      </c>
    </row>
    <row r="340" spans="1:16" x14ac:dyDescent="0.25">
      <c r="A340" t="s">
        <v>5514</v>
      </c>
      <c r="B340">
        <v>1905</v>
      </c>
      <c r="C340" t="s">
        <v>7234</v>
      </c>
      <c r="H340" t="s">
        <v>5224</v>
      </c>
      <c r="P340">
        <f t="shared" si="5"/>
        <v>23</v>
      </c>
    </row>
    <row r="341" spans="1:16" x14ac:dyDescent="0.25">
      <c r="A341" t="s">
        <v>5515</v>
      </c>
      <c r="B341">
        <v>1905</v>
      </c>
      <c r="C341" t="s">
        <v>7235</v>
      </c>
      <c r="H341" t="s">
        <v>3688</v>
      </c>
      <c r="P341">
        <f t="shared" si="5"/>
        <v>23</v>
      </c>
    </row>
    <row r="342" spans="1:16" x14ac:dyDescent="0.25">
      <c r="A342" t="s">
        <v>5516</v>
      </c>
      <c r="B342">
        <v>1905</v>
      </c>
      <c r="C342" t="s">
        <v>7236</v>
      </c>
      <c r="H342" t="s">
        <v>5517</v>
      </c>
      <c r="P342">
        <f t="shared" si="5"/>
        <v>27</v>
      </c>
    </row>
    <row r="343" spans="1:16" x14ac:dyDescent="0.25">
      <c r="A343" t="s">
        <v>5518</v>
      </c>
      <c r="B343">
        <v>1905</v>
      </c>
      <c r="C343" t="s">
        <v>7237</v>
      </c>
      <c r="H343" t="s">
        <v>5519</v>
      </c>
      <c r="P343">
        <f t="shared" si="5"/>
        <v>26</v>
      </c>
    </row>
    <row r="344" spans="1:16" x14ac:dyDescent="0.25">
      <c r="A344" t="s">
        <v>5520</v>
      </c>
      <c r="B344">
        <v>1905</v>
      </c>
      <c r="C344" t="s">
        <v>7238</v>
      </c>
      <c r="H344" t="s">
        <v>5521</v>
      </c>
      <c r="P344">
        <f t="shared" si="5"/>
        <v>29</v>
      </c>
    </row>
    <row r="345" spans="1:16" x14ac:dyDescent="0.25">
      <c r="A345" t="s">
        <v>5522</v>
      </c>
      <c r="B345">
        <v>1905</v>
      </c>
      <c r="C345" t="s">
        <v>7239</v>
      </c>
      <c r="H345" t="s">
        <v>3688</v>
      </c>
      <c r="P345">
        <f t="shared" si="5"/>
        <v>21</v>
      </c>
    </row>
    <row r="346" spans="1:16" x14ac:dyDescent="0.25">
      <c r="A346" t="s">
        <v>5523</v>
      </c>
      <c r="B346">
        <v>1905</v>
      </c>
      <c r="C346" t="s">
        <v>7240</v>
      </c>
      <c r="H346" t="s">
        <v>5492</v>
      </c>
      <c r="P346">
        <f t="shared" si="5"/>
        <v>21</v>
      </c>
    </row>
    <row r="347" spans="1:16" x14ac:dyDescent="0.25">
      <c r="A347" t="s">
        <v>5524</v>
      </c>
      <c r="B347">
        <v>1905</v>
      </c>
      <c r="C347" t="s">
        <v>7241</v>
      </c>
      <c r="H347" t="s">
        <v>5525</v>
      </c>
      <c r="P347">
        <f t="shared" si="5"/>
        <v>32</v>
      </c>
    </row>
    <row r="348" spans="1:16" s="8" customFormat="1" x14ac:dyDescent="0.25">
      <c r="A348" s="8" t="s">
        <v>5526</v>
      </c>
      <c r="B348" s="8">
        <v>1906</v>
      </c>
      <c r="C348" s="8" t="s">
        <v>7242</v>
      </c>
      <c r="H348" s="8" t="s">
        <v>5527</v>
      </c>
      <c r="P348">
        <f t="shared" si="5"/>
        <v>32</v>
      </c>
    </row>
    <row r="349" spans="1:16" x14ac:dyDescent="0.25">
      <c r="A349" t="s">
        <v>5528</v>
      </c>
      <c r="B349">
        <v>1907</v>
      </c>
      <c r="C349" t="s">
        <v>7243</v>
      </c>
      <c r="H349" t="s">
        <v>5529</v>
      </c>
      <c r="P349">
        <f t="shared" si="5"/>
        <v>19</v>
      </c>
    </row>
    <row r="350" spans="1:16" x14ac:dyDescent="0.25">
      <c r="A350" t="s">
        <v>5530</v>
      </c>
      <c r="B350">
        <v>1907</v>
      </c>
      <c r="C350" t="s">
        <v>7244</v>
      </c>
      <c r="H350" t="s">
        <v>5531</v>
      </c>
      <c r="P350">
        <f t="shared" si="5"/>
        <v>19</v>
      </c>
    </row>
    <row r="351" spans="1:16" x14ac:dyDescent="0.25">
      <c r="A351" t="s">
        <v>5532</v>
      </c>
      <c r="B351">
        <v>1907</v>
      </c>
      <c r="C351" t="s">
        <v>7245</v>
      </c>
      <c r="H351" t="s">
        <v>5094</v>
      </c>
      <c r="P351">
        <f t="shared" si="5"/>
        <v>23</v>
      </c>
    </row>
    <row r="352" spans="1:16" x14ac:dyDescent="0.25">
      <c r="A352" t="s">
        <v>5533</v>
      </c>
      <c r="B352">
        <v>1907</v>
      </c>
      <c r="C352" t="s">
        <v>7246</v>
      </c>
      <c r="H352" t="s">
        <v>5534</v>
      </c>
      <c r="P352">
        <f t="shared" si="5"/>
        <v>32</v>
      </c>
    </row>
    <row r="353" spans="1:16" x14ac:dyDescent="0.25">
      <c r="A353" t="s">
        <v>5535</v>
      </c>
      <c r="B353">
        <v>1907</v>
      </c>
      <c r="C353" t="s">
        <v>7247</v>
      </c>
      <c r="H353" t="s">
        <v>5536</v>
      </c>
      <c r="P353">
        <f t="shared" si="5"/>
        <v>19</v>
      </c>
    </row>
    <row r="354" spans="1:16" x14ac:dyDescent="0.25">
      <c r="A354" t="s">
        <v>5537</v>
      </c>
      <c r="B354">
        <v>1907</v>
      </c>
      <c r="C354" t="s">
        <v>7248</v>
      </c>
      <c r="H354" t="s">
        <v>5538</v>
      </c>
      <c r="P354">
        <f t="shared" si="5"/>
        <v>23</v>
      </c>
    </row>
    <row r="355" spans="1:16" x14ac:dyDescent="0.25">
      <c r="A355" t="s">
        <v>5539</v>
      </c>
      <c r="B355">
        <v>1907</v>
      </c>
      <c r="C355" t="s">
        <v>7249</v>
      </c>
      <c r="H355" t="s">
        <v>5540</v>
      </c>
      <c r="P355">
        <f t="shared" si="5"/>
        <v>24</v>
      </c>
    </row>
    <row r="356" spans="1:16" x14ac:dyDescent="0.25">
      <c r="A356" t="s">
        <v>5541</v>
      </c>
      <c r="B356">
        <v>1907</v>
      </c>
      <c r="C356" t="s">
        <v>7225</v>
      </c>
      <c r="H356" t="s">
        <v>5542</v>
      </c>
      <c r="P356">
        <f t="shared" si="5"/>
        <v>24</v>
      </c>
    </row>
    <row r="357" spans="1:16" x14ac:dyDescent="0.25">
      <c r="A357" t="s">
        <v>5543</v>
      </c>
      <c r="B357">
        <v>1908</v>
      </c>
      <c r="C357" t="s">
        <v>7250</v>
      </c>
      <c r="H357" t="s">
        <v>5544</v>
      </c>
      <c r="P357">
        <f t="shared" si="5"/>
        <v>20</v>
      </c>
    </row>
    <row r="358" spans="1:16" x14ac:dyDescent="0.25">
      <c r="A358" t="s">
        <v>5545</v>
      </c>
      <c r="B358">
        <v>1908</v>
      </c>
      <c r="C358" t="s">
        <v>7251</v>
      </c>
      <c r="H358" t="s">
        <v>5546</v>
      </c>
      <c r="P358">
        <f t="shared" si="5"/>
        <v>24</v>
      </c>
    </row>
    <row r="359" spans="1:16" x14ac:dyDescent="0.25">
      <c r="A359" t="s">
        <v>5547</v>
      </c>
      <c r="B359">
        <v>1908</v>
      </c>
      <c r="C359" t="s">
        <v>7252</v>
      </c>
      <c r="H359" t="s">
        <v>5341</v>
      </c>
      <c r="P359">
        <f t="shared" si="5"/>
        <v>22</v>
      </c>
    </row>
    <row r="360" spans="1:16" x14ac:dyDescent="0.25">
      <c r="A360" t="s">
        <v>5548</v>
      </c>
      <c r="B360">
        <v>1908</v>
      </c>
      <c r="C360" t="s">
        <v>7253</v>
      </c>
      <c r="H360" t="s">
        <v>5549</v>
      </c>
      <c r="P360">
        <f t="shared" si="5"/>
        <v>26</v>
      </c>
    </row>
    <row r="361" spans="1:16" x14ac:dyDescent="0.25">
      <c r="A361" t="s">
        <v>5550</v>
      </c>
      <c r="B361">
        <v>1908</v>
      </c>
      <c r="C361" t="s">
        <v>7254</v>
      </c>
      <c r="H361" t="s">
        <v>5551</v>
      </c>
      <c r="P361">
        <f t="shared" si="5"/>
        <v>25</v>
      </c>
    </row>
    <row r="362" spans="1:16" x14ac:dyDescent="0.25">
      <c r="A362" t="s">
        <v>5552</v>
      </c>
      <c r="B362">
        <v>1908</v>
      </c>
      <c r="C362" t="s">
        <v>7255</v>
      </c>
      <c r="H362" t="s">
        <v>5553</v>
      </c>
      <c r="P362">
        <f t="shared" si="5"/>
        <v>32</v>
      </c>
    </row>
    <row r="363" spans="1:16" x14ac:dyDescent="0.25">
      <c r="A363" t="s">
        <v>5554</v>
      </c>
      <c r="B363">
        <v>1909</v>
      </c>
      <c r="C363" t="s">
        <v>7256</v>
      </c>
      <c r="H363" t="s">
        <v>5182</v>
      </c>
      <c r="P363">
        <f t="shared" si="5"/>
        <v>18</v>
      </c>
    </row>
    <row r="364" spans="1:16" x14ac:dyDescent="0.25">
      <c r="A364" t="s">
        <v>5555</v>
      </c>
      <c r="B364">
        <v>1909</v>
      </c>
      <c r="C364" t="s">
        <v>7257</v>
      </c>
      <c r="H364" t="s">
        <v>5556</v>
      </c>
      <c r="P364">
        <f t="shared" si="5"/>
        <v>25</v>
      </c>
    </row>
    <row r="365" spans="1:16" x14ac:dyDescent="0.25">
      <c r="A365" t="s">
        <v>5557</v>
      </c>
      <c r="B365">
        <v>1909</v>
      </c>
      <c r="C365" t="s">
        <v>7258</v>
      </c>
      <c r="H365" t="s">
        <v>3086</v>
      </c>
      <c r="P365">
        <f t="shared" si="5"/>
        <v>23</v>
      </c>
    </row>
    <row r="366" spans="1:16" x14ac:dyDescent="0.25">
      <c r="A366" t="s">
        <v>5558</v>
      </c>
      <c r="B366">
        <v>1910</v>
      </c>
      <c r="C366" t="s">
        <v>7259</v>
      </c>
      <c r="H366" t="s">
        <v>5559</v>
      </c>
      <c r="P366">
        <f t="shared" si="5"/>
        <v>21</v>
      </c>
    </row>
    <row r="367" spans="1:16" x14ac:dyDescent="0.25">
      <c r="A367" t="s">
        <v>5560</v>
      </c>
      <c r="B367">
        <v>1910</v>
      </c>
      <c r="C367" t="s">
        <v>7260</v>
      </c>
      <c r="H367" t="s">
        <v>5561</v>
      </c>
      <c r="P367">
        <f t="shared" si="5"/>
        <v>22</v>
      </c>
    </row>
    <row r="368" spans="1:16" x14ac:dyDescent="0.25">
      <c r="A368" t="s">
        <v>5562</v>
      </c>
      <c r="B368">
        <v>1910</v>
      </c>
      <c r="C368" t="s">
        <v>7261</v>
      </c>
      <c r="H368" t="s">
        <v>5563</v>
      </c>
      <c r="P368">
        <f t="shared" si="5"/>
        <v>20</v>
      </c>
    </row>
    <row r="369" spans="1:16" x14ac:dyDescent="0.25">
      <c r="A369" t="s">
        <v>5564</v>
      </c>
      <c r="B369">
        <v>1911</v>
      </c>
      <c r="C369" t="s">
        <v>7262</v>
      </c>
      <c r="H369" t="s">
        <v>5508</v>
      </c>
      <c r="P369">
        <f t="shared" si="5"/>
        <v>20</v>
      </c>
    </row>
    <row r="370" spans="1:16" x14ac:dyDescent="0.25">
      <c r="A370" t="s">
        <v>5565</v>
      </c>
      <c r="B370">
        <v>1911</v>
      </c>
      <c r="C370" t="s">
        <v>7263</v>
      </c>
      <c r="H370" t="s">
        <v>5151</v>
      </c>
      <c r="P370">
        <f t="shared" si="5"/>
        <v>19</v>
      </c>
    </row>
    <row r="371" spans="1:16" x14ac:dyDescent="0.25">
      <c r="A371" t="s">
        <v>5566</v>
      </c>
      <c r="B371">
        <v>1911</v>
      </c>
      <c r="C371" t="s">
        <v>7264</v>
      </c>
      <c r="H371" t="s">
        <v>5567</v>
      </c>
      <c r="P371">
        <f t="shared" si="5"/>
        <v>28</v>
      </c>
    </row>
    <row r="372" spans="1:16" x14ac:dyDescent="0.25">
      <c r="A372" t="s">
        <v>5568</v>
      </c>
      <c r="B372">
        <v>1911</v>
      </c>
      <c r="C372" t="s">
        <v>7265</v>
      </c>
      <c r="H372" t="s">
        <v>5513</v>
      </c>
      <c r="P372">
        <f t="shared" si="5"/>
        <v>24</v>
      </c>
    </row>
    <row r="373" spans="1:16" x14ac:dyDescent="0.25">
      <c r="A373" t="s">
        <v>5569</v>
      </c>
      <c r="B373">
        <v>1911</v>
      </c>
      <c r="C373" t="s">
        <v>7266</v>
      </c>
      <c r="H373" t="s">
        <v>5570</v>
      </c>
      <c r="P373">
        <f t="shared" si="5"/>
        <v>20</v>
      </c>
    </row>
    <row r="374" spans="1:16" x14ac:dyDescent="0.25">
      <c r="A374" t="s">
        <v>5571</v>
      </c>
      <c r="B374">
        <v>1912</v>
      </c>
      <c r="C374" t="s">
        <v>7267</v>
      </c>
      <c r="H374" t="s">
        <v>5390</v>
      </c>
      <c r="P374">
        <f t="shared" si="5"/>
        <v>23</v>
      </c>
    </row>
    <row r="375" spans="1:16" x14ac:dyDescent="0.25">
      <c r="A375" t="s">
        <v>5572</v>
      </c>
      <c r="B375">
        <v>1912</v>
      </c>
      <c r="C375" t="s">
        <v>7268</v>
      </c>
      <c r="H375" t="s">
        <v>5508</v>
      </c>
      <c r="P375">
        <f t="shared" si="5"/>
        <v>19</v>
      </c>
    </row>
    <row r="376" spans="1:16" x14ac:dyDescent="0.25">
      <c r="A376" t="s">
        <v>5573</v>
      </c>
      <c r="B376">
        <v>1912</v>
      </c>
      <c r="C376" t="s">
        <v>7269</v>
      </c>
      <c r="H376" t="s">
        <v>5574</v>
      </c>
      <c r="P376">
        <f t="shared" si="5"/>
        <v>19</v>
      </c>
    </row>
    <row r="377" spans="1:16" x14ac:dyDescent="0.25">
      <c r="A377" t="s">
        <v>5575</v>
      </c>
      <c r="B377">
        <v>1912</v>
      </c>
      <c r="C377" t="s">
        <v>7270</v>
      </c>
      <c r="H377" t="s">
        <v>5576</v>
      </c>
      <c r="P377">
        <f t="shared" si="5"/>
        <v>24</v>
      </c>
    </row>
    <row r="378" spans="1:16" x14ac:dyDescent="0.25">
      <c r="A378" t="s">
        <v>5577</v>
      </c>
      <c r="B378">
        <v>1912</v>
      </c>
      <c r="C378" t="s">
        <v>7271</v>
      </c>
      <c r="H378" t="s">
        <v>5578</v>
      </c>
      <c r="P378">
        <f t="shared" si="5"/>
        <v>19</v>
      </c>
    </row>
    <row r="379" spans="1:16" x14ac:dyDescent="0.25">
      <c r="A379" t="s">
        <v>5579</v>
      </c>
      <c r="B379">
        <v>1912</v>
      </c>
      <c r="C379" t="s">
        <v>7272</v>
      </c>
      <c r="H379" t="s">
        <v>5580</v>
      </c>
      <c r="P379">
        <f t="shared" si="5"/>
        <v>23</v>
      </c>
    </row>
    <row r="380" spans="1:16" x14ac:dyDescent="0.25">
      <c r="A380" t="s">
        <v>5581</v>
      </c>
      <c r="B380">
        <v>1912</v>
      </c>
      <c r="C380" t="s">
        <v>7273</v>
      </c>
      <c r="H380" t="s">
        <v>5582</v>
      </c>
      <c r="P380">
        <f t="shared" si="5"/>
        <v>21</v>
      </c>
    </row>
    <row r="381" spans="1:16" x14ac:dyDescent="0.25">
      <c r="A381" t="s">
        <v>5583</v>
      </c>
      <c r="B381">
        <v>1912</v>
      </c>
      <c r="C381" t="s">
        <v>7274</v>
      </c>
      <c r="H381" t="s">
        <v>5584</v>
      </c>
      <c r="P381">
        <f t="shared" si="5"/>
        <v>20</v>
      </c>
    </row>
    <row r="382" spans="1:16" x14ac:dyDescent="0.25">
      <c r="A382" t="s">
        <v>5585</v>
      </c>
      <c r="B382">
        <v>1912</v>
      </c>
      <c r="C382" t="s">
        <v>7275</v>
      </c>
      <c r="H382" t="s">
        <v>4896</v>
      </c>
      <c r="P382">
        <f t="shared" si="5"/>
        <v>27</v>
      </c>
    </row>
    <row r="383" spans="1:16" x14ac:dyDescent="0.25">
      <c r="A383" t="s">
        <v>5586</v>
      </c>
      <c r="B383">
        <v>1912</v>
      </c>
      <c r="C383" t="s">
        <v>7276</v>
      </c>
      <c r="H383" t="s">
        <v>5513</v>
      </c>
      <c r="P383">
        <f t="shared" si="5"/>
        <v>25</v>
      </c>
    </row>
    <row r="384" spans="1:16" x14ac:dyDescent="0.25">
      <c r="I384">
        <f>COUNTIF(I16:I383, "f") + COUNTIF(I16:I383, "a") + COUNTIF(I16:I383, "b") + COUNTIF(I16:I383, "a/b")</f>
        <v>55</v>
      </c>
      <c r="J384">
        <f t="shared" ref="J384:N384" si="6">COUNTIF(J16:J383, "f") + COUNTIF(J16:J383, "a") + COUNTIF(J16:J383, "b") + COUNTIF(J16:J383, "a/b")</f>
        <v>2</v>
      </c>
      <c r="K384">
        <f t="shared" si="6"/>
        <v>0</v>
      </c>
      <c r="L384">
        <f t="shared" si="6"/>
        <v>18</v>
      </c>
      <c r="M384">
        <f t="shared" si="6"/>
        <v>42</v>
      </c>
      <c r="N384">
        <f t="shared" si="6"/>
        <v>30</v>
      </c>
      <c r="O384">
        <f>SUM(O2:O383)</f>
        <v>124</v>
      </c>
      <c r="P384">
        <f>SUM(P2:P383)</f>
        <v>11989</v>
      </c>
    </row>
    <row r="385" spans="9:15" x14ac:dyDescent="0.25">
      <c r="I385">
        <f>1-(I384/409)</f>
        <v>0.86552567237163813</v>
      </c>
      <c r="J385">
        <f t="shared" ref="J385:N385" si="7">1-(J384/409)</f>
        <v>0.99511002444987773</v>
      </c>
      <c r="K385">
        <f t="shared" si="7"/>
        <v>1</v>
      </c>
      <c r="L385">
        <f t="shared" si="7"/>
        <v>0.95599022004889977</v>
      </c>
      <c r="M385">
        <f t="shared" si="7"/>
        <v>0.89731051344743273</v>
      </c>
      <c r="N385">
        <f t="shared" si="7"/>
        <v>0.92665036674816625</v>
      </c>
      <c r="O385">
        <f>O384/P384</f>
        <v>1.0342814246392527E-2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C90DE-08DF-4EA4-8C04-260C96EC4498}">
  <dimension ref="A1:E386"/>
  <sheetViews>
    <sheetView topLeftCell="A46" workbookViewId="0">
      <selection activeCell="E1" sqref="E1"/>
    </sheetView>
  </sheetViews>
  <sheetFormatPr defaultRowHeight="15" x14ac:dyDescent="0.25"/>
  <cols>
    <col min="3" max="3" width="40.5703125" customWidth="1"/>
    <col min="4" max="4" width="40.7109375" customWidth="1"/>
    <col min="6" max="11" width="46.85546875" customWidth="1"/>
  </cols>
  <sheetData>
    <row r="1" spans="1:5" x14ac:dyDescent="0.25">
      <c r="A1" t="s">
        <v>0</v>
      </c>
      <c r="B1" t="s">
        <v>1</v>
      </c>
      <c r="C1" t="s">
        <v>9</v>
      </c>
      <c r="D1" t="s">
        <v>2</v>
      </c>
      <c r="E1" t="s">
        <v>5587</v>
      </c>
    </row>
    <row r="2" spans="1:5" x14ac:dyDescent="0.25">
      <c r="A2" t="s">
        <v>5588</v>
      </c>
      <c r="B2">
        <v>1887</v>
      </c>
      <c r="C2" t="s">
        <v>5589</v>
      </c>
      <c r="D2" t="s">
        <v>5590</v>
      </c>
      <c r="E2" t="s">
        <v>22</v>
      </c>
    </row>
    <row r="3" spans="1:5" x14ac:dyDescent="0.25">
      <c r="A3" t="s">
        <v>5591</v>
      </c>
      <c r="B3">
        <v>1887</v>
      </c>
      <c r="C3" t="s">
        <v>5592</v>
      </c>
      <c r="D3" t="s">
        <v>5593</v>
      </c>
      <c r="E3" t="s">
        <v>22</v>
      </c>
    </row>
    <row r="4" spans="1:5" x14ac:dyDescent="0.25">
      <c r="A4" t="s">
        <v>5594</v>
      </c>
      <c r="B4">
        <v>1887</v>
      </c>
      <c r="C4" t="s">
        <v>5595</v>
      </c>
      <c r="D4" t="s">
        <v>5596</v>
      </c>
      <c r="E4" t="s">
        <v>22</v>
      </c>
    </row>
    <row r="5" spans="1:5" x14ac:dyDescent="0.25">
      <c r="A5" t="s">
        <v>5597</v>
      </c>
      <c r="B5">
        <v>1887</v>
      </c>
      <c r="C5" t="s">
        <v>5598</v>
      </c>
      <c r="D5" t="s">
        <v>5599</v>
      </c>
      <c r="E5" t="s">
        <v>22</v>
      </c>
    </row>
    <row r="6" spans="1:5" x14ac:dyDescent="0.25">
      <c r="A6" t="s">
        <v>5600</v>
      </c>
      <c r="B6">
        <v>1887</v>
      </c>
      <c r="C6" t="s">
        <v>5601</v>
      </c>
      <c r="D6" t="s">
        <v>5602</v>
      </c>
      <c r="E6" t="s">
        <v>22</v>
      </c>
    </row>
    <row r="7" spans="1:5" x14ac:dyDescent="0.25">
      <c r="A7" t="s">
        <v>5603</v>
      </c>
      <c r="B7">
        <v>1887</v>
      </c>
      <c r="C7" t="s">
        <v>5604</v>
      </c>
      <c r="D7" t="s">
        <v>5605</v>
      </c>
      <c r="E7" t="s">
        <v>22</v>
      </c>
    </row>
    <row r="8" spans="1:5" x14ac:dyDescent="0.25">
      <c r="A8" t="s">
        <v>5606</v>
      </c>
      <c r="B8">
        <v>1887</v>
      </c>
      <c r="C8" t="s">
        <v>5607</v>
      </c>
      <c r="D8" t="s">
        <v>5608</v>
      </c>
      <c r="E8" t="s">
        <v>22</v>
      </c>
    </row>
    <row r="9" spans="1:5" x14ac:dyDescent="0.25">
      <c r="A9" t="s">
        <v>5609</v>
      </c>
      <c r="B9">
        <v>1887</v>
      </c>
      <c r="C9" t="s">
        <v>5610</v>
      </c>
      <c r="D9" t="s">
        <v>5611</v>
      </c>
      <c r="E9" t="s">
        <v>22</v>
      </c>
    </row>
    <row r="10" spans="1:5" x14ac:dyDescent="0.25">
      <c r="A10" t="s">
        <v>5612</v>
      </c>
      <c r="B10">
        <v>1887</v>
      </c>
      <c r="C10" t="s">
        <v>5613</v>
      </c>
      <c r="D10" t="s">
        <v>5614</v>
      </c>
      <c r="E10" t="s">
        <v>22</v>
      </c>
    </row>
    <row r="11" spans="1:5" x14ac:dyDescent="0.25">
      <c r="A11" t="s">
        <v>5615</v>
      </c>
      <c r="B11">
        <v>1887</v>
      </c>
      <c r="C11" t="s">
        <v>5616</v>
      </c>
      <c r="D11" t="s">
        <v>5617</v>
      </c>
      <c r="E11" t="s">
        <v>22</v>
      </c>
    </row>
    <row r="12" spans="1:5" x14ac:dyDescent="0.25">
      <c r="A12" t="s">
        <v>5618</v>
      </c>
      <c r="B12">
        <v>1887</v>
      </c>
      <c r="C12" t="s">
        <v>5619</v>
      </c>
      <c r="D12" t="s">
        <v>5620</v>
      </c>
      <c r="E12" t="s">
        <v>22</v>
      </c>
    </row>
    <row r="13" spans="1:5" x14ac:dyDescent="0.25">
      <c r="A13" t="s">
        <v>5621</v>
      </c>
      <c r="B13">
        <v>1887</v>
      </c>
      <c r="C13" t="s">
        <v>5622</v>
      </c>
      <c r="D13" t="s">
        <v>5623</v>
      </c>
      <c r="E13" t="s">
        <v>22</v>
      </c>
    </row>
    <row r="14" spans="1:5" x14ac:dyDescent="0.25">
      <c r="A14" t="s">
        <v>5624</v>
      </c>
      <c r="B14">
        <v>1887</v>
      </c>
      <c r="C14" t="s">
        <v>5625</v>
      </c>
      <c r="D14" t="s">
        <v>5626</v>
      </c>
      <c r="E14" t="s">
        <v>22</v>
      </c>
    </row>
    <row r="15" spans="1:5" x14ac:dyDescent="0.25">
      <c r="A15" t="s">
        <v>5627</v>
      </c>
      <c r="B15">
        <v>1887</v>
      </c>
      <c r="C15" t="s">
        <v>5616</v>
      </c>
      <c r="D15" t="s">
        <v>5628</v>
      </c>
      <c r="E15" t="s">
        <v>22</v>
      </c>
    </row>
    <row r="16" spans="1:5" x14ac:dyDescent="0.25">
      <c r="A16" t="s">
        <v>5629</v>
      </c>
      <c r="B16">
        <v>1887</v>
      </c>
      <c r="C16" t="s">
        <v>5630</v>
      </c>
      <c r="D16" t="s">
        <v>5631</v>
      </c>
      <c r="E16" t="s">
        <v>22</v>
      </c>
    </row>
    <row r="17" spans="1:5" x14ac:dyDescent="0.25">
      <c r="A17" t="s">
        <v>5632</v>
      </c>
      <c r="B17">
        <v>1888</v>
      </c>
      <c r="C17" t="s">
        <v>5633</v>
      </c>
      <c r="D17" t="s">
        <v>5634</v>
      </c>
      <c r="E17" t="s">
        <v>22</v>
      </c>
    </row>
    <row r="18" spans="1:5" x14ac:dyDescent="0.25">
      <c r="A18" t="s">
        <v>5635</v>
      </c>
      <c r="B18">
        <v>1888</v>
      </c>
      <c r="C18" t="s">
        <v>5636</v>
      </c>
      <c r="D18" t="s">
        <v>5637</v>
      </c>
      <c r="E18" t="s">
        <v>22</v>
      </c>
    </row>
    <row r="19" spans="1:5" x14ac:dyDescent="0.25">
      <c r="A19" t="s">
        <v>5638</v>
      </c>
      <c r="B19">
        <v>1888</v>
      </c>
      <c r="C19" t="s">
        <v>5639</v>
      </c>
      <c r="D19" t="s">
        <v>5640</v>
      </c>
      <c r="E19" t="s">
        <v>68</v>
      </c>
    </row>
    <row r="20" spans="1:5" x14ac:dyDescent="0.25">
      <c r="A20" t="s">
        <v>5641</v>
      </c>
      <c r="B20">
        <v>1888</v>
      </c>
      <c r="C20" t="s">
        <v>5642</v>
      </c>
      <c r="D20" t="s">
        <v>5643</v>
      </c>
      <c r="E20" t="s">
        <v>28</v>
      </c>
    </row>
    <row r="21" spans="1:5" x14ac:dyDescent="0.25">
      <c r="A21" t="s">
        <v>5644</v>
      </c>
      <c r="B21">
        <v>1888</v>
      </c>
      <c r="C21" t="s">
        <v>5645</v>
      </c>
      <c r="D21" t="s">
        <v>5646</v>
      </c>
      <c r="E21" t="s">
        <v>22</v>
      </c>
    </row>
    <row r="22" spans="1:5" x14ac:dyDescent="0.25">
      <c r="A22" t="s">
        <v>5647</v>
      </c>
      <c r="B22">
        <v>1888</v>
      </c>
      <c r="C22" t="s">
        <v>5648</v>
      </c>
      <c r="D22" t="s">
        <v>5649</v>
      </c>
      <c r="E22" t="s">
        <v>22</v>
      </c>
    </row>
    <row r="23" spans="1:5" x14ac:dyDescent="0.25">
      <c r="A23" t="s">
        <v>5650</v>
      </c>
      <c r="B23">
        <v>1888</v>
      </c>
      <c r="C23" t="s">
        <v>5651</v>
      </c>
      <c r="D23" t="s">
        <v>5652</v>
      </c>
      <c r="E23" t="s">
        <v>28</v>
      </c>
    </row>
    <row r="24" spans="1:5" x14ac:dyDescent="0.25">
      <c r="A24" t="s">
        <v>5653</v>
      </c>
      <c r="B24">
        <v>1888</v>
      </c>
      <c r="C24" t="s">
        <v>5654</v>
      </c>
      <c r="D24" t="s">
        <v>5655</v>
      </c>
      <c r="E24" t="s">
        <v>22</v>
      </c>
    </row>
    <row r="25" spans="1:5" x14ac:dyDescent="0.25">
      <c r="A25" t="s">
        <v>5656</v>
      </c>
      <c r="B25">
        <v>1888</v>
      </c>
      <c r="C25" t="s">
        <v>5657</v>
      </c>
      <c r="D25" t="s">
        <v>5658</v>
      </c>
      <c r="E25" t="s">
        <v>22</v>
      </c>
    </row>
    <row r="26" spans="1:5" x14ac:dyDescent="0.25">
      <c r="A26" t="s">
        <v>5659</v>
      </c>
      <c r="B26">
        <v>1888</v>
      </c>
      <c r="C26" t="s">
        <v>5660</v>
      </c>
      <c r="D26" t="s">
        <v>5661</v>
      </c>
      <c r="E26" t="s">
        <v>22</v>
      </c>
    </row>
    <row r="27" spans="1:5" x14ac:dyDescent="0.25">
      <c r="A27" t="s">
        <v>5662</v>
      </c>
      <c r="B27">
        <v>1888</v>
      </c>
      <c r="C27" t="s">
        <v>5663</v>
      </c>
      <c r="D27" t="s">
        <v>5664</v>
      </c>
      <c r="E27" t="s">
        <v>22</v>
      </c>
    </row>
    <row r="28" spans="1:5" x14ac:dyDescent="0.25">
      <c r="A28" t="s">
        <v>5665</v>
      </c>
      <c r="B28">
        <v>1888</v>
      </c>
      <c r="C28" t="s">
        <v>5666</v>
      </c>
      <c r="D28" t="s">
        <v>5667</v>
      </c>
      <c r="E28" t="s">
        <v>22</v>
      </c>
    </row>
    <row r="29" spans="1:5" x14ac:dyDescent="0.25">
      <c r="A29" t="s">
        <v>5668</v>
      </c>
      <c r="B29">
        <v>1888</v>
      </c>
      <c r="C29" t="s">
        <v>5669</v>
      </c>
      <c r="D29" t="s">
        <v>5670</v>
      </c>
      <c r="E29" t="s">
        <v>22</v>
      </c>
    </row>
    <row r="30" spans="1:5" x14ac:dyDescent="0.25">
      <c r="A30" t="s">
        <v>5671</v>
      </c>
      <c r="B30">
        <v>1889</v>
      </c>
      <c r="C30" t="s">
        <v>5672</v>
      </c>
      <c r="D30" t="s">
        <v>5673</v>
      </c>
      <c r="E30" t="s">
        <v>22</v>
      </c>
    </row>
    <row r="31" spans="1:5" x14ac:dyDescent="0.25">
      <c r="A31" t="s">
        <v>5674</v>
      </c>
      <c r="B31">
        <v>1889</v>
      </c>
      <c r="C31" t="s">
        <v>5675</v>
      </c>
      <c r="D31" t="s">
        <v>5676</v>
      </c>
      <c r="E31" t="s">
        <v>22</v>
      </c>
    </row>
    <row r="32" spans="1:5" x14ac:dyDescent="0.25">
      <c r="A32" t="s">
        <v>5677</v>
      </c>
      <c r="B32">
        <v>1889</v>
      </c>
      <c r="C32" t="s">
        <v>5678</v>
      </c>
      <c r="D32" t="s">
        <v>5679</v>
      </c>
      <c r="E32" t="s">
        <v>68</v>
      </c>
    </row>
    <row r="33" spans="1:5" x14ac:dyDescent="0.25">
      <c r="A33" t="s">
        <v>5680</v>
      </c>
      <c r="B33">
        <v>1889</v>
      </c>
      <c r="C33" t="s">
        <v>5681</v>
      </c>
      <c r="D33" t="s">
        <v>5682</v>
      </c>
      <c r="E33" t="s">
        <v>22</v>
      </c>
    </row>
    <row r="34" spans="1:5" x14ac:dyDescent="0.25">
      <c r="A34" t="s">
        <v>5683</v>
      </c>
      <c r="B34">
        <v>1889</v>
      </c>
      <c r="C34" t="s">
        <v>148</v>
      </c>
      <c r="D34" t="s">
        <v>5684</v>
      </c>
      <c r="E34" t="s">
        <v>22</v>
      </c>
    </row>
    <row r="35" spans="1:5" x14ac:dyDescent="0.25">
      <c r="A35" t="s">
        <v>5685</v>
      </c>
      <c r="B35">
        <v>1889</v>
      </c>
      <c r="C35" t="s">
        <v>5686</v>
      </c>
      <c r="D35" t="s">
        <v>5687</v>
      </c>
      <c r="E35" t="s">
        <v>22</v>
      </c>
    </row>
    <row r="36" spans="1:5" x14ac:dyDescent="0.25">
      <c r="A36" t="s">
        <v>5688</v>
      </c>
      <c r="B36">
        <v>1889</v>
      </c>
      <c r="C36" t="s">
        <v>5689</v>
      </c>
      <c r="D36" t="s">
        <v>5690</v>
      </c>
      <c r="E36" t="s">
        <v>22</v>
      </c>
    </row>
    <row r="37" spans="1:5" x14ac:dyDescent="0.25">
      <c r="A37" t="s">
        <v>5691</v>
      </c>
      <c r="B37">
        <v>1889</v>
      </c>
      <c r="C37" t="s">
        <v>5692</v>
      </c>
      <c r="D37" t="s">
        <v>5693</v>
      </c>
      <c r="E37" t="s">
        <v>22</v>
      </c>
    </row>
    <row r="38" spans="1:5" x14ac:dyDescent="0.25">
      <c r="A38" t="s">
        <v>5694</v>
      </c>
      <c r="B38">
        <v>1889</v>
      </c>
      <c r="C38" t="s">
        <v>5695</v>
      </c>
      <c r="D38" t="s">
        <v>5696</v>
      </c>
      <c r="E38" t="s">
        <v>22</v>
      </c>
    </row>
    <row r="39" spans="1:5" x14ac:dyDescent="0.25">
      <c r="A39" t="s">
        <v>5697</v>
      </c>
      <c r="B39">
        <v>1889</v>
      </c>
      <c r="C39" t="s">
        <v>5698</v>
      </c>
      <c r="D39" t="s">
        <v>5699</v>
      </c>
      <c r="E39" t="s">
        <v>22</v>
      </c>
    </row>
    <row r="40" spans="1:5" x14ac:dyDescent="0.25">
      <c r="A40" t="s">
        <v>5700</v>
      </c>
      <c r="B40">
        <v>1891</v>
      </c>
      <c r="C40" t="s">
        <v>5701</v>
      </c>
      <c r="D40" t="s">
        <v>5702</v>
      </c>
      <c r="E40" t="s">
        <v>28</v>
      </c>
    </row>
    <row r="41" spans="1:5" x14ac:dyDescent="0.25">
      <c r="A41" t="s">
        <v>5703</v>
      </c>
      <c r="B41">
        <v>1891</v>
      </c>
      <c r="C41" t="s">
        <v>5704</v>
      </c>
      <c r="D41" t="s">
        <v>5705</v>
      </c>
    </row>
    <row r="42" spans="1:5" x14ac:dyDescent="0.25">
      <c r="A42" t="s">
        <v>5706</v>
      </c>
      <c r="B42">
        <v>1891</v>
      </c>
      <c r="C42" t="s">
        <v>5707</v>
      </c>
      <c r="D42" t="s">
        <v>5708</v>
      </c>
    </row>
    <row r="43" spans="1:5" x14ac:dyDescent="0.25">
      <c r="A43" t="s">
        <v>5709</v>
      </c>
      <c r="B43">
        <v>1891</v>
      </c>
      <c r="C43" t="s">
        <v>5710</v>
      </c>
      <c r="D43" t="s">
        <v>5711</v>
      </c>
    </row>
    <row r="44" spans="1:5" x14ac:dyDescent="0.25">
      <c r="A44" t="s">
        <v>5712</v>
      </c>
      <c r="B44">
        <v>1891</v>
      </c>
      <c r="C44" t="s">
        <v>5713</v>
      </c>
      <c r="D44" t="s">
        <v>5687</v>
      </c>
    </row>
    <row r="45" spans="1:5" x14ac:dyDescent="0.25">
      <c r="A45" t="s">
        <v>5714</v>
      </c>
      <c r="B45">
        <v>1891</v>
      </c>
      <c r="C45" t="s">
        <v>5715</v>
      </c>
      <c r="D45" t="s">
        <v>5716</v>
      </c>
    </row>
    <row r="46" spans="1:5" x14ac:dyDescent="0.25">
      <c r="A46" t="s">
        <v>5717</v>
      </c>
      <c r="B46">
        <v>1891</v>
      </c>
      <c r="C46" t="s">
        <v>5718</v>
      </c>
      <c r="D46" t="s">
        <v>5719</v>
      </c>
    </row>
    <row r="47" spans="1:5" x14ac:dyDescent="0.25">
      <c r="A47" t="s">
        <v>5720</v>
      </c>
      <c r="B47">
        <v>1891</v>
      </c>
      <c r="C47" t="s">
        <v>5721</v>
      </c>
      <c r="D47" t="s">
        <v>5722</v>
      </c>
    </row>
    <row r="48" spans="1:5" x14ac:dyDescent="0.25">
      <c r="A48" t="s">
        <v>5723</v>
      </c>
      <c r="B48">
        <v>1891</v>
      </c>
      <c r="C48" t="s">
        <v>5724</v>
      </c>
      <c r="D48" t="s">
        <v>5725</v>
      </c>
    </row>
    <row r="49" spans="1:4" x14ac:dyDescent="0.25">
      <c r="A49" t="s">
        <v>5726</v>
      </c>
      <c r="B49">
        <v>1891</v>
      </c>
      <c r="C49" t="s">
        <v>5727</v>
      </c>
      <c r="D49" t="s">
        <v>5728</v>
      </c>
    </row>
    <row r="50" spans="1:4" x14ac:dyDescent="0.25">
      <c r="A50" t="s">
        <v>5729</v>
      </c>
      <c r="B50">
        <v>1891</v>
      </c>
      <c r="C50" t="s">
        <v>5730</v>
      </c>
      <c r="D50" t="s">
        <v>5731</v>
      </c>
    </row>
    <row r="51" spans="1:4" x14ac:dyDescent="0.25">
      <c r="A51" t="s">
        <v>5732</v>
      </c>
      <c r="B51">
        <v>1893</v>
      </c>
      <c r="C51" t="s">
        <v>5733</v>
      </c>
      <c r="D51" t="s">
        <v>5734</v>
      </c>
    </row>
    <row r="52" spans="1:4" x14ac:dyDescent="0.25">
      <c r="A52" t="s">
        <v>5735</v>
      </c>
      <c r="B52">
        <v>1893</v>
      </c>
      <c r="C52" t="s">
        <v>5736</v>
      </c>
      <c r="D52" t="s">
        <v>5737</v>
      </c>
    </row>
    <row r="53" spans="1:4" x14ac:dyDescent="0.25">
      <c r="A53" t="s">
        <v>5738</v>
      </c>
      <c r="B53">
        <v>1893</v>
      </c>
      <c r="C53" t="s">
        <v>5739</v>
      </c>
      <c r="D53" t="s">
        <v>5740</v>
      </c>
    </row>
    <row r="54" spans="1:4" x14ac:dyDescent="0.25">
      <c r="A54" t="s">
        <v>5741</v>
      </c>
      <c r="B54">
        <v>1893</v>
      </c>
      <c r="C54" t="s">
        <v>5742</v>
      </c>
      <c r="D54" t="s">
        <v>5743</v>
      </c>
    </row>
    <row r="55" spans="1:4" x14ac:dyDescent="0.25">
      <c r="A55" t="s">
        <v>5744</v>
      </c>
      <c r="B55">
        <v>1893</v>
      </c>
      <c r="C55" t="s">
        <v>5745</v>
      </c>
      <c r="D55" t="s">
        <v>5746</v>
      </c>
    </row>
    <row r="56" spans="1:4" x14ac:dyDescent="0.25">
      <c r="A56" t="s">
        <v>5747</v>
      </c>
      <c r="B56">
        <v>1893</v>
      </c>
      <c r="C56" t="s">
        <v>5748</v>
      </c>
      <c r="D56" t="s">
        <v>5749</v>
      </c>
    </row>
    <row r="57" spans="1:4" x14ac:dyDescent="0.25">
      <c r="A57" t="s">
        <v>5750</v>
      </c>
      <c r="B57">
        <v>1893</v>
      </c>
      <c r="C57" t="s">
        <v>5751</v>
      </c>
      <c r="D57" t="s">
        <v>5752</v>
      </c>
    </row>
    <row r="58" spans="1:4" x14ac:dyDescent="0.25">
      <c r="A58" t="s">
        <v>5753</v>
      </c>
      <c r="B58">
        <v>1893</v>
      </c>
      <c r="C58" t="s">
        <v>5754</v>
      </c>
      <c r="D58" t="s">
        <v>5755</v>
      </c>
    </row>
    <row r="59" spans="1:4" x14ac:dyDescent="0.25">
      <c r="A59" t="s">
        <v>5756</v>
      </c>
      <c r="B59">
        <v>1893</v>
      </c>
      <c r="C59" t="s">
        <v>5757</v>
      </c>
      <c r="D59" t="s">
        <v>5758</v>
      </c>
    </row>
    <row r="60" spans="1:4" x14ac:dyDescent="0.25">
      <c r="A60" t="s">
        <v>5759</v>
      </c>
      <c r="B60">
        <v>1893</v>
      </c>
      <c r="C60" t="s">
        <v>5760</v>
      </c>
      <c r="D60" t="s">
        <v>5761</v>
      </c>
    </row>
    <row r="61" spans="1:4" x14ac:dyDescent="0.25">
      <c r="A61" t="s">
        <v>5762</v>
      </c>
      <c r="B61">
        <v>1893</v>
      </c>
      <c r="C61" t="s">
        <v>5763</v>
      </c>
      <c r="D61" t="s">
        <v>5764</v>
      </c>
    </row>
    <row r="62" spans="1:4" x14ac:dyDescent="0.25">
      <c r="A62" t="s">
        <v>5765</v>
      </c>
      <c r="B62">
        <v>1894</v>
      </c>
      <c r="C62" t="s">
        <v>5766</v>
      </c>
      <c r="D62" t="s">
        <v>5767</v>
      </c>
    </row>
    <row r="63" spans="1:4" x14ac:dyDescent="0.25">
      <c r="A63" t="s">
        <v>5768</v>
      </c>
      <c r="B63">
        <v>1894</v>
      </c>
      <c r="C63" t="s">
        <v>5769</v>
      </c>
      <c r="D63" t="s">
        <v>5770</v>
      </c>
    </row>
    <row r="64" spans="1:4" x14ac:dyDescent="0.25">
      <c r="A64" t="s">
        <v>5771</v>
      </c>
      <c r="B64">
        <v>1894</v>
      </c>
      <c r="C64" t="s">
        <v>5772</v>
      </c>
      <c r="D64" t="s">
        <v>5773</v>
      </c>
    </row>
    <row r="65" spans="1:4" x14ac:dyDescent="0.25">
      <c r="A65" t="s">
        <v>5774</v>
      </c>
      <c r="B65">
        <v>1894</v>
      </c>
      <c r="C65" t="s">
        <v>5775</v>
      </c>
      <c r="D65" t="s">
        <v>5776</v>
      </c>
    </row>
    <row r="66" spans="1:4" x14ac:dyDescent="0.25">
      <c r="A66" t="s">
        <v>5777</v>
      </c>
      <c r="B66">
        <v>1894</v>
      </c>
      <c r="C66" t="s">
        <v>5778</v>
      </c>
      <c r="D66" t="s">
        <v>5779</v>
      </c>
    </row>
    <row r="67" spans="1:4" x14ac:dyDescent="0.25">
      <c r="A67" t="s">
        <v>5780</v>
      </c>
      <c r="B67">
        <v>1895</v>
      </c>
      <c r="C67" t="s">
        <v>5781</v>
      </c>
      <c r="D67" t="s">
        <v>5782</v>
      </c>
    </row>
    <row r="68" spans="1:4" x14ac:dyDescent="0.25">
      <c r="A68" t="s">
        <v>5783</v>
      </c>
      <c r="B68">
        <v>1895</v>
      </c>
      <c r="C68" t="s">
        <v>5784</v>
      </c>
      <c r="D68" t="s">
        <v>5785</v>
      </c>
    </row>
    <row r="69" spans="1:4" x14ac:dyDescent="0.25">
      <c r="A69" t="s">
        <v>5786</v>
      </c>
      <c r="B69">
        <v>1895</v>
      </c>
      <c r="C69" t="s">
        <v>5787</v>
      </c>
      <c r="D69" t="s">
        <v>5788</v>
      </c>
    </row>
    <row r="70" spans="1:4" x14ac:dyDescent="0.25">
      <c r="A70" t="s">
        <v>5789</v>
      </c>
      <c r="B70">
        <v>1895</v>
      </c>
      <c r="C70" t="s">
        <v>5790</v>
      </c>
      <c r="D70" t="s">
        <v>5791</v>
      </c>
    </row>
    <row r="71" spans="1:4" x14ac:dyDescent="0.25">
      <c r="A71" t="s">
        <v>5792</v>
      </c>
      <c r="B71">
        <v>1895</v>
      </c>
      <c r="C71" t="s">
        <v>5793</v>
      </c>
      <c r="D71" t="s">
        <v>5794</v>
      </c>
    </row>
    <row r="72" spans="1:4" x14ac:dyDescent="0.25">
      <c r="A72" t="s">
        <v>5795</v>
      </c>
      <c r="B72">
        <v>1895</v>
      </c>
      <c r="C72" t="s">
        <v>5796</v>
      </c>
      <c r="D72" t="s">
        <v>5797</v>
      </c>
    </row>
    <row r="73" spans="1:4" x14ac:dyDescent="0.25">
      <c r="A73" t="s">
        <v>5798</v>
      </c>
      <c r="B73">
        <v>1895</v>
      </c>
      <c r="C73" t="s">
        <v>5799</v>
      </c>
      <c r="D73" t="s">
        <v>5800</v>
      </c>
    </row>
    <row r="74" spans="1:4" x14ac:dyDescent="0.25">
      <c r="A74" t="s">
        <v>5801</v>
      </c>
      <c r="B74">
        <v>1895</v>
      </c>
      <c r="C74" t="s">
        <v>5802</v>
      </c>
      <c r="D74" t="s">
        <v>5803</v>
      </c>
    </row>
    <row r="75" spans="1:4" x14ac:dyDescent="0.25">
      <c r="A75" t="s">
        <v>5804</v>
      </c>
      <c r="B75">
        <v>1895</v>
      </c>
      <c r="C75" t="s">
        <v>5805</v>
      </c>
      <c r="D75" t="s">
        <v>5806</v>
      </c>
    </row>
    <row r="76" spans="1:4" x14ac:dyDescent="0.25">
      <c r="A76" t="s">
        <v>5807</v>
      </c>
      <c r="B76">
        <v>1895</v>
      </c>
      <c r="C76" t="s">
        <v>5808</v>
      </c>
      <c r="D76" t="s">
        <v>5809</v>
      </c>
    </row>
    <row r="77" spans="1:4" x14ac:dyDescent="0.25">
      <c r="A77" t="s">
        <v>5810</v>
      </c>
      <c r="B77">
        <v>1895</v>
      </c>
      <c r="C77" t="s">
        <v>5811</v>
      </c>
      <c r="D77" t="s">
        <v>5812</v>
      </c>
    </row>
    <row r="78" spans="1:4" x14ac:dyDescent="0.25">
      <c r="A78" t="s">
        <v>5813</v>
      </c>
      <c r="B78">
        <v>1895</v>
      </c>
      <c r="C78" t="s">
        <v>5814</v>
      </c>
      <c r="D78" t="s">
        <v>5815</v>
      </c>
    </row>
    <row r="79" spans="1:4" x14ac:dyDescent="0.25">
      <c r="A79" t="s">
        <v>5816</v>
      </c>
      <c r="B79">
        <v>1895</v>
      </c>
      <c r="C79" t="s">
        <v>5817</v>
      </c>
      <c r="D79" t="s">
        <v>5818</v>
      </c>
    </row>
    <row r="80" spans="1:4" x14ac:dyDescent="0.25">
      <c r="A80" t="s">
        <v>5819</v>
      </c>
      <c r="B80">
        <v>1895</v>
      </c>
      <c r="C80" t="s">
        <v>5820</v>
      </c>
      <c r="D80" t="s">
        <v>5821</v>
      </c>
    </row>
    <row r="81" spans="1:4" x14ac:dyDescent="0.25">
      <c r="A81" t="s">
        <v>5822</v>
      </c>
      <c r="B81">
        <v>1895</v>
      </c>
      <c r="C81" t="s">
        <v>5823</v>
      </c>
      <c r="D81" t="s">
        <v>5824</v>
      </c>
    </row>
    <row r="82" spans="1:4" x14ac:dyDescent="0.25">
      <c r="A82" t="s">
        <v>5825</v>
      </c>
      <c r="B82">
        <v>1895</v>
      </c>
      <c r="C82" t="s">
        <v>5826</v>
      </c>
      <c r="D82" t="s">
        <v>5827</v>
      </c>
    </row>
    <row r="83" spans="1:4" x14ac:dyDescent="0.25">
      <c r="A83" t="s">
        <v>5828</v>
      </c>
      <c r="B83">
        <v>1895</v>
      </c>
      <c r="C83" t="s">
        <v>5829</v>
      </c>
      <c r="D83" t="s">
        <v>5830</v>
      </c>
    </row>
    <row r="84" spans="1:4" x14ac:dyDescent="0.25">
      <c r="A84" t="s">
        <v>5831</v>
      </c>
      <c r="B84">
        <v>1895</v>
      </c>
      <c r="C84" t="s">
        <v>5832</v>
      </c>
      <c r="D84" t="s">
        <v>5833</v>
      </c>
    </row>
    <row r="85" spans="1:4" x14ac:dyDescent="0.25">
      <c r="A85" t="s">
        <v>5834</v>
      </c>
      <c r="B85">
        <v>1895</v>
      </c>
      <c r="C85" t="s">
        <v>5835</v>
      </c>
      <c r="D85" t="s">
        <v>5836</v>
      </c>
    </row>
    <row r="86" spans="1:4" x14ac:dyDescent="0.25">
      <c r="A86" t="s">
        <v>5837</v>
      </c>
      <c r="B86">
        <v>1895</v>
      </c>
      <c r="C86" t="s">
        <v>5838</v>
      </c>
      <c r="D86" t="s">
        <v>5839</v>
      </c>
    </row>
    <row r="87" spans="1:4" x14ac:dyDescent="0.25">
      <c r="A87" t="s">
        <v>5840</v>
      </c>
      <c r="B87">
        <v>1895</v>
      </c>
      <c r="C87" t="s">
        <v>5841</v>
      </c>
      <c r="D87" t="s">
        <v>5842</v>
      </c>
    </row>
    <row r="88" spans="1:4" x14ac:dyDescent="0.25">
      <c r="A88" t="s">
        <v>5843</v>
      </c>
      <c r="B88">
        <v>1903</v>
      </c>
      <c r="C88" t="s">
        <v>5844</v>
      </c>
      <c r="D88" t="s">
        <v>5845</v>
      </c>
    </row>
    <row r="89" spans="1:4" x14ac:dyDescent="0.25">
      <c r="A89" t="s">
        <v>5846</v>
      </c>
      <c r="B89">
        <v>1903</v>
      </c>
      <c r="C89" t="s">
        <v>5847</v>
      </c>
      <c r="D89" t="s">
        <v>5848</v>
      </c>
    </row>
    <row r="90" spans="1:4" x14ac:dyDescent="0.25">
      <c r="A90" t="s">
        <v>5849</v>
      </c>
      <c r="B90">
        <v>1903</v>
      </c>
      <c r="C90" t="s">
        <v>5850</v>
      </c>
      <c r="D90" t="s">
        <v>5851</v>
      </c>
    </row>
    <row r="91" spans="1:4" x14ac:dyDescent="0.25">
      <c r="A91" t="s">
        <v>5852</v>
      </c>
      <c r="B91">
        <v>1903</v>
      </c>
      <c r="C91" t="s">
        <v>5853</v>
      </c>
      <c r="D91" t="s">
        <v>5854</v>
      </c>
    </row>
    <row r="92" spans="1:4" x14ac:dyDescent="0.25">
      <c r="A92" t="s">
        <v>5855</v>
      </c>
      <c r="B92">
        <v>1908</v>
      </c>
      <c r="C92" t="s">
        <v>5856</v>
      </c>
      <c r="D92" t="s">
        <v>5857</v>
      </c>
    </row>
    <row r="93" spans="1:4" x14ac:dyDescent="0.25">
      <c r="A93" t="s">
        <v>5858</v>
      </c>
      <c r="B93">
        <v>1908</v>
      </c>
      <c r="C93" t="s">
        <v>5859</v>
      </c>
      <c r="D93" t="s">
        <v>5860</v>
      </c>
    </row>
    <row r="94" spans="1:4" x14ac:dyDescent="0.25">
      <c r="A94" t="s">
        <v>5861</v>
      </c>
      <c r="B94">
        <v>1908</v>
      </c>
      <c r="C94" t="s">
        <v>5862</v>
      </c>
      <c r="D94" t="s">
        <v>5863</v>
      </c>
    </row>
    <row r="95" spans="1:4" x14ac:dyDescent="0.25">
      <c r="A95" t="s">
        <v>5864</v>
      </c>
      <c r="B95">
        <v>1908</v>
      </c>
      <c r="C95" t="s">
        <v>5865</v>
      </c>
      <c r="D95" t="s">
        <v>5866</v>
      </c>
    </row>
    <row r="96" spans="1:4" x14ac:dyDescent="0.25">
      <c r="A96" t="s">
        <v>5867</v>
      </c>
      <c r="B96">
        <v>1908</v>
      </c>
      <c r="C96" t="s">
        <v>5868</v>
      </c>
      <c r="D96" t="s">
        <v>5869</v>
      </c>
    </row>
    <row r="97" spans="1:4" x14ac:dyDescent="0.25">
      <c r="A97" t="s">
        <v>5870</v>
      </c>
      <c r="B97">
        <v>1908</v>
      </c>
      <c r="C97" t="s">
        <v>5871</v>
      </c>
      <c r="D97" t="s">
        <v>5872</v>
      </c>
    </row>
    <row r="98" spans="1:4" x14ac:dyDescent="0.25">
      <c r="A98" t="s">
        <v>5873</v>
      </c>
      <c r="B98">
        <v>1908</v>
      </c>
      <c r="C98" t="s">
        <v>5874</v>
      </c>
      <c r="D98" t="s">
        <v>5875</v>
      </c>
    </row>
    <row r="99" spans="1:4" x14ac:dyDescent="0.25">
      <c r="A99" t="s">
        <v>5876</v>
      </c>
      <c r="B99">
        <v>1908</v>
      </c>
      <c r="C99" t="s">
        <v>5877</v>
      </c>
      <c r="D99" t="s">
        <v>5878</v>
      </c>
    </row>
    <row r="100" spans="1:4" x14ac:dyDescent="0.25">
      <c r="A100" t="s">
        <v>5879</v>
      </c>
      <c r="B100">
        <v>1908</v>
      </c>
      <c r="C100" t="s">
        <v>5880</v>
      </c>
      <c r="D100" t="s">
        <v>5881</v>
      </c>
    </row>
    <row r="101" spans="1:4" x14ac:dyDescent="0.25">
      <c r="A101" t="s">
        <v>5882</v>
      </c>
      <c r="B101">
        <v>1908</v>
      </c>
      <c r="C101" t="s">
        <v>5883</v>
      </c>
      <c r="D101" t="s">
        <v>5884</v>
      </c>
    </row>
    <row r="102" spans="1:4" x14ac:dyDescent="0.25">
      <c r="A102" t="s">
        <v>5885</v>
      </c>
      <c r="B102">
        <v>1908</v>
      </c>
      <c r="C102" t="s">
        <v>5886</v>
      </c>
      <c r="D102" t="s">
        <v>5887</v>
      </c>
    </row>
    <row r="103" spans="1:4" x14ac:dyDescent="0.25">
      <c r="A103" t="s">
        <v>5888</v>
      </c>
      <c r="B103">
        <v>1908</v>
      </c>
      <c r="C103" t="s">
        <v>5889</v>
      </c>
      <c r="D103" t="s">
        <v>5890</v>
      </c>
    </row>
    <row r="104" spans="1:4" x14ac:dyDescent="0.25">
      <c r="A104" t="s">
        <v>5891</v>
      </c>
      <c r="B104">
        <v>1908</v>
      </c>
      <c r="C104" t="s">
        <v>5892</v>
      </c>
      <c r="D104" t="s">
        <v>5893</v>
      </c>
    </row>
    <row r="105" spans="1:4" x14ac:dyDescent="0.25">
      <c r="A105" t="s">
        <v>5894</v>
      </c>
      <c r="B105">
        <v>1908</v>
      </c>
      <c r="C105" t="s">
        <v>5895</v>
      </c>
      <c r="D105" t="s">
        <v>5896</v>
      </c>
    </row>
    <row r="106" spans="1:4" x14ac:dyDescent="0.25">
      <c r="A106" t="s">
        <v>5897</v>
      </c>
      <c r="B106">
        <v>1908</v>
      </c>
      <c r="C106" t="s">
        <v>5898</v>
      </c>
      <c r="D106" t="s">
        <v>5899</v>
      </c>
    </row>
    <row r="107" spans="1:4" x14ac:dyDescent="0.25">
      <c r="A107" t="s">
        <v>5900</v>
      </c>
      <c r="B107">
        <v>1908</v>
      </c>
      <c r="C107" t="s">
        <v>5901</v>
      </c>
      <c r="D107" t="s">
        <v>5902</v>
      </c>
    </row>
    <row r="108" spans="1:4" x14ac:dyDescent="0.25">
      <c r="A108" t="s">
        <v>5903</v>
      </c>
      <c r="B108">
        <v>1908</v>
      </c>
      <c r="C108" t="s">
        <v>5904</v>
      </c>
      <c r="D108" t="s">
        <v>5905</v>
      </c>
    </row>
    <row r="109" spans="1:4" x14ac:dyDescent="0.25">
      <c r="A109" t="s">
        <v>5906</v>
      </c>
      <c r="B109">
        <v>1908</v>
      </c>
      <c r="C109" t="s">
        <v>5907</v>
      </c>
      <c r="D109" t="s">
        <v>5908</v>
      </c>
    </row>
    <row r="110" spans="1:4" x14ac:dyDescent="0.25">
      <c r="A110" t="s">
        <v>5909</v>
      </c>
      <c r="B110">
        <v>1908</v>
      </c>
      <c r="C110" t="s">
        <v>5910</v>
      </c>
      <c r="D110" t="s">
        <v>5911</v>
      </c>
    </row>
    <row r="111" spans="1:4" x14ac:dyDescent="0.25">
      <c r="A111" t="s">
        <v>5912</v>
      </c>
      <c r="B111">
        <v>1908</v>
      </c>
      <c r="C111" t="s">
        <v>5913</v>
      </c>
      <c r="D111" t="s">
        <v>5914</v>
      </c>
    </row>
    <row r="112" spans="1:4" x14ac:dyDescent="0.25">
      <c r="A112" t="s">
        <v>5915</v>
      </c>
      <c r="B112">
        <v>1908</v>
      </c>
      <c r="C112" t="s">
        <v>5916</v>
      </c>
      <c r="D112" t="s">
        <v>5917</v>
      </c>
    </row>
    <row r="113" spans="1:4" x14ac:dyDescent="0.25">
      <c r="A113" t="s">
        <v>5918</v>
      </c>
      <c r="B113">
        <v>1908</v>
      </c>
      <c r="C113" t="s">
        <v>5919</v>
      </c>
      <c r="D113" t="s">
        <v>5920</v>
      </c>
    </row>
    <row r="114" spans="1:4" x14ac:dyDescent="0.25">
      <c r="A114" t="s">
        <v>5921</v>
      </c>
      <c r="B114">
        <v>1908</v>
      </c>
      <c r="C114" t="s">
        <v>5922</v>
      </c>
      <c r="D114" t="s">
        <v>5737</v>
      </c>
    </row>
    <row r="115" spans="1:4" x14ac:dyDescent="0.25">
      <c r="A115" t="s">
        <v>5923</v>
      </c>
      <c r="B115">
        <v>1908</v>
      </c>
      <c r="C115" t="s">
        <v>5924</v>
      </c>
      <c r="D115" t="s">
        <v>5925</v>
      </c>
    </row>
    <row r="116" spans="1:4" x14ac:dyDescent="0.25">
      <c r="A116" t="s">
        <v>5926</v>
      </c>
      <c r="B116">
        <v>1908</v>
      </c>
      <c r="C116" t="s">
        <v>5927</v>
      </c>
      <c r="D116" t="s">
        <v>5928</v>
      </c>
    </row>
    <row r="117" spans="1:4" x14ac:dyDescent="0.25">
      <c r="A117" t="s">
        <v>5929</v>
      </c>
      <c r="B117">
        <v>1909</v>
      </c>
      <c r="C117" t="s">
        <v>5930</v>
      </c>
      <c r="D117" t="s">
        <v>5931</v>
      </c>
    </row>
    <row r="118" spans="1:4" x14ac:dyDescent="0.25">
      <c r="A118" t="s">
        <v>5932</v>
      </c>
      <c r="B118">
        <v>1909</v>
      </c>
      <c r="C118" t="s">
        <v>5933</v>
      </c>
      <c r="D118" t="s">
        <v>5664</v>
      </c>
    </row>
    <row r="119" spans="1:4" x14ac:dyDescent="0.25">
      <c r="A119" t="s">
        <v>5934</v>
      </c>
      <c r="B119">
        <v>1909</v>
      </c>
      <c r="C119" t="s">
        <v>5935</v>
      </c>
      <c r="D119" t="s">
        <v>5936</v>
      </c>
    </row>
    <row r="120" spans="1:4" x14ac:dyDescent="0.25">
      <c r="A120" t="s">
        <v>5937</v>
      </c>
      <c r="B120">
        <v>1909</v>
      </c>
      <c r="C120" t="s">
        <v>5938</v>
      </c>
      <c r="D120" t="s">
        <v>5939</v>
      </c>
    </row>
    <row r="121" spans="1:4" x14ac:dyDescent="0.25">
      <c r="A121" t="s">
        <v>5940</v>
      </c>
      <c r="B121">
        <v>1909</v>
      </c>
      <c r="C121" t="s">
        <v>5941</v>
      </c>
      <c r="D121" t="s">
        <v>5942</v>
      </c>
    </row>
    <row r="122" spans="1:4" x14ac:dyDescent="0.25">
      <c r="A122" t="s">
        <v>5943</v>
      </c>
      <c r="B122">
        <v>1909</v>
      </c>
      <c r="C122" t="s">
        <v>5944</v>
      </c>
      <c r="D122" t="s">
        <v>5752</v>
      </c>
    </row>
    <row r="123" spans="1:4" x14ac:dyDescent="0.25">
      <c r="A123" t="s">
        <v>5945</v>
      </c>
      <c r="B123">
        <v>1909</v>
      </c>
      <c r="C123" t="s">
        <v>5946</v>
      </c>
      <c r="D123" t="s">
        <v>5947</v>
      </c>
    </row>
    <row r="124" spans="1:4" x14ac:dyDescent="0.25">
      <c r="A124" t="s">
        <v>5948</v>
      </c>
      <c r="B124">
        <v>1909</v>
      </c>
      <c r="C124" t="s">
        <v>5949</v>
      </c>
      <c r="D124" t="s">
        <v>5950</v>
      </c>
    </row>
    <row r="125" spans="1:4" x14ac:dyDescent="0.25">
      <c r="A125" t="s">
        <v>5951</v>
      </c>
      <c r="B125">
        <v>1909</v>
      </c>
      <c r="C125" t="s">
        <v>5952</v>
      </c>
      <c r="D125" t="s">
        <v>5953</v>
      </c>
    </row>
    <row r="126" spans="1:4" x14ac:dyDescent="0.25">
      <c r="A126" t="s">
        <v>5954</v>
      </c>
      <c r="B126">
        <v>1909</v>
      </c>
      <c r="C126" t="s">
        <v>5955</v>
      </c>
      <c r="D126" t="s">
        <v>5806</v>
      </c>
    </row>
    <row r="127" spans="1:4" x14ac:dyDescent="0.25">
      <c r="A127" t="s">
        <v>5956</v>
      </c>
      <c r="B127">
        <v>1909</v>
      </c>
      <c r="C127" t="s">
        <v>5957</v>
      </c>
      <c r="D127" t="s">
        <v>5958</v>
      </c>
    </row>
    <row r="128" spans="1:4" x14ac:dyDescent="0.25">
      <c r="A128" t="s">
        <v>5959</v>
      </c>
      <c r="B128">
        <v>1909</v>
      </c>
      <c r="C128" t="s">
        <v>5960</v>
      </c>
      <c r="D128" t="s">
        <v>5961</v>
      </c>
    </row>
    <row r="129" spans="1:4" x14ac:dyDescent="0.25">
      <c r="A129" t="s">
        <v>5962</v>
      </c>
      <c r="B129">
        <v>1909</v>
      </c>
      <c r="C129" t="s">
        <v>5963</v>
      </c>
      <c r="D129" t="s">
        <v>5908</v>
      </c>
    </row>
    <row r="130" spans="1:4" x14ac:dyDescent="0.25">
      <c r="A130" t="s">
        <v>5964</v>
      </c>
      <c r="B130">
        <v>1909</v>
      </c>
      <c r="C130" t="s">
        <v>5965</v>
      </c>
      <c r="D130" t="s">
        <v>5966</v>
      </c>
    </row>
    <row r="131" spans="1:4" x14ac:dyDescent="0.25">
      <c r="A131" t="s">
        <v>5967</v>
      </c>
      <c r="B131">
        <v>1909</v>
      </c>
      <c r="C131" t="s">
        <v>5968</v>
      </c>
      <c r="D131" t="s">
        <v>5969</v>
      </c>
    </row>
    <row r="132" spans="1:4" x14ac:dyDescent="0.25">
      <c r="A132" t="s">
        <v>5970</v>
      </c>
      <c r="B132">
        <v>1909</v>
      </c>
      <c r="C132" t="s">
        <v>5971</v>
      </c>
      <c r="D132" t="s">
        <v>5972</v>
      </c>
    </row>
    <row r="133" spans="1:4" x14ac:dyDescent="0.25">
      <c r="A133" t="s">
        <v>5973</v>
      </c>
      <c r="B133">
        <v>1909</v>
      </c>
      <c r="C133" t="s">
        <v>5974</v>
      </c>
      <c r="D133" t="s">
        <v>5975</v>
      </c>
    </row>
    <row r="134" spans="1:4" x14ac:dyDescent="0.25">
      <c r="A134" t="s">
        <v>5976</v>
      </c>
      <c r="B134">
        <v>1909</v>
      </c>
      <c r="C134" t="s">
        <v>5977</v>
      </c>
      <c r="D134" t="s">
        <v>5978</v>
      </c>
    </row>
    <row r="135" spans="1:4" x14ac:dyDescent="0.25">
      <c r="A135" t="s">
        <v>5979</v>
      </c>
      <c r="B135">
        <v>1909</v>
      </c>
      <c r="C135" t="s">
        <v>5980</v>
      </c>
      <c r="D135" t="s">
        <v>5981</v>
      </c>
    </row>
    <row r="136" spans="1:4" x14ac:dyDescent="0.25">
      <c r="A136" t="s">
        <v>5982</v>
      </c>
      <c r="B136">
        <v>1909</v>
      </c>
      <c r="C136" t="s">
        <v>5983</v>
      </c>
      <c r="D136" t="s">
        <v>5984</v>
      </c>
    </row>
    <row r="137" spans="1:4" x14ac:dyDescent="0.25">
      <c r="A137" t="s">
        <v>5985</v>
      </c>
      <c r="B137">
        <v>1909</v>
      </c>
      <c r="C137" t="s">
        <v>5986</v>
      </c>
      <c r="D137" t="s">
        <v>5987</v>
      </c>
    </row>
    <row r="138" spans="1:4" x14ac:dyDescent="0.25">
      <c r="A138" t="s">
        <v>5988</v>
      </c>
      <c r="B138">
        <v>1909</v>
      </c>
      <c r="C138" t="s">
        <v>5989</v>
      </c>
      <c r="D138" t="s">
        <v>5990</v>
      </c>
    </row>
    <row r="139" spans="1:4" x14ac:dyDescent="0.25">
      <c r="A139" t="s">
        <v>5991</v>
      </c>
      <c r="B139">
        <v>1910</v>
      </c>
      <c r="C139" t="s">
        <v>5992</v>
      </c>
      <c r="D139" t="s">
        <v>5993</v>
      </c>
    </row>
    <row r="140" spans="1:4" x14ac:dyDescent="0.25">
      <c r="A140" t="s">
        <v>5994</v>
      </c>
      <c r="B140">
        <v>1910</v>
      </c>
      <c r="C140" t="s">
        <v>5995</v>
      </c>
      <c r="D140" t="s">
        <v>5931</v>
      </c>
    </row>
    <row r="141" spans="1:4" x14ac:dyDescent="0.25">
      <c r="A141" t="s">
        <v>5996</v>
      </c>
      <c r="B141">
        <v>1910</v>
      </c>
      <c r="C141" t="s">
        <v>5997</v>
      </c>
      <c r="D141" t="s">
        <v>5998</v>
      </c>
    </row>
    <row r="142" spans="1:4" x14ac:dyDescent="0.25">
      <c r="A142" t="s">
        <v>5999</v>
      </c>
      <c r="B142">
        <v>1910</v>
      </c>
      <c r="C142" t="s">
        <v>6000</v>
      </c>
      <c r="D142" t="s">
        <v>6001</v>
      </c>
    </row>
    <row r="143" spans="1:4" x14ac:dyDescent="0.25">
      <c r="A143" t="s">
        <v>6002</v>
      </c>
      <c r="B143">
        <v>1910</v>
      </c>
      <c r="C143" t="s">
        <v>6003</v>
      </c>
      <c r="D143" t="s">
        <v>6004</v>
      </c>
    </row>
    <row r="144" spans="1:4" x14ac:dyDescent="0.25">
      <c r="A144" t="s">
        <v>6005</v>
      </c>
      <c r="B144">
        <v>1910</v>
      </c>
      <c r="C144" t="s">
        <v>6006</v>
      </c>
      <c r="D144" t="s">
        <v>6007</v>
      </c>
    </row>
    <row r="145" spans="1:4" x14ac:dyDescent="0.25">
      <c r="A145" t="s">
        <v>6008</v>
      </c>
      <c r="B145">
        <v>1910</v>
      </c>
      <c r="C145" t="s">
        <v>6009</v>
      </c>
      <c r="D145" t="s">
        <v>6010</v>
      </c>
    </row>
    <row r="146" spans="1:4" x14ac:dyDescent="0.25">
      <c r="A146" t="s">
        <v>6011</v>
      </c>
      <c r="B146">
        <v>1910</v>
      </c>
      <c r="C146" t="s">
        <v>6012</v>
      </c>
      <c r="D146" t="s">
        <v>6013</v>
      </c>
    </row>
    <row r="147" spans="1:4" x14ac:dyDescent="0.25">
      <c r="A147" t="s">
        <v>6014</v>
      </c>
      <c r="B147">
        <v>1910</v>
      </c>
      <c r="C147" t="s">
        <v>6015</v>
      </c>
      <c r="D147" t="s">
        <v>6016</v>
      </c>
    </row>
    <row r="148" spans="1:4" x14ac:dyDescent="0.25">
      <c r="A148" t="s">
        <v>6017</v>
      </c>
      <c r="B148">
        <v>1910</v>
      </c>
      <c r="C148" t="s">
        <v>6018</v>
      </c>
      <c r="D148" t="s">
        <v>6019</v>
      </c>
    </row>
    <row r="149" spans="1:4" x14ac:dyDescent="0.25">
      <c r="A149" t="s">
        <v>6020</v>
      </c>
      <c r="B149">
        <v>1910</v>
      </c>
      <c r="C149" t="s">
        <v>6021</v>
      </c>
      <c r="D149" t="s">
        <v>6022</v>
      </c>
    </row>
    <row r="150" spans="1:4" x14ac:dyDescent="0.25">
      <c r="A150" t="s">
        <v>6023</v>
      </c>
      <c r="B150">
        <v>1910</v>
      </c>
      <c r="C150" t="s">
        <v>6024</v>
      </c>
      <c r="D150" t="s">
        <v>6025</v>
      </c>
    </row>
    <row r="151" spans="1:4" x14ac:dyDescent="0.25">
      <c r="A151" t="s">
        <v>6026</v>
      </c>
      <c r="B151">
        <v>1910</v>
      </c>
      <c r="C151" t="s">
        <v>6027</v>
      </c>
      <c r="D151" t="s">
        <v>6028</v>
      </c>
    </row>
    <row r="152" spans="1:4" x14ac:dyDescent="0.25">
      <c r="A152" t="s">
        <v>6029</v>
      </c>
      <c r="B152">
        <v>1910</v>
      </c>
      <c r="C152" t="s">
        <v>6030</v>
      </c>
      <c r="D152" t="s">
        <v>6031</v>
      </c>
    </row>
    <row r="153" spans="1:4" x14ac:dyDescent="0.25">
      <c r="A153" t="s">
        <v>6032</v>
      </c>
      <c r="B153">
        <v>1910</v>
      </c>
      <c r="C153" t="s">
        <v>6033</v>
      </c>
      <c r="D153" t="s">
        <v>6034</v>
      </c>
    </row>
    <row r="154" spans="1:4" x14ac:dyDescent="0.25">
      <c r="A154" t="s">
        <v>6035</v>
      </c>
      <c r="B154">
        <v>1910</v>
      </c>
      <c r="C154" t="s">
        <v>6036</v>
      </c>
      <c r="D154" t="s">
        <v>6037</v>
      </c>
    </row>
    <row r="155" spans="1:4" x14ac:dyDescent="0.25">
      <c r="A155" t="s">
        <v>6038</v>
      </c>
      <c r="B155">
        <v>1910</v>
      </c>
      <c r="C155" t="s">
        <v>6039</v>
      </c>
      <c r="D155" t="s">
        <v>6040</v>
      </c>
    </row>
    <row r="156" spans="1:4" x14ac:dyDescent="0.25">
      <c r="A156" t="s">
        <v>6041</v>
      </c>
      <c r="B156">
        <v>1910</v>
      </c>
      <c r="C156" t="s">
        <v>6042</v>
      </c>
      <c r="D156" t="s">
        <v>6043</v>
      </c>
    </row>
    <row r="157" spans="1:4" x14ac:dyDescent="0.25">
      <c r="A157" t="s">
        <v>6044</v>
      </c>
      <c r="B157">
        <v>1910</v>
      </c>
      <c r="C157" t="s">
        <v>6045</v>
      </c>
      <c r="D157" t="s">
        <v>6046</v>
      </c>
    </row>
    <row r="158" spans="1:4" x14ac:dyDescent="0.25">
      <c r="A158" t="s">
        <v>6047</v>
      </c>
      <c r="B158">
        <v>1910</v>
      </c>
      <c r="C158" t="s">
        <v>6048</v>
      </c>
      <c r="D158" t="s">
        <v>6049</v>
      </c>
    </row>
    <row r="159" spans="1:4" x14ac:dyDescent="0.25">
      <c r="A159" t="s">
        <v>6050</v>
      </c>
      <c r="B159">
        <v>1910</v>
      </c>
      <c r="C159" t="s">
        <v>6051</v>
      </c>
      <c r="D159" t="s">
        <v>6052</v>
      </c>
    </row>
    <row r="160" spans="1:4" x14ac:dyDescent="0.25">
      <c r="A160" t="s">
        <v>6053</v>
      </c>
      <c r="B160">
        <v>1910</v>
      </c>
      <c r="C160" t="s">
        <v>6054</v>
      </c>
      <c r="D160" t="s">
        <v>6055</v>
      </c>
    </row>
    <row r="161" spans="1:4" x14ac:dyDescent="0.25">
      <c r="A161" t="s">
        <v>6056</v>
      </c>
      <c r="B161">
        <v>1910</v>
      </c>
      <c r="C161" t="s">
        <v>6057</v>
      </c>
      <c r="D161" t="s">
        <v>6058</v>
      </c>
    </row>
    <row r="162" spans="1:4" x14ac:dyDescent="0.25">
      <c r="A162" t="s">
        <v>6059</v>
      </c>
      <c r="B162">
        <v>1910</v>
      </c>
      <c r="C162" t="s">
        <v>6060</v>
      </c>
      <c r="D162" t="s">
        <v>6061</v>
      </c>
    </row>
    <row r="163" spans="1:4" x14ac:dyDescent="0.25">
      <c r="A163" t="s">
        <v>6062</v>
      </c>
      <c r="B163">
        <v>1910</v>
      </c>
      <c r="C163" t="s">
        <v>6063</v>
      </c>
      <c r="D163" t="s">
        <v>6064</v>
      </c>
    </row>
    <row r="164" spans="1:4" x14ac:dyDescent="0.25">
      <c r="A164" t="s">
        <v>6065</v>
      </c>
      <c r="B164">
        <v>1910</v>
      </c>
      <c r="C164" t="s">
        <v>6066</v>
      </c>
      <c r="D164" t="s">
        <v>6067</v>
      </c>
    </row>
    <row r="165" spans="1:4" x14ac:dyDescent="0.25">
      <c r="A165" t="s">
        <v>6068</v>
      </c>
      <c r="B165">
        <v>1910</v>
      </c>
      <c r="C165" t="s">
        <v>6069</v>
      </c>
      <c r="D165" t="s">
        <v>6070</v>
      </c>
    </row>
    <row r="166" spans="1:4" x14ac:dyDescent="0.25">
      <c r="A166" t="s">
        <v>6071</v>
      </c>
      <c r="B166">
        <v>1910</v>
      </c>
      <c r="C166" t="s">
        <v>6072</v>
      </c>
      <c r="D166" t="s">
        <v>6073</v>
      </c>
    </row>
    <row r="167" spans="1:4" x14ac:dyDescent="0.25">
      <c r="A167" t="s">
        <v>6074</v>
      </c>
      <c r="B167">
        <v>1911</v>
      </c>
      <c r="C167" t="s">
        <v>6075</v>
      </c>
      <c r="D167" t="s">
        <v>6076</v>
      </c>
    </row>
    <row r="168" spans="1:4" x14ac:dyDescent="0.25">
      <c r="A168" t="s">
        <v>6077</v>
      </c>
      <c r="B168">
        <v>1911</v>
      </c>
      <c r="C168" t="s">
        <v>6078</v>
      </c>
      <c r="D168" t="s">
        <v>6079</v>
      </c>
    </row>
    <row r="169" spans="1:4" x14ac:dyDescent="0.25">
      <c r="A169" t="s">
        <v>6080</v>
      </c>
      <c r="B169">
        <v>1911</v>
      </c>
      <c r="C169" t="s">
        <v>6081</v>
      </c>
      <c r="D169" t="s">
        <v>6082</v>
      </c>
    </row>
    <row r="170" spans="1:4" x14ac:dyDescent="0.25">
      <c r="A170" t="s">
        <v>6083</v>
      </c>
      <c r="B170">
        <v>1911</v>
      </c>
      <c r="C170" t="s">
        <v>6084</v>
      </c>
      <c r="D170" t="s">
        <v>6085</v>
      </c>
    </row>
    <row r="171" spans="1:4" x14ac:dyDescent="0.25">
      <c r="A171" t="s">
        <v>6086</v>
      </c>
      <c r="B171">
        <v>1911</v>
      </c>
      <c r="C171" t="s">
        <v>6087</v>
      </c>
      <c r="D171" t="s">
        <v>6088</v>
      </c>
    </row>
    <row r="172" spans="1:4" x14ac:dyDescent="0.25">
      <c r="A172" t="s">
        <v>6089</v>
      </c>
      <c r="B172">
        <v>1911</v>
      </c>
      <c r="C172" t="s">
        <v>6090</v>
      </c>
      <c r="D172" t="s">
        <v>6091</v>
      </c>
    </row>
    <row r="173" spans="1:4" x14ac:dyDescent="0.25">
      <c r="A173" t="s">
        <v>6092</v>
      </c>
      <c r="B173">
        <v>1911</v>
      </c>
      <c r="C173" t="s">
        <v>6093</v>
      </c>
      <c r="D173" t="s">
        <v>6094</v>
      </c>
    </row>
    <row r="174" spans="1:4" x14ac:dyDescent="0.25">
      <c r="A174" t="s">
        <v>6095</v>
      </c>
      <c r="B174">
        <v>1911</v>
      </c>
      <c r="C174" t="s">
        <v>6096</v>
      </c>
      <c r="D174" t="s">
        <v>6097</v>
      </c>
    </row>
    <row r="175" spans="1:4" x14ac:dyDescent="0.25">
      <c r="A175" t="s">
        <v>6098</v>
      </c>
      <c r="B175">
        <v>1911</v>
      </c>
      <c r="C175" t="s">
        <v>6099</v>
      </c>
      <c r="D175" t="s">
        <v>6100</v>
      </c>
    </row>
    <row r="176" spans="1:4" x14ac:dyDescent="0.25">
      <c r="A176" t="s">
        <v>6101</v>
      </c>
      <c r="B176">
        <v>1911</v>
      </c>
      <c r="C176" t="s">
        <v>6102</v>
      </c>
      <c r="D176" t="s">
        <v>6103</v>
      </c>
    </row>
    <row r="177" spans="1:4" x14ac:dyDescent="0.25">
      <c r="A177" t="s">
        <v>6104</v>
      </c>
      <c r="B177">
        <v>1911</v>
      </c>
      <c r="C177" t="s">
        <v>6105</v>
      </c>
      <c r="D177" t="s">
        <v>6106</v>
      </c>
    </row>
    <row r="178" spans="1:4" x14ac:dyDescent="0.25">
      <c r="A178" t="s">
        <v>6107</v>
      </c>
      <c r="B178">
        <v>1912</v>
      </c>
      <c r="C178" t="s">
        <v>6108</v>
      </c>
      <c r="D178" t="s">
        <v>6109</v>
      </c>
    </row>
    <row r="179" spans="1:4" x14ac:dyDescent="0.25">
      <c r="A179" t="s">
        <v>6110</v>
      </c>
      <c r="B179">
        <v>1912</v>
      </c>
      <c r="C179" t="s">
        <v>6111</v>
      </c>
      <c r="D179" t="s">
        <v>6112</v>
      </c>
    </row>
    <row r="180" spans="1:4" x14ac:dyDescent="0.25">
      <c r="A180" t="s">
        <v>6113</v>
      </c>
      <c r="B180">
        <v>1912</v>
      </c>
      <c r="C180" t="s">
        <v>6114</v>
      </c>
      <c r="D180" t="s">
        <v>6115</v>
      </c>
    </row>
    <row r="181" spans="1:4" x14ac:dyDescent="0.25">
      <c r="A181" t="s">
        <v>6116</v>
      </c>
      <c r="B181">
        <v>1912</v>
      </c>
      <c r="C181" t="s">
        <v>6117</v>
      </c>
      <c r="D181" t="s">
        <v>5899</v>
      </c>
    </row>
    <row r="182" spans="1:4" x14ac:dyDescent="0.25">
      <c r="A182" t="s">
        <v>6118</v>
      </c>
      <c r="B182">
        <v>1912</v>
      </c>
      <c r="C182" t="s">
        <v>6119</v>
      </c>
      <c r="D182" t="s">
        <v>5899</v>
      </c>
    </row>
    <row r="183" spans="1:4" x14ac:dyDescent="0.25">
      <c r="A183" t="s">
        <v>6120</v>
      </c>
      <c r="B183">
        <v>1912</v>
      </c>
      <c r="C183" t="s">
        <v>6121</v>
      </c>
      <c r="D183" t="s">
        <v>6122</v>
      </c>
    </row>
    <row r="184" spans="1:4" x14ac:dyDescent="0.25">
      <c r="A184" t="s">
        <v>6123</v>
      </c>
      <c r="B184">
        <v>1912</v>
      </c>
      <c r="C184" t="s">
        <v>6124</v>
      </c>
      <c r="D184" t="s">
        <v>6125</v>
      </c>
    </row>
    <row r="185" spans="1:4" x14ac:dyDescent="0.25">
      <c r="A185" t="s">
        <v>6126</v>
      </c>
      <c r="B185">
        <v>1912</v>
      </c>
      <c r="C185" t="s">
        <v>6127</v>
      </c>
      <c r="D185" t="s">
        <v>6128</v>
      </c>
    </row>
    <row r="186" spans="1:4" x14ac:dyDescent="0.25">
      <c r="A186" t="s">
        <v>6129</v>
      </c>
      <c r="B186">
        <v>1912</v>
      </c>
      <c r="C186" t="s">
        <v>6130</v>
      </c>
      <c r="D186" t="s">
        <v>6131</v>
      </c>
    </row>
    <row r="187" spans="1:4" x14ac:dyDescent="0.25">
      <c r="A187" t="s">
        <v>6132</v>
      </c>
      <c r="B187">
        <v>1912</v>
      </c>
      <c r="C187" t="s">
        <v>6133</v>
      </c>
      <c r="D187" t="s">
        <v>6134</v>
      </c>
    </row>
    <row r="188" spans="1:4" x14ac:dyDescent="0.25">
      <c r="A188" t="s">
        <v>6135</v>
      </c>
      <c r="B188">
        <v>1912</v>
      </c>
      <c r="C188" t="s">
        <v>6136</v>
      </c>
      <c r="D188" t="s">
        <v>6137</v>
      </c>
    </row>
    <row r="189" spans="1:4" x14ac:dyDescent="0.25">
      <c r="A189" t="s">
        <v>6138</v>
      </c>
      <c r="B189">
        <v>1912</v>
      </c>
      <c r="C189" t="s">
        <v>6139</v>
      </c>
      <c r="D189" t="s">
        <v>6140</v>
      </c>
    </row>
    <row r="190" spans="1:4" x14ac:dyDescent="0.25">
      <c r="A190" t="s">
        <v>6141</v>
      </c>
      <c r="B190">
        <v>1912</v>
      </c>
      <c r="C190" t="s">
        <v>6142</v>
      </c>
      <c r="D190" t="s">
        <v>5737</v>
      </c>
    </row>
    <row r="191" spans="1:4" x14ac:dyDescent="0.25">
      <c r="A191" t="s">
        <v>6143</v>
      </c>
      <c r="B191">
        <v>1912</v>
      </c>
      <c r="C191" t="s">
        <v>6144</v>
      </c>
      <c r="D191" t="s">
        <v>6145</v>
      </c>
    </row>
    <row r="192" spans="1:4" x14ac:dyDescent="0.25">
      <c r="A192" t="s">
        <v>6146</v>
      </c>
      <c r="B192">
        <v>1912</v>
      </c>
      <c r="C192" t="s">
        <v>6147</v>
      </c>
      <c r="D192" t="s">
        <v>6148</v>
      </c>
    </row>
    <row r="193" spans="1:4" x14ac:dyDescent="0.25">
      <c r="A193" t="s">
        <v>6149</v>
      </c>
      <c r="B193">
        <v>1913</v>
      </c>
      <c r="C193" t="s">
        <v>6150</v>
      </c>
      <c r="D193" t="s">
        <v>6151</v>
      </c>
    </row>
    <row r="194" spans="1:4" x14ac:dyDescent="0.25">
      <c r="A194" t="s">
        <v>6152</v>
      </c>
      <c r="B194">
        <v>1913</v>
      </c>
      <c r="C194" t="s">
        <v>6153</v>
      </c>
      <c r="D194" t="s">
        <v>6154</v>
      </c>
    </row>
    <row r="195" spans="1:4" x14ac:dyDescent="0.25">
      <c r="A195" t="s">
        <v>6155</v>
      </c>
      <c r="B195">
        <v>1913</v>
      </c>
      <c r="C195" t="s">
        <v>6156</v>
      </c>
      <c r="D195" t="s">
        <v>6157</v>
      </c>
    </row>
    <row r="196" spans="1:4" x14ac:dyDescent="0.25">
      <c r="A196" t="s">
        <v>6158</v>
      </c>
      <c r="B196">
        <v>1913</v>
      </c>
      <c r="C196" t="s">
        <v>6159</v>
      </c>
      <c r="D196" t="s">
        <v>6160</v>
      </c>
    </row>
    <row r="197" spans="1:4" x14ac:dyDescent="0.25">
      <c r="A197" t="s">
        <v>6161</v>
      </c>
      <c r="B197">
        <v>1913</v>
      </c>
      <c r="C197" t="s">
        <v>6162</v>
      </c>
      <c r="D197" t="s">
        <v>6163</v>
      </c>
    </row>
    <row r="198" spans="1:4" x14ac:dyDescent="0.25">
      <c r="A198" t="s">
        <v>6164</v>
      </c>
      <c r="B198">
        <v>1913</v>
      </c>
      <c r="C198" t="s">
        <v>6165</v>
      </c>
      <c r="D198" t="s">
        <v>6166</v>
      </c>
    </row>
    <row r="199" spans="1:4" x14ac:dyDescent="0.25">
      <c r="A199" t="s">
        <v>6167</v>
      </c>
      <c r="B199">
        <v>1913</v>
      </c>
      <c r="C199" t="s">
        <v>6168</v>
      </c>
      <c r="D199" t="s">
        <v>6169</v>
      </c>
    </row>
    <row r="200" spans="1:4" x14ac:dyDescent="0.25">
      <c r="A200" t="s">
        <v>6170</v>
      </c>
      <c r="B200">
        <v>1913</v>
      </c>
      <c r="C200" t="s">
        <v>6171</v>
      </c>
      <c r="D200" t="s">
        <v>6172</v>
      </c>
    </row>
    <row r="201" spans="1:4" x14ac:dyDescent="0.25">
      <c r="A201" t="s">
        <v>6173</v>
      </c>
      <c r="B201">
        <v>1913</v>
      </c>
      <c r="C201" t="s">
        <v>6174</v>
      </c>
      <c r="D201" t="s">
        <v>6175</v>
      </c>
    </row>
    <row r="202" spans="1:4" x14ac:dyDescent="0.25">
      <c r="A202" t="s">
        <v>6176</v>
      </c>
      <c r="B202">
        <v>1913</v>
      </c>
      <c r="C202" t="s">
        <v>6177</v>
      </c>
      <c r="D202" t="s">
        <v>6178</v>
      </c>
    </row>
    <row r="203" spans="1:4" x14ac:dyDescent="0.25">
      <c r="A203" t="s">
        <v>6179</v>
      </c>
      <c r="B203">
        <v>1913</v>
      </c>
      <c r="C203" t="s">
        <v>6180</v>
      </c>
      <c r="D203" t="s">
        <v>6181</v>
      </c>
    </row>
    <row r="204" spans="1:4" x14ac:dyDescent="0.25">
      <c r="A204" t="s">
        <v>6182</v>
      </c>
      <c r="B204">
        <v>1913</v>
      </c>
      <c r="C204" t="s">
        <v>6183</v>
      </c>
      <c r="D204" t="s">
        <v>6184</v>
      </c>
    </row>
    <row r="205" spans="1:4" x14ac:dyDescent="0.25">
      <c r="A205" t="s">
        <v>6185</v>
      </c>
      <c r="B205">
        <v>1913</v>
      </c>
      <c r="C205" t="s">
        <v>6186</v>
      </c>
      <c r="D205" t="s">
        <v>6187</v>
      </c>
    </row>
    <row r="206" spans="1:4" x14ac:dyDescent="0.25">
      <c r="A206" t="s">
        <v>6188</v>
      </c>
      <c r="B206">
        <v>1913</v>
      </c>
      <c r="C206" t="s">
        <v>6189</v>
      </c>
      <c r="D206" t="s">
        <v>6190</v>
      </c>
    </row>
    <row r="207" spans="1:4" x14ac:dyDescent="0.25">
      <c r="A207" t="s">
        <v>6191</v>
      </c>
      <c r="B207">
        <v>1913</v>
      </c>
      <c r="C207" t="s">
        <v>6192</v>
      </c>
      <c r="D207" t="s">
        <v>6193</v>
      </c>
    </row>
    <row r="208" spans="1:4" x14ac:dyDescent="0.25">
      <c r="A208" t="s">
        <v>6194</v>
      </c>
      <c r="B208">
        <v>1913</v>
      </c>
      <c r="C208" t="s">
        <v>6195</v>
      </c>
      <c r="D208" t="s">
        <v>6196</v>
      </c>
    </row>
    <row r="209" spans="1:4" x14ac:dyDescent="0.25">
      <c r="A209" t="s">
        <v>6197</v>
      </c>
      <c r="B209">
        <v>1913</v>
      </c>
      <c r="C209" t="s">
        <v>6198</v>
      </c>
      <c r="D209" t="s">
        <v>6199</v>
      </c>
    </row>
    <row r="210" spans="1:4" x14ac:dyDescent="0.25">
      <c r="A210" t="s">
        <v>6200</v>
      </c>
      <c r="B210">
        <v>1913</v>
      </c>
      <c r="C210" t="s">
        <v>6201</v>
      </c>
      <c r="D210" t="s">
        <v>6202</v>
      </c>
    </row>
    <row r="211" spans="1:4" x14ac:dyDescent="0.25">
      <c r="A211" t="s">
        <v>6203</v>
      </c>
      <c r="B211">
        <v>1913</v>
      </c>
      <c r="C211" t="s">
        <v>6204</v>
      </c>
      <c r="D211" t="s">
        <v>6205</v>
      </c>
    </row>
    <row r="212" spans="1:4" x14ac:dyDescent="0.25">
      <c r="A212" t="s">
        <v>6206</v>
      </c>
      <c r="B212">
        <v>1914</v>
      </c>
      <c r="C212" t="s">
        <v>6207</v>
      </c>
      <c r="D212" t="s">
        <v>6208</v>
      </c>
    </row>
    <row r="213" spans="1:4" x14ac:dyDescent="0.25">
      <c r="A213" t="s">
        <v>6209</v>
      </c>
      <c r="B213">
        <v>1914</v>
      </c>
      <c r="C213" t="s">
        <v>6210</v>
      </c>
      <c r="D213" t="s">
        <v>6211</v>
      </c>
    </row>
    <row r="214" spans="1:4" x14ac:dyDescent="0.25">
      <c r="A214" t="s">
        <v>6212</v>
      </c>
      <c r="B214">
        <v>1914</v>
      </c>
      <c r="C214" t="s">
        <v>6213</v>
      </c>
      <c r="D214" t="s">
        <v>6214</v>
      </c>
    </row>
    <row r="215" spans="1:4" x14ac:dyDescent="0.25">
      <c r="A215" t="s">
        <v>6215</v>
      </c>
      <c r="B215">
        <v>1914</v>
      </c>
      <c r="C215" t="s">
        <v>6216</v>
      </c>
      <c r="D215" t="s">
        <v>6217</v>
      </c>
    </row>
    <row r="216" spans="1:4" x14ac:dyDescent="0.25">
      <c r="A216" t="s">
        <v>6218</v>
      </c>
      <c r="B216">
        <v>1914</v>
      </c>
      <c r="C216" t="s">
        <v>6219</v>
      </c>
      <c r="D216" t="s">
        <v>6220</v>
      </c>
    </row>
    <row r="217" spans="1:4" x14ac:dyDescent="0.25">
      <c r="A217" t="s">
        <v>6221</v>
      </c>
      <c r="B217">
        <v>1914</v>
      </c>
      <c r="C217" t="s">
        <v>6222</v>
      </c>
      <c r="D217" t="s">
        <v>6223</v>
      </c>
    </row>
    <row r="218" spans="1:4" x14ac:dyDescent="0.25">
      <c r="A218" t="s">
        <v>6224</v>
      </c>
      <c r="B218">
        <v>1914</v>
      </c>
      <c r="C218" t="s">
        <v>6225</v>
      </c>
      <c r="D218" t="s">
        <v>6226</v>
      </c>
    </row>
    <row r="219" spans="1:4" x14ac:dyDescent="0.25">
      <c r="A219" t="s">
        <v>6227</v>
      </c>
      <c r="B219">
        <v>1914</v>
      </c>
      <c r="C219" t="s">
        <v>6228</v>
      </c>
      <c r="D219" t="s">
        <v>6229</v>
      </c>
    </row>
    <row r="220" spans="1:4" x14ac:dyDescent="0.25">
      <c r="A220" t="s">
        <v>6230</v>
      </c>
      <c r="B220">
        <v>1914</v>
      </c>
      <c r="C220" t="s">
        <v>6231</v>
      </c>
      <c r="D220" t="s">
        <v>6232</v>
      </c>
    </row>
    <row r="221" spans="1:4" x14ac:dyDescent="0.25">
      <c r="A221" t="s">
        <v>6233</v>
      </c>
      <c r="B221">
        <v>1914</v>
      </c>
      <c r="C221" t="s">
        <v>6234</v>
      </c>
      <c r="D221" t="s">
        <v>6235</v>
      </c>
    </row>
    <row r="222" spans="1:4" x14ac:dyDescent="0.25">
      <c r="A222" t="s">
        <v>6236</v>
      </c>
      <c r="B222">
        <v>1914</v>
      </c>
      <c r="C222" t="s">
        <v>6237</v>
      </c>
      <c r="D222" t="s">
        <v>6238</v>
      </c>
    </row>
    <row r="223" spans="1:4" x14ac:dyDescent="0.25">
      <c r="A223" t="s">
        <v>6239</v>
      </c>
      <c r="B223">
        <v>1914</v>
      </c>
      <c r="C223" t="s">
        <v>6240</v>
      </c>
      <c r="D223" t="s">
        <v>6241</v>
      </c>
    </row>
    <row r="224" spans="1:4" x14ac:dyDescent="0.25">
      <c r="A224" t="s">
        <v>6242</v>
      </c>
      <c r="B224">
        <v>1914</v>
      </c>
      <c r="C224" t="s">
        <v>6243</v>
      </c>
      <c r="D224" t="s">
        <v>6244</v>
      </c>
    </row>
    <row r="225" spans="1:4" x14ac:dyDescent="0.25">
      <c r="A225" t="s">
        <v>6245</v>
      </c>
      <c r="B225">
        <v>1914</v>
      </c>
      <c r="C225" t="s">
        <v>6246</v>
      </c>
      <c r="D225" t="s">
        <v>6247</v>
      </c>
    </row>
    <row r="226" spans="1:4" x14ac:dyDescent="0.25">
      <c r="A226" t="s">
        <v>6248</v>
      </c>
      <c r="B226">
        <v>1914</v>
      </c>
      <c r="C226" t="s">
        <v>6249</v>
      </c>
      <c r="D226" t="s">
        <v>6250</v>
      </c>
    </row>
    <row r="227" spans="1:4" x14ac:dyDescent="0.25">
      <c r="A227" t="s">
        <v>6251</v>
      </c>
      <c r="B227">
        <v>1914</v>
      </c>
      <c r="C227" t="s">
        <v>6252</v>
      </c>
      <c r="D227" t="s">
        <v>6253</v>
      </c>
    </row>
    <row r="228" spans="1:4" x14ac:dyDescent="0.25">
      <c r="A228" t="s">
        <v>6254</v>
      </c>
      <c r="B228">
        <v>1914</v>
      </c>
      <c r="C228" t="s">
        <v>6255</v>
      </c>
      <c r="D228" t="s">
        <v>6256</v>
      </c>
    </row>
    <row r="229" spans="1:4" x14ac:dyDescent="0.25">
      <c r="A229" t="s">
        <v>6257</v>
      </c>
      <c r="B229">
        <v>1914</v>
      </c>
      <c r="C229" t="s">
        <v>6258</v>
      </c>
      <c r="D229" t="s">
        <v>6259</v>
      </c>
    </row>
    <row r="230" spans="1:4" x14ac:dyDescent="0.25">
      <c r="A230" t="s">
        <v>6260</v>
      </c>
      <c r="B230">
        <v>1914</v>
      </c>
      <c r="C230" t="s">
        <v>6261</v>
      </c>
      <c r="D230" t="s">
        <v>6262</v>
      </c>
    </row>
    <row r="231" spans="1:4" x14ac:dyDescent="0.25">
      <c r="A231" t="s">
        <v>6263</v>
      </c>
      <c r="B231">
        <v>1914</v>
      </c>
      <c r="C231" t="s">
        <v>6264</v>
      </c>
      <c r="D231" t="s">
        <v>6265</v>
      </c>
    </row>
    <row r="232" spans="1:4" x14ac:dyDescent="0.25">
      <c r="A232" t="s">
        <v>6266</v>
      </c>
      <c r="B232">
        <v>1914</v>
      </c>
      <c r="C232" t="s">
        <v>6267</v>
      </c>
      <c r="D232" t="s">
        <v>6268</v>
      </c>
    </row>
    <row r="233" spans="1:4" x14ac:dyDescent="0.25">
      <c r="A233" t="s">
        <v>6269</v>
      </c>
      <c r="B233">
        <v>1914</v>
      </c>
      <c r="C233" t="s">
        <v>6270</v>
      </c>
      <c r="D233" t="s">
        <v>6271</v>
      </c>
    </row>
    <row r="234" spans="1:4" x14ac:dyDescent="0.25">
      <c r="A234" t="s">
        <v>6272</v>
      </c>
      <c r="B234">
        <v>1914</v>
      </c>
      <c r="C234" t="s">
        <v>6273</v>
      </c>
      <c r="D234" t="s">
        <v>6274</v>
      </c>
    </row>
    <row r="235" spans="1:4" x14ac:dyDescent="0.25">
      <c r="A235" t="s">
        <v>6275</v>
      </c>
      <c r="B235">
        <v>1914</v>
      </c>
      <c r="C235" t="s">
        <v>6276</v>
      </c>
      <c r="D235" t="s">
        <v>6277</v>
      </c>
    </row>
    <row r="236" spans="1:4" x14ac:dyDescent="0.25">
      <c r="A236" t="s">
        <v>6278</v>
      </c>
      <c r="B236">
        <v>1914</v>
      </c>
      <c r="C236" t="s">
        <v>6279</v>
      </c>
      <c r="D236" t="s">
        <v>6280</v>
      </c>
    </row>
    <row r="237" spans="1:4" x14ac:dyDescent="0.25">
      <c r="A237" t="s">
        <v>6281</v>
      </c>
      <c r="B237">
        <v>1914</v>
      </c>
      <c r="C237" t="s">
        <v>6282</v>
      </c>
      <c r="D237" t="s">
        <v>6283</v>
      </c>
    </row>
    <row r="238" spans="1:4" x14ac:dyDescent="0.25">
      <c r="A238" t="s">
        <v>6284</v>
      </c>
      <c r="B238">
        <v>1914</v>
      </c>
      <c r="C238" t="s">
        <v>6285</v>
      </c>
      <c r="D238" t="s">
        <v>6286</v>
      </c>
    </row>
    <row r="239" spans="1:4" x14ac:dyDescent="0.25">
      <c r="A239" t="s">
        <v>6287</v>
      </c>
      <c r="B239">
        <v>1914</v>
      </c>
      <c r="C239" t="s">
        <v>6288</v>
      </c>
      <c r="D239" t="s">
        <v>6289</v>
      </c>
    </row>
    <row r="240" spans="1:4" x14ac:dyDescent="0.25">
      <c r="A240" t="s">
        <v>6290</v>
      </c>
      <c r="B240">
        <v>1914</v>
      </c>
      <c r="C240" t="s">
        <v>6291</v>
      </c>
      <c r="D240" t="s">
        <v>6292</v>
      </c>
    </row>
    <row r="241" spans="1:4" x14ac:dyDescent="0.25">
      <c r="A241" t="s">
        <v>6293</v>
      </c>
      <c r="B241">
        <v>1915</v>
      </c>
      <c r="C241" t="s">
        <v>6294</v>
      </c>
      <c r="D241" t="s">
        <v>6295</v>
      </c>
    </row>
    <row r="242" spans="1:4" x14ac:dyDescent="0.25">
      <c r="A242" t="s">
        <v>6296</v>
      </c>
      <c r="B242">
        <v>1915</v>
      </c>
      <c r="C242" t="s">
        <v>6297</v>
      </c>
      <c r="D242" t="s">
        <v>6298</v>
      </c>
    </row>
    <row r="243" spans="1:4" x14ac:dyDescent="0.25">
      <c r="A243" t="s">
        <v>6299</v>
      </c>
      <c r="B243">
        <v>1915</v>
      </c>
      <c r="C243" t="s">
        <v>6300</v>
      </c>
      <c r="D243" t="s">
        <v>6301</v>
      </c>
    </row>
    <row r="244" spans="1:4" x14ac:dyDescent="0.25">
      <c r="A244" t="s">
        <v>6302</v>
      </c>
      <c r="B244">
        <v>1915</v>
      </c>
      <c r="C244" t="s">
        <v>6303</v>
      </c>
      <c r="D244" t="s">
        <v>6304</v>
      </c>
    </row>
    <row r="245" spans="1:4" x14ac:dyDescent="0.25">
      <c r="A245" t="s">
        <v>6305</v>
      </c>
      <c r="B245">
        <v>1915</v>
      </c>
      <c r="C245" t="s">
        <v>6306</v>
      </c>
      <c r="D245" t="s">
        <v>6037</v>
      </c>
    </row>
    <row r="246" spans="1:4" x14ac:dyDescent="0.25">
      <c r="A246" t="s">
        <v>6307</v>
      </c>
      <c r="B246">
        <v>1915</v>
      </c>
      <c r="C246" t="s">
        <v>6308</v>
      </c>
      <c r="D246" t="s">
        <v>6309</v>
      </c>
    </row>
    <row r="247" spans="1:4" x14ac:dyDescent="0.25">
      <c r="A247" t="s">
        <v>6310</v>
      </c>
      <c r="B247">
        <v>1915</v>
      </c>
      <c r="C247" t="s">
        <v>6311</v>
      </c>
      <c r="D247" t="s">
        <v>6312</v>
      </c>
    </row>
    <row r="248" spans="1:4" x14ac:dyDescent="0.25">
      <c r="A248" t="s">
        <v>6313</v>
      </c>
      <c r="B248">
        <v>1915</v>
      </c>
      <c r="C248" t="s">
        <v>6314</v>
      </c>
      <c r="D248" t="s">
        <v>6315</v>
      </c>
    </row>
    <row r="249" spans="1:4" x14ac:dyDescent="0.25">
      <c r="A249" t="s">
        <v>6316</v>
      </c>
      <c r="B249">
        <v>1915</v>
      </c>
      <c r="C249" t="s">
        <v>6317</v>
      </c>
      <c r="D249" t="s">
        <v>6318</v>
      </c>
    </row>
    <row r="250" spans="1:4" x14ac:dyDescent="0.25">
      <c r="A250" t="s">
        <v>6319</v>
      </c>
      <c r="B250">
        <v>1915</v>
      </c>
      <c r="C250" t="s">
        <v>6320</v>
      </c>
      <c r="D250" t="s">
        <v>6318</v>
      </c>
    </row>
    <row r="251" spans="1:4" x14ac:dyDescent="0.25">
      <c r="A251" t="s">
        <v>6321</v>
      </c>
      <c r="B251">
        <v>1915</v>
      </c>
      <c r="C251" t="s">
        <v>6322</v>
      </c>
      <c r="D251" t="s">
        <v>6323</v>
      </c>
    </row>
    <row r="252" spans="1:4" x14ac:dyDescent="0.25">
      <c r="A252" t="s">
        <v>6324</v>
      </c>
      <c r="B252">
        <v>1915</v>
      </c>
      <c r="C252" t="s">
        <v>6325</v>
      </c>
      <c r="D252" t="s">
        <v>5761</v>
      </c>
    </row>
    <row r="253" spans="1:4" x14ac:dyDescent="0.25">
      <c r="A253" t="s">
        <v>6326</v>
      </c>
      <c r="B253">
        <v>1915</v>
      </c>
      <c r="C253" t="s">
        <v>6327</v>
      </c>
      <c r="D253" t="s">
        <v>6328</v>
      </c>
    </row>
    <row r="254" spans="1:4" x14ac:dyDescent="0.25">
      <c r="A254" t="s">
        <v>6329</v>
      </c>
      <c r="B254">
        <v>1915</v>
      </c>
      <c r="C254" t="s">
        <v>6330</v>
      </c>
      <c r="D254" t="s">
        <v>6331</v>
      </c>
    </row>
    <row r="255" spans="1:4" x14ac:dyDescent="0.25">
      <c r="A255" t="s">
        <v>6332</v>
      </c>
      <c r="B255">
        <v>1915</v>
      </c>
      <c r="C255" t="s">
        <v>6333</v>
      </c>
      <c r="D255" t="s">
        <v>6334</v>
      </c>
    </row>
    <row r="256" spans="1:4" x14ac:dyDescent="0.25">
      <c r="A256" t="s">
        <v>6335</v>
      </c>
      <c r="B256">
        <v>1915</v>
      </c>
      <c r="C256" t="s">
        <v>6336</v>
      </c>
      <c r="D256" t="s">
        <v>6337</v>
      </c>
    </row>
    <row r="257" spans="1:4" x14ac:dyDescent="0.25">
      <c r="A257" t="s">
        <v>6338</v>
      </c>
      <c r="B257">
        <v>1915</v>
      </c>
      <c r="C257" t="s">
        <v>6339</v>
      </c>
      <c r="D257" t="s">
        <v>6340</v>
      </c>
    </row>
    <row r="258" spans="1:4" x14ac:dyDescent="0.25">
      <c r="A258" t="s">
        <v>6341</v>
      </c>
      <c r="B258">
        <v>1915</v>
      </c>
      <c r="C258" t="s">
        <v>6342</v>
      </c>
      <c r="D258" t="s">
        <v>5899</v>
      </c>
    </row>
    <row r="259" spans="1:4" x14ac:dyDescent="0.25">
      <c r="A259" t="s">
        <v>6343</v>
      </c>
      <c r="B259">
        <v>1915</v>
      </c>
      <c r="C259" t="s">
        <v>6344</v>
      </c>
      <c r="D259" t="s">
        <v>6345</v>
      </c>
    </row>
    <row r="260" spans="1:4" x14ac:dyDescent="0.25">
      <c r="A260" t="s">
        <v>6346</v>
      </c>
      <c r="B260">
        <v>1915</v>
      </c>
      <c r="C260" t="s">
        <v>6347</v>
      </c>
      <c r="D260" t="s">
        <v>6348</v>
      </c>
    </row>
    <row r="261" spans="1:4" x14ac:dyDescent="0.25">
      <c r="A261" t="s">
        <v>6349</v>
      </c>
      <c r="B261">
        <v>1915</v>
      </c>
      <c r="C261" t="s">
        <v>6350</v>
      </c>
      <c r="D261" t="s">
        <v>6351</v>
      </c>
    </row>
    <row r="262" spans="1:4" x14ac:dyDescent="0.25">
      <c r="A262" t="s">
        <v>6352</v>
      </c>
      <c r="B262">
        <v>1915</v>
      </c>
      <c r="C262" t="s">
        <v>6353</v>
      </c>
      <c r="D262" t="s">
        <v>6354</v>
      </c>
    </row>
    <row r="263" spans="1:4" x14ac:dyDescent="0.25">
      <c r="A263" t="s">
        <v>6355</v>
      </c>
      <c r="B263">
        <v>1915</v>
      </c>
      <c r="C263" t="s">
        <v>6356</v>
      </c>
      <c r="D263" t="s">
        <v>6357</v>
      </c>
    </row>
    <row r="264" spans="1:4" x14ac:dyDescent="0.25">
      <c r="A264" t="s">
        <v>6358</v>
      </c>
      <c r="B264">
        <v>1915</v>
      </c>
      <c r="C264" t="s">
        <v>6359</v>
      </c>
      <c r="D264" t="s">
        <v>6360</v>
      </c>
    </row>
    <row r="265" spans="1:4" x14ac:dyDescent="0.25">
      <c r="A265" t="s">
        <v>6361</v>
      </c>
      <c r="B265">
        <v>1915</v>
      </c>
      <c r="C265" t="s">
        <v>6362</v>
      </c>
      <c r="D265" t="s">
        <v>6363</v>
      </c>
    </row>
    <row r="266" spans="1:4" x14ac:dyDescent="0.25">
      <c r="A266" t="s">
        <v>6364</v>
      </c>
      <c r="B266">
        <v>1915</v>
      </c>
      <c r="C266" t="s">
        <v>6365</v>
      </c>
      <c r="D266" t="s">
        <v>6366</v>
      </c>
    </row>
    <row r="267" spans="1:4" x14ac:dyDescent="0.25">
      <c r="A267" t="s">
        <v>6367</v>
      </c>
      <c r="B267">
        <v>1916</v>
      </c>
      <c r="C267" t="s">
        <v>6368</v>
      </c>
      <c r="D267" t="s">
        <v>6369</v>
      </c>
    </row>
    <row r="268" spans="1:4" x14ac:dyDescent="0.25">
      <c r="A268" t="s">
        <v>6370</v>
      </c>
      <c r="B268">
        <v>1916</v>
      </c>
      <c r="C268" t="s">
        <v>6371</v>
      </c>
      <c r="D268" t="s">
        <v>6372</v>
      </c>
    </row>
    <row r="269" spans="1:4" x14ac:dyDescent="0.25">
      <c r="A269" t="s">
        <v>6373</v>
      </c>
      <c r="B269">
        <v>1916</v>
      </c>
      <c r="C269" t="s">
        <v>6374</v>
      </c>
      <c r="D269" t="s">
        <v>6375</v>
      </c>
    </row>
    <row r="270" spans="1:4" x14ac:dyDescent="0.25">
      <c r="A270" t="s">
        <v>6376</v>
      </c>
      <c r="B270">
        <v>1916</v>
      </c>
      <c r="C270" t="s">
        <v>6377</v>
      </c>
      <c r="D270" t="s">
        <v>6378</v>
      </c>
    </row>
    <row r="271" spans="1:4" x14ac:dyDescent="0.25">
      <c r="A271" t="s">
        <v>6379</v>
      </c>
      <c r="B271">
        <v>1916</v>
      </c>
      <c r="C271" t="s">
        <v>6380</v>
      </c>
      <c r="D271" t="s">
        <v>6381</v>
      </c>
    </row>
    <row r="272" spans="1:4" x14ac:dyDescent="0.25">
      <c r="A272" t="s">
        <v>6382</v>
      </c>
      <c r="B272">
        <v>1916</v>
      </c>
      <c r="C272" t="s">
        <v>6383</v>
      </c>
      <c r="D272" t="s">
        <v>6384</v>
      </c>
    </row>
    <row r="273" spans="1:4" x14ac:dyDescent="0.25">
      <c r="A273" t="s">
        <v>6385</v>
      </c>
      <c r="B273">
        <v>1916</v>
      </c>
      <c r="C273" t="s">
        <v>6386</v>
      </c>
      <c r="D273" t="s">
        <v>6387</v>
      </c>
    </row>
    <row r="274" spans="1:4" x14ac:dyDescent="0.25">
      <c r="A274" t="s">
        <v>6388</v>
      </c>
      <c r="B274">
        <v>1916</v>
      </c>
      <c r="C274" t="s">
        <v>6389</v>
      </c>
      <c r="D274" t="s">
        <v>6390</v>
      </c>
    </row>
    <row r="275" spans="1:4" x14ac:dyDescent="0.25">
      <c r="A275" t="s">
        <v>6391</v>
      </c>
      <c r="B275">
        <v>1916</v>
      </c>
      <c r="C275" t="s">
        <v>6392</v>
      </c>
      <c r="D275" t="s">
        <v>6393</v>
      </c>
    </row>
    <row r="276" spans="1:4" x14ac:dyDescent="0.25">
      <c r="A276" t="s">
        <v>6394</v>
      </c>
      <c r="B276">
        <v>1916</v>
      </c>
      <c r="C276" t="s">
        <v>6395</v>
      </c>
      <c r="D276" t="s">
        <v>6396</v>
      </c>
    </row>
    <row r="277" spans="1:4" x14ac:dyDescent="0.25">
      <c r="A277" t="s">
        <v>6397</v>
      </c>
      <c r="B277">
        <v>1916</v>
      </c>
      <c r="C277" t="s">
        <v>6398</v>
      </c>
      <c r="D277" t="s">
        <v>6399</v>
      </c>
    </row>
    <row r="278" spans="1:4" x14ac:dyDescent="0.25">
      <c r="A278" t="s">
        <v>6400</v>
      </c>
      <c r="B278">
        <v>1916</v>
      </c>
      <c r="C278" t="s">
        <v>6401</v>
      </c>
      <c r="D278" t="s">
        <v>6402</v>
      </c>
    </row>
    <row r="279" spans="1:4" x14ac:dyDescent="0.25">
      <c r="A279" t="s">
        <v>6403</v>
      </c>
      <c r="B279">
        <v>1916</v>
      </c>
      <c r="C279" t="s">
        <v>6404</v>
      </c>
      <c r="D279" t="s">
        <v>6405</v>
      </c>
    </row>
    <row r="280" spans="1:4" x14ac:dyDescent="0.25">
      <c r="A280" t="s">
        <v>6406</v>
      </c>
      <c r="B280">
        <v>1916</v>
      </c>
      <c r="C280" t="s">
        <v>6407</v>
      </c>
      <c r="D280" t="s">
        <v>6408</v>
      </c>
    </row>
    <row r="281" spans="1:4" x14ac:dyDescent="0.25">
      <c r="A281" t="s">
        <v>6409</v>
      </c>
      <c r="B281">
        <v>1916</v>
      </c>
      <c r="C281" t="s">
        <v>6410</v>
      </c>
      <c r="D281" t="s">
        <v>6411</v>
      </c>
    </row>
    <row r="282" spans="1:4" x14ac:dyDescent="0.25">
      <c r="A282" t="s">
        <v>6412</v>
      </c>
      <c r="B282">
        <v>1916</v>
      </c>
      <c r="C282" t="s">
        <v>6413</v>
      </c>
      <c r="D282" t="s">
        <v>6414</v>
      </c>
    </row>
    <row r="283" spans="1:4" x14ac:dyDescent="0.25">
      <c r="A283" t="s">
        <v>6415</v>
      </c>
      <c r="B283">
        <v>1916</v>
      </c>
      <c r="C283" t="s">
        <v>6416</v>
      </c>
      <c r="D283" t="s">
        <v>6417</v>
      </c>
    </row>
    <row r="284" spans="1:4" x14ac:dyDescent="0.25">
      <c r="A284" t="s">
        <v>6418</v>
      </c>
      <c r="B284">
        <v>1917</v>
      </c>
      <c r="C284" t="s">
        <v>6419</v>
      </c>
      <c r="D284" t="s">
        <v>6253</v>
      </c>
    </row>
    <row r="285" spans="1:4" x14ac:dyDescent="0.25">
      <c r="A285" t="s">
        <v>6420</v>
      </c>
      <c r="B285">
        <v>1917</v>
      </c>
      <c r="C285" s="2">
        <v>100000</v>
      </c>
      <c r="D285" t="s">
        <v>6375</v>
      </c>
    </row>
    <row r="286" spans="1:4" x14ac:dyDescent="0.25">
      <c r="A286" t="s">
        <v>6421</v>
      </c>
      <c r="B286">
        <v>1917</v>
      </c>
      <c r="C286" t="s">
        <v>6422</v>
      </c>
      <c r="D286" t="s">
        <v>5966</v>
      </c>
    </row>
    <row r="287" spans="1:4" x14ac:dyDescent="0.25">
      <c r="A287" t="s">
        <v>6423</v>
      </c>
      <c r="B287">
        <v>1917</v>
      </c>
      <c r="C287" t="s">
        <v>6424</v>
      </c>
      <c r="D287" t="s">
        <v>6425</v>
      </c>
    </row>
    <row r="288" spans="1:4" x14ac:dyDescent="0.25">
      <c r="A288" t="s">
        <v>6426</v>
      </c>
      <c r="B288">
        <v>1917</v>
      </c>
      <c r="C288" t="s">
        <v>6427</v>
      </c>
      <c r="D288" t="s">
        <v>6428</v>
      </c>
    </row>
    <row r="289" spans="1:4" x14ac:dyDescent="0.25">
      <c r="A289" t="s">
        <v>6429</v>
      </c>
      <c r="B289">
        <v>1917</v>
      </c>
      <c r="C289" t="s">
        <v>6430</v>
      </c>
      <c r="D289" t="s">
        <v>6431</v>
      </c>
    </row>
    <row r="290" spans="1:4" x14ac:dyDescent="0.25">
      <c r="A290" t="s">
        <v>6432</v>
      </c>
      <c r="B290">
        <v>1917</v>
      </c>
      <c r="C290" t="s">
        <v>6433</v>
      </c>
      <c r="D290" t="s">
        <v>6434</v>
      </c>
    </row>
    <row r="291" spans="1:4" x14ac:dyDescent="0.25">
      <c r="A291" t="s">
        <v>6435</v>
      </c>
      <c r="B291">
        <v>1917</v>
      </c>
      <c r="C291" t="s">
        <v>6436</v>
      </c>
      <c r="D291" t="s">
        <v>6437</v>
      </c>
    </row>
    <row r="292" spans="1:4" x14ac:dyDescent="0.25">
      <c r="A292" t="s">
        <v>6438</v>
      </c>
      <c r="B292">
        <v>1917</v>
      </c>
      <c r="C292" t="s">
        <v>6439</v>
      </c>
      <c r="D292" t="s">
        <v>6440</v>
      </c>
    </row>
    <row r="293" spans="1:4" x14ac:dyDescent="0.25">
      <c r="A293" t="s">
        <v>6441</v>
      </c>
      <c r="B293">
        <v>1917</v>
      </c>
      <c r="C293" t="s">
        <v>6442</v>
      </c>
      <c r="D293" t="s">
        <v>6443</v>
      </c>
    </row>
    <row r="294" spans="1:4" x14ac:dyDescent="0.25">
      <c r="A294" t="s">
        <v>6444</v>
      </c>
      <c r="B294">
        <v>1917</v>
      </c>
      <c r="C294" t="s">
        <v>6445</v>
      </c>
      <c r="D294" t="s">
        <v>6446</v>
      </c>
    </row>
    <row r="295" spans="1:4" x14ac:dyDescent="0.25">
      <c r="A295" t="s">
        <v>6447</v>
      </c>
      <c r="B295">
        <v>1917</v>
      </c>
      <c r="C295" t="s">
        <v>6448</v>
      </c>
      <c r="D295" t="s">
        <v>6449</v>
      </c>
    </row>
    <row r="296" spans="1:4" x14ac:dyDescent="0.25">
      <c r="A296" t="s">
        <v>6450</v>
      </c>
      <c r="B296">
        <v>1917</v>
      </c>
      <c r="C296" t="s">
        <v>6451</v>
      </c>
      <c r="D296" t="s">
        <v>6452</v>
      </c>
    </row>
    <row r="297" spans="1:4" x14ac:dyDescent="0.25">
      <c r="A297" t="s">
        <v>6453</v>
      </c>
      <c r="B297">
        <v>1917</v>
      </c>
      <c r="C297" t="s">
        <v>6454</v>
      </c>
      <c r="D297" t="s">
        <v>6455</v>
      </c>
    </row>
    <row r="298" spans="1:4" x14ac:dyDescent="0.25">
      <c r="A298" t="s">
        <v>6456</v>
      </c>
      <c r="B298">
        <v>1917</v>
      </c>
      <c r="C298" t="s">
        <v>6457</v>
      </c>
      <c r="D298" t="s">
        <v>6458</v>
      </c>
    </row>
    <row r="299" spans="1:4" x14ac:dyDescent="0.25">
      <c r="A299" t="s">
        <v>6459</v>
      </c>
      <c r="B299">
        <v>1917</v>
      </c>
      <c r="C299" t="s">
        <v>6436</v>
      </c>
      <c r="D299" t="s">
        <v>6460</v>
      </c>
    </row>
    <row r="300" spans="1:4" x14ac:dyDescent="0.25">
      <c r="A300" t="s">
        <v>6461</v>
      </c>
      <c r="B300">
        <v>1917</v>
      </c>
      <c r="C300" t="s">
        <v>6462</v>
      </c>
      <c r="D300" t="s">
        <v>6463</v>
      </c>
    </row>
    <row r="301" spans="1:4" x14ac:dyDescent="0.25">
      <c r="A301" t="s">
        <v>6464</v>
      </c>
      <c r="B301">
        <v>1917</v>
      </c>
      <c r="C301" t="s">
        <v>6465</v>
      </c>
      <c r="D301" t="s">
        <v>6466</v>
      </c>
    </row>
    <row r="302" spans="1:4" x14ac:dyDescent="0.25">
      <c r="A302" t="s">
        <v>6467</v>
      </c>
      <c r="B302">
        <v>1917</v>
      </c>
      <c r="C302" t="s">
        <v>6468</v>
      </c>
      <c r="D302" t="s">
        <v>6469</v>
      </c>
    </row>
    <row r="303" spans="1:4" x14ac:dyDescent="0.25">
      <c r="A303" t="s">
        <v>6470</v>
      </c>
      <c r="B303">
        <v>1917</v>
      </c>
      <c r="C303" t="s">
        <v>6471</v>
      </c>
      <c r="D303" t="s">
        <v>6472</v>
      </c>
    </row>
    <row r="304" spans="1:4" x14ac:dyDescent="0.25">
      <c r="A304" t="s">
        <v>6473</v>
      </c>
      <c r="B304">
        <v>1917</v>
      </c>
      <c r="C304" t="s">
        <v>6474</v>
      </c>
      <c r="D304" t="s">
        <v>6475</v>
      </c>
    </row>
    <row r="305" spans="1:4" x14ac:dyDescent="0.25">
      <c r="A305" t="s">
        <v>6476</v>
      </c>
      <c r="B305">
        <v>1917</v>
      </c>
      <c r="C305" t="s">
        <v>6477</v>
      </c>
      <c r="D305" t="s">
        <v>6363</v>
      </c>
    </row>
    <row r="306" spans="1:4" x14ac:dyDescent="0.25">
      <c r="A306" t="s">
        <v>6478</v>
      </c>
      <c r="B306">
        <v>1917</v>
      </c>
      <c r="C306" t="s">
        <v>6479</v>
      </c>
      <c r="D306" t="s">
        <v>6480</v>
      </c>
    </row>
    <row r="307" spans="1:4" x14ac:dyDescent="0.25">
      <c r="A307" t="s">
        <v>6481</v>
      </c>
      <c r="B307">
        <v>1918</v>
      </c>
      <c r="C307" t="s">
        <v>6482</v>
      </c>
      <c r="D307" t="s">
        <v>6483</v>
      </c>
    </row>
    <row r="308" spans="1:4" x14ac:dyDescent="0.25">
      <c r="A308" t="s">
        <v>6484</v>
      </c>
      <c r="B308">
        <v>1918</v>
      </c>
      <c r="C308" t="s">
        <v>6485</v>
      </c>
      <c r="D308" t="s">
        <v>6486</v>
      </c>
    </row>
    <row r="309" spans="1:4" x14ac:dyDescent="0.25">
      <c r="A309" t="s">
        <v>6487</v>
      </c>
      <c r="B309">
        <v>1918</v>
      </c>
      <c r="C309" t="s">
        <v>6488</v>
      </c>
      <c r="D309" t="s">
        <v>6489</v>
      </c>
    </row>
    <row r="310" spans="1:4" x14ac:dyDescent="0.25">
      <c r="A310" t="s">
        <v>6490</v>
      </c>
      <c r="B310">
        <v>1918</v>
      </c>
      <c r="C310" t="s">
        <v>6491</v>
      </c>
      <c r="D310" t="s">
        <v>6492</v>
      </c>
    </row>
    <row r="311" spans="1:4" x14ac:dyDescent="0.25">
      <c r="A311" t="s">
        <v>6493</v>
      </c>
      <c r="B311">
        <v>1918</v>
      </c>
      <c r="C311" t="s">
        <v>6494</v>
      </c>
      <c r="D311" t="s">
        <v>6434</v>
      </c>
    </row>
    <row r="312" spans="1:4" x14ac:dyDescent="0.25">
      <c r="A312" t="s">
        <v>6495</v>
      </c>
      <c r="B312">
        <v>1918</v>
      </c>
      <c r="C312" t="s">
        <v>6496</v>
      </c>
      <c r="D312" t="s">
        <v>6309</v>
      </c>
    </row>
    <row r="313" spans="1:4" x14ac:dyDescent="0.25">
      <c r="A313" t="s">
        <v>6497</v>
      </c>
      <c r="B313">
        <v>1918</v>
      </c>
      <c r="C313" t="s">
        <v>6498</v>
      </c>
      <c r="D313" t="s">
        <v>6499</v>
      </c>
    </row>
    <row r="314" spans="1:4" x14ac:dyDescent="0.25">
      <c r="A314" t="s">
        <v>6500</v>
      </c>
      <c r="B314">
        <v>1918</v>
      </c>
      <c r="C314" t="s">
        <v>6501</v>
      </c>
      <c r="D314" t="s">
        <v>6502</v>
      </c>
    </row>
    <row r="315" spans="1:4" x14ac:dyDescent="0.25">
      <c r="A315" t="s">
        <v>6503</v>
      </c>
      <c r="B315">
        <v>1918</v>
      </c>
      <c r="C315" t="s">
        <v>6504</v>
      </c>
      <c r="D315" t="s">
        <v>6505</v>
      </c>
    </row>
    <row r="316" spans="1:4" x14ac:dyDescent="0.25">
      <c r="A316" t="s">
        <v>6506</v>
      </c>
      <c r="B316">
        <v>1918</v>
      </c>
      <c r="C316" t="s">
        <v>6507</v>
      </c>
      <c r="D316" t="s">
        <v>6508</v>
      </c>
    </row>
    <row r="317" spans="1:4" x14ac:dyDescent="0.25">
      <c r="A317" t="s">
        <v>6509</v>
      </c>
      <c r="B317">
        <v>1918</v>
      </c>
      <c r="C317" t="s">
        <v>6510</v>
      </c>
      <c r="D317" t="s">
        <v>6511</v>
      </c>
    </row>
    <row r="318" spans="1:4" x14ac:dyDescent="0.25">
      <c r="A318" t="s">
        <v>6512</v>
      </c>
      <c r="B318">
        <v>1918</v>
      </c>
      <c r="C318" t="s">
        <v>6513</v>
      </c>
      <c r="D318" t="s">
        <v>6514</v>
      </c>
    </row>
    <row r="319" spans="1:4" x14ac:dyDescent="0.25">
      <c r="A319" t="s">
        <v>6515</v>
      </c>
      <c r="B319">
        <v>1918</v>
      </c>
      <c r="C319" t="s">
        <v>6516</v>
      </c>
      <c r="D319" t="s">
        <v>6517</v>
      </c>
    </row>
    <row r="320" spans="1:4" x14ac:dyDescent="0.25">
      <c r="A320" t="s">
        <v>6518</v>
      </c>
      <c r="B320">
        <v>1918</v>
      </c>
      <c r="C320" t="s">
        <v>6519</v>
      </c>
      <c r="D320" t="s">
        <v>6520</v>
      </c>
    </row>
    <row r="321" spans="1:4" x14ac:dyDescent="0.25">
      <c r="A321" t="s">
        <v>6521</v>
      </c>
      <c r="B321">
        <v>1918</v>
      </c>
      <c r="C321" t="s">
        <v>6522</v>
      </c>
      <c r="D321" t="s">
        <v>6523</v>
      </c>
    </row>
    <row r="322" spans="1:4" x14ac:dyDescent="0.25">
      <c r="A322" t="s">
        <v>6524</v>
      </c>
      <c r="B322">
        <v>1918</v>
      </c>
      <c r="C322" t="s">
        <v>6525</v>
      </c>
      <c r="D322" t="s">
        <v>6526</v>
      </c>
    </row>
    <row r="323" spans="1:4" x14ac:dyDescent="0.25">
      <c r="A323" t="s">
        <v>6527</v>
      </c>
      <c r="B323">
        <v>1918</v>
      </c>
      <c r="C323" t="s">
        <v>6528</v>
      </c>
      <c r="D323" t="s">
        <v>6529</v>
      </c>
    </row>
    <row r="324" spans="1:4" x14ac:dyDescent="0.25">
      <c r="A324" t="s">
        <v>6530</v>
      </c>
      <c r="B324">
        <v>1918</v>
      </c>
      <c r="C324" t="s">
        <v>6531</v>
      </c>
      <c r="D324" t="s">
        <v>6532</v>
      </c>
    </row>
    <row r="325" spans="1:4" x14ac:dyDescent="0.25">
      <c r="A325" t="s">
        <v>6533</v>
      </c>
      <c r="B325">
        <v>1918</v>
      </c>
      <c r="C325" t="s">
        <v>6534</v>
      </c>
      <c r="D325" t="s">
        <v>6535</v>
      </c>
    </row>
    <row r="326" spans="1:4" x14ac:dyDescent="0.25">
      <c r="A326" t="s">
        <v>6536</v>
      </c>
      <c r="B326">
        <v>1919</v>
      </c>
      <c r="C326" t="s">
        <v>6537</v>
      </c>
      <c r="D326" t="s">
        <v>6304</v>
      </c>
    </row>
    <row r="327" spans="1:4" x14ac:dyDescent="0.25">
      <c r="A327" t="s">
        <v>6538</v>
      </c>
      <c r="B327">
        <v>1919</v>
      </c>
      <c r="C327" t="s">
        <v>6539</v>
      </c>
      <c r="D327" t="s">
        <v>6540</v>
      </c>
    </row>
    <row r="328" spans="1:4" x14ac:dyDescent="0.25">
      <c r="A328" t="s">
        <v>6541</v>
      </c>
      <c r="B328">
        <v>1919</v>
      </c>
      <c r="C328" t="s">
        <v>6542</v>
      </c>
      <c r="D328" t="s">
        <v>6543</v>
      </c>
    </row>
    <row r="329" spans="1:4" x14ac:dyDescent="0.25">
      <c r="A329" t="s">
        <v>6544</v>
      </c>
      <c r="B329">
        <v>1919</v>
      </c>
      <c r="C329" t="s">
        <v>6545</v>
      </c>
      <c r="D329" t="s">
        <v>6546</v>
      </c>
    </row>
    <row r="330" spans="1:4" x14ac:dyDescent="0.25">
      <c r="A330" t="s">
        <v>6547</v>
      </c>
      <c r="B330">
        <v>1919</v>
      </c>
      <c r="C330" t="s">
        <v>6548</v>
      </c>
      <c r="D330" t="s">
        <v>6549</v>
      </c>
    </row>
    <row r="331" spans="1:4" x14ac:dyDescent="0.25">
      <c r="A331" t="s">
        <v>6550</v>
      </c>
      <c r="B331">
        <v>1919</v>
      </c>
      <c r="C331" t="s">
        <v>6551</v>
      </c>
      <c r="D331" t="s">
        <v>6552</v>
      </c>
    </row>
    <row r="332" spans="1:4" x14ac:dyDescent="0.25">
      <c r="A332" t="s">
        <v>6553</v>
      </c>
      <c r="B332">
        <v>1919</v>
      </c>
      <c r="C332" t="s">
        <v>6554</v>
      </c>
      <c r="D332" t="s">
        <v>6555</v>
      </c>
    </row>
    <row r="333" spans="1:4" x14ac:dyDescent="0.25">
      <c r="A333" t="s">
        <v>6556</v>
      </c>
      <c r="B333">
        <v>1919</v>
      </c>
      <c r="C333" t="s">
        <v>6557</v>
      </c>
      <c r="D333" t="s">
        <v>6558</v>
      </c>
    </row>
    <row r="334" spans="1:4" x14ac:dyDescent="0.25">
      <c r="A334" t="s">
        <v>6559</v>
      </c>
      <c r="B334">
        <v>1919</v>
      </c>
      <c r="C334" t="s">
        <v>6560</v>
      </c>
      <c r="D334" t="s">
        <v>6561</v>
      </c>
    </row>
    <row r="335" spans="1:4" x14ac:dyDescent="0.25">
      <c r="A335" t="s">
        <v>6562</v>
      </c>
      <c r="B335">
        <v>1919</v>
      </c>
      <c r="C335" t="s">
        <v>6563</v>
      </c>
      <c r="D335" t="s">
        <v>6564</v>
      </c>
    </row>
    <row r="336" spans="1:4" x14ac:dyDescent="0.25">
      <c r="A336" t="s">
        <v>6565</v>
      </c>
      <c r="B336">
        <v>1920</v>
      </c>
      <c r="C336" t="s">
        <v>6566</v>
      </c>
      <c r="D336" t="s">
        <v>6567</v>
      </c>
    </row>
    <row r="337" spans="1:4" x14ac:dyDescent="0.25">
      <c r="A337" t="s">
        <v>6568</v>
      </c>
      <c r="B337">
        <v>1920</v>
      </c>
      <c r="C337" t="s">
        <v>6569</v>
      </c>
      <c r="D337" t="s">
        <v>6570</v>
      </c>
    </row>
    <row r="338" spans="1:4" x14ac:dyDescent="0.25">
      <c r="A338" t="s">
        <v>6571</v>
      </c>
      <c r="B338">
        <v>1920</v>
      </c>
      <c r="C338" t="s">
        <v>6572</v>
      </c>
      <c r="D338" t="s">
        <v>6502</v>
      </c>
    </row>
    <row r="339" spans="1:4" x14ac:dyDescent="0.25">
      <c r="A339" t="s">
        <v>6573</v>
      </c>
      <c r="B339">
        <v>1920</v>
      </c>
      <c r="C339" t="s">
        <v>6574</v>
      </c>
      <c r="D339" t="s">
        <v>6575</v>
      </c>
    </row>
    <row r="340" spans="1:4" x14ac:dyDescent="0.25">
      <c r="A340" t="s">
        <v>6576</v>
      </c>
      <c r="B340">
        <v>1920</v>
      </c>
      <c r="C340" t="s">
        <v>6577</v>
      </c>
      <c r="D340" t="s">
        <v>6508</v>
      </c>
    </row>
    <row r="341" spans="1:4" x14ac:dyDescent="0.25">
      <c r="A341" t="s">
        <v>6578</v>
      </c>
      <c r="B341">
        <v>1920</v>
      </c>
      <c r="C341" t="s">
        <v>6579</v>
      </c>
      <c r="D341" t="s">
        <v>6580</v>
      </c>
    </row>
    <row r="342" spans="1:4" x14ac:dyDescent="0.25">
      <c r="A342" t="s">
        <v>6581</v>
      </c>
      <c r="B342">
        <v>1920</v>
      </c>
      <c r="C342" t="s">
        <v>6582</v>
      </c>
      <c r="D342" t="s">
        <v>6340</v>
      </c>
    </row>
    <row r="343" spans="1:4" x14ac:dyDescent="0.25">
      <c r="A343" t="s">
        <v>6583</v>
      </c>
      <c r="B343">
        <v>1921</v>
      </c>
      <c r="C343" t="s">
        <v>6584</v>
      </c>
      <c r="D343" t="s">
        <v>6585</v>
      </c>
    </row>
    <row r="344" spans="1:4" x14ac:dyDescent="0.25">
      <c r="A344" t="s">
        <v>6586</v>
      </c>
      <c r="B344">
        <v>1921</v>
      </c>
      <c r="C344" t="s">
        <v>6587</v>
      </c>
      <c r="D344" t="s">
        <v>6588</v>
      </c>
    </row>
    <row r="345" spans="1:4" x14ac:dyDescent="0.25">
      <c r="A345" t="s">
        <v>6589</v>
      </c>
      <c r="B345">
        <v>1921</v>
      </c>
      <c r="C345" t="s">
        <v>6590</v>
      </c>
      <c r="D345" t="s">
        <v>6591</v>
      </c>
    </row>
    <row r="346" spans="1:4" x14ac:dyDescent="0.25">
      <c r="A346" t="s">
        <v>6592</v>
      </c>
      <c r="B346">
        <v>1921</v>
      </c>
      <c r="C346" t="s">
        <v>6593</v>
      </c>
      <c r="D346" t="s">
        <v>6594</v>
      </c>
    </row>
    <row r="347" spans="1:4" x14ac:dyDescent="0.25">
      <c r="A347" t="s">
        <v>6595</v>
      </c>
      <c r="B347">
        <v>1921</v>
      </c>
      <c r="C347" t="s">
        <v>6596</v>
      </c>
      <c r="D347" t="s">
        <v>6597</v>
      </c>
    </row>
    <row r="348" spans="1:4" x14ac:dyDescent="0.25">
      <c r="A348" t="s">
        <v>6598</v>
      </c>
      <c r="B348">
        <v>1921</v>
      </c>
      <c r="C348" t="s">
        <v>6599</v>
      </c>
      <c r="D348" t="s">
        <v>6600</v>
      </c>
    </row>
    <row r="349" spans="1:4" x14ac:dyDescent="0.25">
      <c r="A349" t="s">
        <v>6601</v>
      </c>
      <c r="B349">
        <v>1921</v>
      </c>
      <c r="C349" t="s">
        <v>6602</v>
      </c>
      <c r="D349" t="s">
        <v>6603</v>
      </c>
    </row>
    <row r="350" spans="1:4" x14ac:dyDescent="0.25">
      <c r="A350" t="s">
        <v>6604</v>
      </c>
      <c r="B350">
        <v>1921</v>
      </c>
      <c r="C350" t="s">
        <v>6605</v>
      </c>
      <c r="D350" t="s">
        <v>6606</v>
      </c>
    </row>
    <row r="351" spans="1:4" x14ac:dyDescent="0.25">
      <c r="A351" t="s">
        <v>6607</v>
      </c>
      <c r="B351">
        <v>1921</v>
      </c>
      <c r="C351" t="s">
        <v>6608</v>
      </c>
      <c r="D351" t="s">
        <v>6609</v>
      </c>
    </row>
    <row r="352" spans="1:4" x14ac:dyDescent="0.25">
      <c r="A352" t="s">
        <v>6610</v>
      </c>
      <c r="B352">
        <v>1921</v>
      </c>
      <c r="C352" t="s">
        <v>6611</v>
      </c>
      <c r="D352" t="s">
        <v>6292</v>
      </c>
    </row>
    <row r="353" spans="1:4" x14ac:dyDescent="0.25">
      <c r="A353" t="s">
        <v>6612</v>
      </c>
      <c r="B353">
        <v>1922</v>
      </c>
      <c r="C353" t="s">
        <v>6613</v>
      </c>
      <c r="D353" t="s">
        <v>6614</v>
      </c>
    </row>
    <row r="354" spans="1:4" x14ac:dyDescent="0.25">
      <c r="A354" t="s">
        <v>6615</v>
      </c>
      <c r="B354">
        <v>1922</v>
      </c>
      <c r="C354" t="s">
        <v>6616</v>
      </c>
      <c r="D354" t="s">
        <v>6617</v>
      </c>
    </row>
    <row r="355" spans="1:4" x14ac:dyDescent="0.25">
      <c r="A355" t="s">
        <v>6618</v>
      </c>
      <c r="B355">
        <v>1922</v>
      </c>
      <c r="C355" t="s">
        <v>6619</v>
      </c>
      <c r="D355" t="s">
        <v>6620</v>
      </c>
    </row>
    <row r="356" spans="1:4" x14ac:dyDescent="0.25">
      <c r="A356" t="s">
        <v>6621</v>
      </c>
      <c r="B356">
        <v>1922</v>
      </c>
      <c r="C356" t="s">
        <v>6622</v>
      </c>
      <c r="D356" t="s">
        <v>5719</v>
      </c>
    </row>
    <row r="357" spans="1:4" x14ac:dyDescent="0.25">
      <c r="A357" t="s">
        <v>6623</v>
      </c>
      <c r="B357">
        <v>1922</v>
      </c>
      <c r="C357" t="s">
        <v>6624</v>
      </c>
      <c r="D357" t="s">
        <v>6625</v>
      </c>
    </row>
    <row r="358" spans="1:4" x14ac:dyDescent="0.25">
      <c r="A358" t="s">
        <v>6626</v>
      </c>
      <c r="B358">
        <v>1922</v>
      </c>
      <c r="C358" t="s">
        <v>6627</v>
      </c>
      <c r="D358" t="s">
        <v>6628</v>
      </c>
    </row>
    <row r="359" spans="1:4" x14ac:dyDescent="0.25">
      <c r="A359" t="s">
        <v>6629</v>
      </c>
      <c r="B359">
        <v>1922</v>
      </c>
      <c r="C359" t="s">
        <v>6630</v>
      </c>
      <c r="D359" t="s">
        <v>6631</v>
      </c>
    </row>
    <row r="360" spans="1:4" x14ac:dyDescent="0.25">
      <c r="A360" t="s">
        <v>6632</v>
      </c>
      <c r="B360">
        <v>1922</v>
      </c>
      <c r="C360" t="s">
        <v>6633</v>
      </c>
      <c r="D360" t="s">
        <v>6634</v>
      </c>
    </row>
    <row r="361" spans="1:4" x14ac:dyDescent="0.25">
      <c r="A361" t="s">
        <v>6635</v>
      </c>
      <c r="B361">
        <v>1922</v>
      </c>
      <c r="C361" t="s">
        <v>6636</v>
      </c>
      <c r="D361" t="s">
        <v>6637</v>
      </c>
    </row>
    <row r="362" spans="1:4" x14ac:dyDescent="0.25">
      <c r="A362" t="s">
        <v>6638</v>
      </c>
      <c r="B362">
        <v>1922</v>
      </c>
      <c r="C362" t="s">
        <v>6639</v>
      </c>
      <c r="D362" t="s">
        <v>6640</v>
      </c>
    </row>
    <row r="363" spans="1:4" x14ac:dyDescent="0.25">
      <c r="A363" t="s">
        <v>6641</v>
      </c>
      <c r="B363">
        <v>1922</v>
      </c>
      <c r="C363" t="s">
        <v>6642</v>
      </c>
      <c r="D363" t="s">
        <v>6643</v>
      </c>
    </row>
    <row r="364" spans="1:4" x14ac:dyDescent="0.25">
      <c r="A364" t="s">
        <v>6644</v>
      </c>
      <c r="B364">
        <v>1922</v>
      </c>
      <c r="C364" t="s">
        <v>6645</v>
      </c>
      <c r="D364" t="s">
        <v>6646</v>
      </c>
    </row>
    <row r="365" spans="1:4" x14ac:dyDescent="0.25">
      <c r="A365" t="s">
        <v>6647</v>
      </c>
      <c r="B365">
        <v>1922</v>
      </c>
      <c r="C365" t="s">
        <v>6648</v>
      </c>
      <c r="D365" t="s">
        <v>6649</v>
      </c>
    </row>
    <row r="366" spans="1:4" x14ac:dyDescent="0.25">
      <c r="A366" t="s">
        <v>6650</v>
      </c>
      <c r="B366">
        <v>1922</v>
      </c>
      <c r="C366" t="s">
        <v>6651</v>
      </c>
      <c r="D366" t="s">
        <v>6154</v>
      </c>
    </row>
    <row r="367" spans="1:4" x14ac:dyDescent="0.25">
      <c r="A367" t="s">
        <v>6652</v>
      </c>
      <c r="B367">
        <v>1922</v>
      </c>
      <c r="C367" t="s">
        <v>6653</v>
      </c>
      <c r="D367" t="s">
        <v>6196</v>
      </c>
    </row>
    <row r="368" spans="1:4" x14ac:dyDescent="0.25">
      <c r="A368" t="s">
        <v>6654</v>
      </c>
      <c r="B368">
        <v>1922</v>
      </c>
      <c r="C368" t="s">
        <v>6655</v>
      </c>
      <c r="D368" t="s">
        <v>6656</v>
      </c>
    </row>
    <row r="369" spans="1:4" x14ac:dyDescent="0.25">
      <c r="A369" t="s">
        <v>6657</v>
      </c>
      <c r="B369">
        <v>1922</v>
      </c>
      <c r="C369" t="s">
        <v>6658</v>
      </c>
      <c r="D369" t="s">
        <v>6659</v>
      </c>
    </row>
    <row r="370" spans="1:4" x14ac:dyDescent="0.25">
      <c r="A370" t="s">
        <v>6660</v>
      </c>
      <c r="B370">
        <v>1922</v>
      </c>
      <c r="C370" t="s">
        <v>6661</v>
      </c>
      <c r="D370" t="s">
        <v>6662</v>
      </c>
    </row>
    <row r="371" spans="1:4" x14ac:dyDescent="0.25">
      <c r="A371" t="s">
        <v>6663</v>
      </c>
      <c r="B371">
        <v>1922</v>
      </c>
      <c r="C371" t="s">
        <v>6664</v>
      </c>
      <c r="D371" t="s">
        <v>6665</v>
      </c>
    </row>
    <row r="372" spans="1:4" x14ac:dyDescent="0.25">
      <c r="A372" t="s">
        <v>6666</v>
      </c>
      <c r="B372">
        <v>1922</v>
      </c>
      <c r="C372" t="s">
        <v>6667</v>
      </c>
      <c r="D372" t="s">
        <v>6668</v>
      </c>
    </row>
    <row r="373" spans="1:4" x14ac:dyDescent="0.25">
      <c r="A373" t="s">
        <v>6669</v>
      </c>
      <c r="B373">
        <v>1922</v>
      </c>
      <c r="C373" t="s">
        <v>6670</v>
      </c>
      <c r="D373" t="s">
        <v>6671</v>
      </c>
    </row>
    <row r="374" spans="1:4" x14ac:dyDescent="0.25">
      <c r="A374" t="s">
        <v>6672</v>
      </c>
      <c r="B374">
        <v>1923</v>
      </c>
      <c r="C374" t="s">
        <v>6673</v>
      </c>
      <c r="D374" t="s">
        <v>6674</v>
      </c>
    </row>
    <row r="375" spans="1:4" x14ac:dyDescent="0.25">
      <c r="A375" t="s">
        <v>6675</v>
      </c>
      <c r="B375">
        <v>1923</v>
      </c>
      <c r="C375" t="s">
        <v>6676</v>
      </c>
      <c r="D375" t="s">
        <v>6677</v>
      </c>
    </row>
    <row r="376" spans="1:4" x14ac:dyDescent="0.25">
      <c r="A376" t="s">
        <v>6678</v>
      </c>
      <c r="B376">
        <v>1923</v>
      </c>
      <c r="C376" t="s">
        <v>6679</v>
      </c>
      <c r="D376" t="s">
        <v>6680</v>
      </c>
    </row>
    <row r="377" spans="1:4" x14ac:dyDescent="0.25">
      <c r="A377" t="s">
        <v>6681</v>
      </c>
      <c r="B377">
        <v>1923</v>
      </c>
      <c r="C377" t="s">
        <v>6682</v>
      </c>
      <c r="D377" t="s">
        <v>6683</v>
      </c>
    </row>
    <row r="378" spans="1:4" x14ac:dyDescent="0.25">
      <c r="A378" t="s">
        <v>6684</v>
      </c>
      <c r="B378">
        <v>1923</v>
      </c>
      <c r="C378" t="s">
        <v>6685</v>
      </c>
      <c r="D378" t="s">
        <v>6686</v>
      </c>
    </row>
    <row r="379" spans="1:4" x14ac:dyDescent="0.25">
      <c r="A379" t="s">
        <v>6687</v>
      </c>
      <c r="B379">
        <v>1923</v>
      </c>
      <c r="C379" t="s">
        <v>6688</v>
      </c>
      <c r="D379" t="s">
        <v>6689</v>
      </c>
    </row>
    <row r="380" spans="1:4" x14ac:dyDescent="0.25">
      <c r="A380" t="s">
        <v>6690</v>
      </c>
      <c r="B380">
        <v>1923</v>
      </c>
      <c r="C380" t="s">
        <v>6691</v>
      </c>
      <c r="D380" t="s">
        <v>6692</v>
      </c>
    </row>
    <row r="381" spans="1:4" x14ac:dyDescent="0.25">
      <c r="A381" t="s">
        <v>6693</v>
      </c>
      <c r="B381">
        <v>1923</v>
      </c>
      <c r="C381" t="s">
        <v>6694</v>
      </c>
      <c r="D381" t="s">
        <v>6695</v>
      </c>
    </row>
    <row r="382" spans="1:4" x14ac:dyDescent="0.25">
      <c r="A382" t="s">
        <v>6696</v>
      </c>
      <c r="B382">
        <v>1923</v>
      </c>
      <c r="C382" t="s">
        <v>6697</v>
      </c>
      <c r="D382" t="s">
        <v>6698</v>
      </c>
    </row>
    <row r="383" spans="1:4" x14ac:dyDescent="0.25">
      <c r="A383" t="s">
        <v>6699</v>
      </c>
      <c r="B383">
        <v>1923</v>
      </c>
      <c r="C383" t="s">
        <v>6700</v>
      </c>
      <c r="D383" t="s">
        <v>6701</v>
      </c>
    </row>
    <row r="384" spans="1:4" x14ac:dyDescent="0.25">
      <c r="A384" t="s">
        <v>6702</v>
      </c>
      <c r="B384">
        <v>1923</v>
      </c>
      <c r="C384" t="s">
        <v>6703</v>
      </c>
      <c r="D384" t="s">
        <v>6061</v>
      </c>
    </row>
    <row r="385" spans="1:4" x14ac:dyDescent="0.25">
      <c r="A385" t="s">
        <v>6704</v>
      </c>
      <c r="B385">
        <v>1923</v>
      </c>
      <c r="C385" t="s">
        <v>6705</v>
      </c>
      <c r="D385" t="s">
        <v>6706</v>
      </c>
    </row>
    <row r="386" spans="1:4" x14ac:dyDescent="0.25">
      <c r="A386" t="s">
        <v>6707</v>
      </c>
      <c r="B386">
        <v>1923</v>
      </c>
      <c r="C386" t="s">
        <v>6708</v>
      </c>
      <c r="D386" t="s">
        <v>6709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8A384-B5B8-4401-A8BA-7F1FFB6C91C2}">
  <dimension ref="A1:E103"/>
  <sheetViews>
    <sheetView topLeftCell="A67" workbookViewId="0">
      <selection activeCell="E103" sqref="E103"/>
    </sheetView>
  </sheetViews>
  <sheetFormatPr defaultRowHeight="15" x14ac:dyDescent="0.25"/>
  <sheetData>
    <row r="1" spans="1:5" x14ac:dyDescent="0.25">
      <c r="A1" t="s">
        <v>0</v>
      </c>
      <c r="B1" t="s">
        <v>1</v>
      </c>
      <c r="C1" t="s">
        <v>9</v>
      </c>
      <c r="D1" t="s">
        <v>2</v>
      </c>
      <c r="E1" t="s">
        <v>6885</v>
      </c>
    </row>
    <row r="2" spans="1:5" x14ac:dyDescent="0.25">
      <c r="A2">
        <v>24762</v>
      </c>
      <c r="B2">
        <v>1887</v>
      </c>
      <c r="C2" t="s">
        <v>6884</v>
      </c>
      <c r="D2" t="s">
        <v>6883</v>
      </c>
      <c r="E2" t="s">
        <v>22</v>
      </c>
    </row>
    <row r="3" spans="1:5" x14ac:dyDescent="0.25">
      <c r="A3">
        <v>31014</v>
      </c>
      <c r="B3">
        <v>1888</v>
      </c>
      <c r="C3" t="s">
        <v>6882</v>
      </c>
      <c r="D3" t="s">
        <v>6881</v>
      </c>
      <c r="E3" t="s">
        <v>22</v>
      </c>
    </row>
    <row r="4" spans="1:5" x14ac:dyDescent="0.25">
      <c r="A4">
        <v>32696</v>
      </c>
      <c r="B4">
        <v>1888</v>
      </c>
      <c r="C4" t="s">
        <v>6880</v>
      </c>
      <c r="D4" t="s">
        <v>6879</v>
      </c>
      <c r="E4" t="s">
        <v>22</v>
      </c>
    </row>
    <row r="5" spans="1:5" x14ac:dyDescent="0.25">
      <c r="A5">
        <v>76102</v>
      </c>
      <c r="B5">
        <v>1889</v>
      </c>
      <c r="C5" t="s">
        <v>6878</v>
      </c>
      <c r="D5" t="s">
        <v>6145</v>
      </c>
      <c r="E5" t="s">
        <v>22</v>
      </c>
    </row>
    <row r="6" spans="1:5" x14ac:dyDescent="0.25">
      <c r="A6">
        <v>90025</v>
      </c>
      <c r="B6">
        <v>1889</v>
      </c>
      <c r="C6" t="s">
        <v>6877</v>
      </c>
      <c r="D6" t="s">
        <v>6876</v>
      </c>
      <c r="E6" t="s">
        <v>22</v>
      </c>
    </row>
    <row r="7" spans="1:5" x14ac:dyDescent="0.25">
      <c r="A7">
        <v>95364</v>
      </c>
      <c r="B7">
        <v>1891</v>
      </c>
      <c r="C7" t="s">
        <v>6875</v>
      </c>
      <c r="D7" t="s">
        <v>6874</v>
      </c>
      <c r="E7" t="s">
        <v>22</v>
      </c>
    </row>
    <row r="8" spans="1:5" x14ac:dyDescent="0.25">
      <c r="A8">
        <v>108894</v>
      </c>
      <c r="B8">
        <v>1891</v>
      </c>
      <c r="C8" t="s">
        <v>6873</v>
      </c>
      <c r="D8" t="s">
        <v>6872</v>
      </c>
      <c r="E8" t="s">
        <v>22</v>
      </c>
    </row>
    <row r="9" spans="1:5" x14ac:dyDescent="0.25">
      <c r="A9">
        <v>126940</v>
      </c>
      <c r="B9">
        <v>1891</v>
      </c>
      <c r="C9" t="s">
        <v>6871</v>
      </c>
      <c r="D9" t="s">
        <v>6870</v>
      </c>
      <c r="E9" t="s">
        <v>22</v>
      </c>
    </row>
    <row r="10" spans="1:5" x14ac:dyDescent="0.25">
      <c r="A10">
        <v>139237</v>
      </c>
      <c r="B10">
        <v>1893</v>
      </c>
      <c r="C10" t="s">
        <v>6869</v>
      </c>
      <c r="D10" t="s">
        <v>6868</v>
      </c>
      <c r="E10" t="s">
        <v>22</v>
      </c>
    </row>
    <row r="11" spans="1:5" x14ac:dyDescent="0.25">
      <c r="A11">
        <v>146164</v>
      </c>
      <c r="B11">
        <v>1893</v>
      </c>
      <c r="C11" t="s">
        <v>6867</v>
      </c>
      <c r="D11" t="s">
        <v>6866</v>
      </c>
      <c r="E11" t="s">
        <v>22</v>
      </c>
    </row>
    <row r="12" spans="1:5" x14ac:dyDescent="0.25">
      <c r="A12">
        <v>166547</v>
      </c>
      <c r="B12">
        <v>1894</v>
      </c>
      <c r="C12" t="s">
        <v>6865</v>
      </c>
      <c r="D12" t="s">
        <v>6864</v>
      </c>
      <c r="E12" t="s">
        <v>22</v>
      </c>
    </row>
    <row r="13" spans="1:5" x14ac:dyDescent="0.25">
      <c r="A13">
        <v>166617</v>
      </c>
      <c r="B13">
        <v>1894</v>
      </c>
      <c r="C13" t="s">
        <v>6863</v>
      </c>
      <c r="D13" t="s">
        <v>6862</v>
      </c>
      <c r="E13" t="s">
        <v>22</v>
      </c>
    </row>
    <row r="14" spans="1:5" x14ac:dyDescent="0.25">
      <c r="A14">
        <v>171059</v>
      </c>
      <c r="B14">
        <v>1894</v>
      </c>
      <c r="C14" t="s">
        <v>6861</v>
      </c>
      <c r="D14" t="s">
        <v>6860</v>
      </c>
      <c r="E14" t="s">
        <v>22</v>
      </c>
    </row>
    <row r="15" spans="1:5" x14ac:dyDescent="0.25">
      <c r="A15">
        <v>171724</v>
      </c>
      <c r="B15">
        <v>1894</v>
      </c>
      <c r="C15" t="s">
        <v>6859</v>
      </c>
      <c r="D15" t="s">
        <v>6858</v>
      </c>
      <c r="E15" t="s">
        <v>22</v>
      </c>
    </row>
    <row r="16" spans="1:5" x14ac:dyDescent="0.25">
      <c r="A16">
        <v>183207</v>
      </c>
      <c r="B16">
        <v>1894</v>
      </c>
      <c r="C16" t="s">
        <v>6857</v>
      </c>
      <c r="D16" t="s">
        <v>6856</v>
      </c>
      <c r="E16" t="s">
        <v>22</v>
      </c>
    </row>
    <row r="17" spans="1:5" x14ac:dyDescent="0.25">
      <c r="A17">
        <v>212680</v>
      </c>
      <c r="B17">
        <v>1895</v>
      </c>
      <c r="C17" t="s">
        <v>6855</v>
      </c>
      <c r="D17" t="s">
        <v>6854</v>
      </c>
      <c r="E17" t="s">
        <v>22</v>
      </c>
    </row>
    <row r="18" spans="1:5" x14ac:dyDescent="0.25">
      <c r="A18">
        <v>225715</v>
      </c>
      <c r="B18">
        <v>1895</v>
      </c>
      <c r="C18" t="s">
        <v>6853</v>
      </c>
      <c r="D18" t="s">
        <v>5815</v>
      </c>
      <c r="E18" t="s">
        <v>23</v>
      </c>
    </row>
    <row r="19" spans="1:5" x14ac:dyDescent="0.25">
      <c r="A19">
        <v>275953</v>
      </c>
      <c r="B19">
        <v>1903</v>
      </c>
      <c r="C19" t="s">
        <v>6852</v>
      </c>
      <c r="D19" t="s">
        <v>6851</v>
      </c>
      <c r="E19" t="s">
        <v>23</v>
      </c>
    </row>
    <row r="20" spans="1:5" x14ac:dyDescent="0.25">
      <c r="A20">
        <v>283313</v>
      </c>
      <c r="B20">
        <v>1908</v>
      </c>
      <c r="C20" t="s">
        <v>6850</v>
      </c>
      <c r="D20" t="s">
        <v>6849</v>
      </c>
      <c r="E20" t="s">
        <v>22</v>
      </c>
    </row>
    <row r="21" spans="1:5" x14ac:dyDescent="0.25">
      <c r="A21">
        <v>301571</v>
      </c>
      <c r="B21">
        <v>1908</v>
      </c>
      <c r="C21" t="s">
        <v>6848</v>
      </c>
      <c r="D21" t="s">
        <v>6847</v>
      </c>
      <c r="E21" t="s">
        <v>22</v>
      </c>
    </row>
    <row r="22" spans="1:5" x14ac:dyDescent="0.25">
      <c r="A22">
        <v>309336</v>
      </c>
      <c r="B22">
        <v>1908</v>
      </c>
      <c r="C22" t="s">
        <v>6846</v>
      </c>
      <c r="D22" t="s">
        <v>6845</v>
      </c>
      <c r="E22" t="s">
        <v>22</v>
      </c>
    </row>
    <row r="23" spans="1:5" x14ac:dyDescent="0.25">
      <c r="A23">
        <v>326850</v>
      </c>
      <c r="B23">
        <v>1908</v>
      </c>
      <c r="C23" s="2">
        <v>385842</v>
      </c>
      <c r="D23" t="s">
        <v>6145</v>
      </c>
      <c r="E23" t="s">
        <v>22</v>
      </c>
    </row>
    <row r="24" spans="1:5" x14ac:dyDescent="0.25">
      <c r="A24">
        <v>328040</v>
      </c>
      <c r="B24">
        <v>1908</v>
      </c>
      <c r="C24" t="s">
        <v>6844</v>
      </c>
      <c r="D24" t="s">
        <v>6843</v>
      </c>
      <c r="E24" t="s">
        <v>23</v>
      </c>
    </row>
    <row r="25" spans="1:5" x14ac:dyDescent="0.25">
      <c r="A25">
        <v>334354</v>
      </c>
      <c r="B25">
        <v>1909</v>
      </c>
      <c r="C25" t="s">
        <v>6842</v>
      </c>
      <c r="D25" t="s">
        <v>6841</v>
      </c>
      <c r="E25" t="s">
        <v>22</v>
      </c>
    </row>
    <row r="26" spans="1:5" x14ac:dyDescent="0.25">
      <c r="A26">
        <v>340092</v>
      </c>
      <c r="B26">
        <v>1909</v>
      </c>
      <c r="C26" t="s">
        <v>6840</v>
      </c>
      <c r="D26" t="s">
        <v>6839</v>
      </c>
      <c r="E26" t="s">
        <v>22</v>
      </c>
    </row>
    <row r="27" spans="1:5" x14ac:dyDescent="0.25">
      <c r="A27">
        <v>343048</v>
      </c>
      <c r="B27">
        <v>1909</v>
      </c>
      <c r="C27" t="s">
        <v>6838</v>
      </c>
      <c r="D27" t="s">
        <v>6837</v>
      </c>
      <c r="E27" t="s">
        <v>22</v>
      </c>
    </row>
    <row r="28" spans="1:5" x14ac:dyDescent="0.25">
      <c r="A28">
        <v>345460</v>
      </c>
      <c r="B28">
        <v>1909</v>
      </c>
      <c r="C28" t="s">
        <v>6836</v>
      </c>
      <c r="D28" t="s">
        <v>6835</v>
      </c>
      <c r="E28" t="s">
        <v>22</v>
      </c>
    </row>
    <row r="29" spans="1:5" x14ac:dyDescent="0.25">
      <c r="A29">
        <v>352523</v>
      </c>
      <c r="B29">
        <v>1909</v>
      </c>
      <c r="C29" t="s">
        <v>865</v>
      </c>
      <c r="D29" t="s">
        <v>6390</v>
      </c>
      <c r="E29" t="s">
        <v>22</v>
      </c>
    </row>
    <row r="30" spans="1:5" x14ac:dyDescent="0.25">
      <c r="A30">
        <v>362909</v>
      </c>
      <c r="B30">
        <v>1909</v>
      </c>
      <c r="C30" t="s">
        <v>6834</v>
      </c>
      <c r="D30" t="s">
        <v>6833</v>
      </c>
      <c r="E30" t="s">
        <v>22</v>
      </c>
    </row>
    <row r="31" spans="1:5" x14ac:dyDescent="0.25">
      <c r="A31">
        <v>387867</v>
      </c>
      <c r="B31">
        <v>1909</v>
      </c>
      <c r="C31" t="s">
        <v>6832</v>
      </c>
      <c r="D31" t="s">
        <v>6831</v>
      </c>
      <c r="E31" t="s">
        <v>22</v>
      </c>
    </row>
    <row r="32" spans="1:5" x14ac:dyDescent="0.25">
      <c r="A32">
        <v>403854</v>
      </c>
      <c r="B32">
        <v>1910</v>
      </c>
      <c r="C32" t="s">
        <v>6830</v>
      </c>
      <c r="D32" t="s">
        <v>5824</v>
      </c>
      <c r="E32" t="s">
        <v>22</v>
      </c>
    </row>
    <row r="33" spans="1:5" x14ac:dyDescent="0.25">
      <c r="A33">
        <v>404537</v>
      </c>
      <c r="B33">
        <v>1910</v>
      </c>
      <c r="C33" t="s">
        <v>6829</v>
      </c>
      <c r="D33" t="s">
        <v>6828</v>
      </c>
      <c r="E33" t="s">
        <v>22</v>
      </c>
    </row>
    <row r="34" spans="1:5" x14ac:dyDescent="0.25">
      <c r="A34">
        <v>436275</v>
      </c>
      <c r="B34">
        <v>1910</v>
      </c>
      <c r="C34" t="s">
        <v>6827</v>
      </c>
      <c r="D34" t="s">
        <v>6826</v>
      </c>
      <c r="E34" t="s">
        <v>22</v>
      </c>
    </row>
    <row r="35" spans="1:5" x14ac:dyDescent="0.25">
      <c r="A35">
        <v>458483</v>
      </c>
      <c r="B35">
        <v>1911</v>
      </c>
      <c r="C35" t="s">
        <v>6825</v>
      </c>
      <c r="D35" t="s">
        <v>6824</v>
      </c>
      <c r="E35" t="s">
        <v>22</v>
      </c>
    </row>
    <row r="36" spans="1:5" x14ac:dyDescent="0.25">
      <c r="A36">
        <v>459331</v>
      </c>
      <c r="B36">
        <v>1911</v>
      </c>
      <c r="C36" t="s">
        <v>6823</v>
      </c>
      <c r="D36" t="s">
        <v>6822</v>
      </c>
      <c r="E36" t="s">
        <v>22</v>
      </c>
    </row>
    <row r="37" spans="1:5" x14ac:dyDescent="0.25">
      <c r="A37">
        <v>469414</v>
      </c>
      <c r="B37">
        <v>1911</v>
      </c>
      <c r="C37" t="s">
        <v>6821</v>
      </c>
      <c r="D37" t="s">
        <v>6820</v>
      </c>
      <c r="E37" t="s">
        <v>28</v>
      </c>
    </row>
    <row r="38" spans="1:5" x14ac:dyDescent="0.25">
      <c r="A38">
        <v>474012</v>
      </c>
      <c r="B38">
        <v>1911</v>
      </c>
      <c r="C38" t="s">
        <v>6819</v>
      </c>
      <c r="D38" t="s">
        <v>6818</v>
      </c>
      <c r="E38" t="s">
        <v>22</v>
      </c>
    </row>
    <row r="39" spans="1:5" x14ac:dyDescent="0.25">
      <c r="A39">
        <v>485875</v>
      </c>
      <c r="B39">
        <v>1911</v>
      </c>
      <c r="C39" t="s">
        <v>6817</v>
      </c>
      <c r="D39" t="s">
        <v>6816</v>
      </c>
      <c r="E39" t="s">
        <v>22</v>
      </c>
    </row>
    <row r="40" spans="1:5" x14ac:dyDescent="0.25">
      <c r="A40">
        <v>491709</v>
      </c>
      <c r="B40">
        <v>1911</v>
      </c>
      <c r="C40" t="s">
        <v>6815</v>
      </c>
      <c r="D40" t="s">
        <v>6814</v>
      </c>
      <c r="E40" t="s">
        <v>22</v>
      </c>
    </row>
    <row r="41" spans="1:5" x14ac:dyDescent="0.25">
      <c r="A41">
        <v>514919</v>
      </c>
      <c r="B41">
        <v>1912</v>
      </c>
      <c r="C41" t="s">
        <v>6813</v>
      </c>
      <c r="D41" t="s">
        <v>6812</v>
      </c>
      <c r="E41" t="s">
        <v>22</v>
      </c>
    </row>
    <row r="42" spans="1:5" x14ac:dyDescent="0.25">
      <c r="A42">
        <v>516154</v>
      </c>
      <c r="B42">
        <v>1912</v>
      </c>
      <c r="C42" t="s">
        <v>6811</v>
      </c>
      <c r="D42" t="s">
        <v>6458</v>
      </c>
      <c r="E42" t="s">
        <v>22</v>
      </c>
    </row>
    <row r="43" spans="1:5" x14ac:dyDescent="0.25">
      <c r="A43">
        <v>519759</v>
      </c>
      <c r="B43">
        <v>1912</v>
      </c>
      <c r="C43" t="s">
        <v>6810</v>
      </c>
      <c r="D43" t="s">
        <v>6809</v>
      </c>
      <c r="E43" t="s">
        <v>22</v>
      </c>
    </row>
    <row r="44" spans="1:5" x14ac:dyDescent="0.25">
      <c r="A44">
        <v>521980</v>
      </c>
      <c r="B44">
        <v>1912</v>
      </c>
      <c r="C44" t="s">
        <v>6808</v>
      </c>
      <c r="D44" t="s">
        <v>6151</v>
      </c>
      <c r="E44" t="s">
        <v>28</v>
      </c>
    </row>
    <row r="45" spans="1:5" x14ac:dyDescent="0.25">
      <c r="A45">
        <v>530056</v>
      </c>
      <c r="B45">
        <v>1912</v>
      </c>
      <c r="C45" t="s">
        <v>6807</v>
      </c>
      <c r="D45" t="s">
        <v>6806</v>
      </c>
      <c r="E45" t="s">
        <v>22</v>
      </c>
    </row>
    <row r="46" spans="1:5" x14ac:dyDescent="0.25">
      <c r="A46">
        <v>537075</v>
      </c>
      <c r="B46">
        <v>1912</v>
      </c>
      <c r="C46" t="s">
        <v>6805</v>
      </c>
      <c r="D46" t="s">
        <v>6340</v>
      </c>
      <c r="E46" t="s">
        <v>28</v>
      </c>
    </row>
    <row r="47" spans="1:5" x14ac:dyDescent="0.25">
      <c r="A47">
        <v>538153</v>
      </c>
      <c r="B47">
        <v>1912</v>
      </c>
      <c r="C47" t="s">
        <v>6804</v>
      </c>
      <c r="D47" t="s">
        <v>6803</v>
      </c>
      <c r="E47" t="s">
        <v>22</v>
      </c>
    </row>
    <row r="48" spans="1:5" x14ac:dyDescent="0.25">
      <c r="A48">
        <v>569148</v>
      </c>
      <c r="B48">
        <v>1912</v>
      </c>
      <c r="C48" t="s">
        <v>6802</v>
      </c>
      <c r="D48" t="s">
        <v>6801</v>
      </c>
      <c r="E48" t="s">
        <v>28</v>
      </c>
    </row>
    <row r="49" spans="1:5" x14ac:dyDescent="0.25">
      <c r="A49">
        <v>589147</v>
      </c>
      <c r="B49">
        <v>1913</v>
      </c>
      <c r="C49" t="s">
        <v>6800</v>
      </c>
      <c r="D49" t="s">
        <v>6799</v>
      </c>
      <c r="E49" t="s">
        <v>22</v>
      </c>
    </row>
    <row r="50" spans="1:5" x14ac:dyDescent="0.25">
      <c r="A50">
        <v>609310</v>
      </c>
      <c r="B50">
        <v>1913</v>
      </c>
      <c r="C50" t="s">
        <v>6798</v>
      </c>
      <c r="D50" t="s">
        <v>6797</v>
      </c>
      <c r="E50" t="s">
        <v>22</v>
      </c>
    </row>
    <row r="51" spans="1:5" x14ac:dyDescent="0.25">
      <c r="A51">
        <v>622839</v>
      </c>
      <c r="B51">
        <v>1913</v>
      </c>
      <c r="C51" t="s">
        <v>6796</v>
      </c>
      <c r="D51" t="s">
        <v>6795</v>
      </c>
      <c r="E51" t="s">
        <v>22</v>
      </c>
    </row>
    <row r="52" spans="1:5" x14ac:dyDescent="0.25">
      <c r="A52">
        <v>630389</v>
      </c>
      <c r="B52">
        <v>1913</v>
      </c>
      <c r="C52" t="s">
        <v>6794</v>
      </c>
      <c r="D52" t="s">
        <v>6555</v>
      </c>
      <c r="E52" t="s">
        <v>22</v>
      </c>
    </row>
    <row r="53" spans="1:5" x14ac:dyDescent="0.25">
      <c r="A53">
        <v>641384</v>
      </c>
      <c r="B53">
        <v>1913</v>
      </c>
      <c r="C53" t="s">
        <v>6793</v>
      </c>
      <c r="D53" t="s">
        <v>6792</v>
      </c>
      <c r="E53" t="s">
        <v>22</v>
      </c>
    </row>
    <row r="54" spans="1:5" x14ac:dyDescent="0.25">
      <c r="A54">
        <v>663751</v>
      </c>
      <c r="B54">
        <v>1914</v>
      </c>
      <c r="C54" t="s">
        <v>6791</v>
      </c>
      <c r="D54" t="s">
        <v>6238</v>
      </c>
      <c r="E54" t="s">
        <v>22</v>
      </c>
    </row>
    <row r="55" spans="1:5" x14ac:dyDescent="0.25">
      <c r="A55">
        <v>675153</v>
      </c>
      <c r="B55">
        <v>1914</v>
      </c>
      <c r="C55" t="s">
        <v>6790</v>
      </c>
      <c r="D55" t="s">
        <v>6789</v>
      </c>
      <c r="E55" t="s">
        <v>22</v>
      </c>
    </row>
    <row r="56" spans="1:5" x14ac:dyDescent="0.25">
      <c r="A56">
        <v>675217</v>
      </c>
      <c r="B56">
        <v>1914</v>
      </c>
      <c r="C56" t="s">
        <v>6788</v>
      </c>
      <c r="D56" t="s">
        <v>6787</v>
      </c>
      <c r="E56" t="s">
        <v>28</v>
      </c>
    </row>
    <row r="57" spans="1:5" x14ac:dyDescent="0.25">
      <c r="A57">
        <v>676816</v>
      </c>
      <c r="B57">
        <v>1914</v>
      </c>
      <c r="C57" t="s">
        <v>6786</v>
      </c>
      <c r="D57" t="s">
        <v>6785</v>
      </c>
      <c r="E57" t="s">
        <v>22</v>
      </c>
    </row>
    <row r="58" spans="1:5" x14ac:dyDescent="0.25">
      <c r="A58">
        <v>680605</v>
      </c>
      <c r="B58">
        <v>1914</v>
      </c>
      <c r="C58" t="s">
        <v>6784</v>
      </c>
      <c r="D58" t="s">
        <v>6783</v>
      </c>
      <c r="E58" t="s">
        <v>22</v>
      </c>
    </row>
    <row r="59" spans="1:5" x14ac:dyDescent="0.25">
      <c r="A59">
        <v>699653</v>
      </c>
      <c r="B59">
        <v>1914</v>
      </c>
      <c r="C59" t="s">
        <v>6782</v>
      </c>
      <c r="D59" t="s">
        <v>6199</v>
      </c>
      <c r="E59" t="s">
        <v>22</v>
      </c>
    </row>
    <row r="60" spans="1:5" x14ac:dyDescent="0.25">
      <c r="A60">
        <v>721561</v>
      </c>
      <c r="B60">
        <v>1915</v>
      </c>
      <c r="C60" t="s">
        <v>6781</v>
      </c>
      <c r="D60" t="s">
        <v>6780</v>
      </c>
      <c r="E60" t="s">
        <v>22</v>
      </c>
    </row>
    <row r="61" spans="1:5" x14ac:dyDescent="0.25">
      <c r="A61">
        <v>761446</v>
      </c>
      <c r="B61">
        <v>1915</v>
      </c>
      <c r="C61" t="s">
        <v>6779</v>
      </c>
      <c r="D61" t="s">
        <v>5812</v>
      </c>
      <c r="E61" t="s">
        <v>22</v>
      </c>
    </row>
    <row r="62" spans="1:5" x14ac:dyDescent="0.25">
      <c r="A62">
        <v>764529</v>
      </c>
      <c r="B62">
        <v>1916</v>
      </c>
      <c r="C62" t="s">
        <v>6778</v>
      </c>
      <c r="D62" t="s">
        <v>6777</v>
      </c>
      <c r="E62" t="s">
        <v>22</v>
      </c>
    </row>
    <row r="63" spans="1:5" x14ac:dyDescent="0.25">
      <c r="A63">
        <v>772015</v>
      </c>
      <c r="B63">
        <v>1916</v>
      </c>
      <c r="C63" t="s">
        <v>6776</v>
      </c>
      <c r="D63" t="s">
        <v>6775</v>
      </c>
      <c r="E63" t="s">
        <v>22</v>
      </c>
    </row>
    <row r="64" spans="1:5" x14ac:dyDescent="0.25">
      <c r="A64">
        <v>776072</v>
      </c>
      <c r="B64">
        <v>1916</v>
      </c>
      <c r="C64" t="s">
        <v>6774</v>
      </c>
      <c r="D64" t="s">
        <v>6773</v>
      </c>
      <c r="E64" t="s">
        <v>22</v>
      </c>
    </row>
    <row r="65" spans="1:5" x14ac:dyDescent="0.25">
      <c r="A65">
        <v>796704</v>
      </c>
      <c r="B65">
        <v>1916</v>
      </c>
      <c r="C65" t="s">
        <v>6772</v>
      </c>
      <c r="D65" t="s">
        <v>6771</v>
      </c>
      <c r="E65" t="s">
        <v>22</v>
      </c>
    </row>
    <row r="66" spans="1:5" x14ac:dyDescent="0.25">
      <c r="A66">
        <v>809928</v>
      </c>
      <c r="B66">
        <v>1916</v>
      </c>
      <c r="C66" t="s">
        <v>6770</v>
      </c>
      <c r="D66" t="s">
        <v>6769</v>
      </c>
      <c r="E66" t="s">
        <v>22</v>
      </c>
    </row>
    <row r="67" spans="1:5" x14ac:dyDescent="0.25">
      <c r="A67">
        <v>812742</v>
      </c>
      <c r="B67">
        <v>1916</v>
      </c>
      <c r="C67" t="s">
        <v>6768</v>
      </c>
      <c r="D67" t="s">
        <v>6340</v>
      </c>
      <c r="E67" t="s">
        <v>22</v>
      </c>
    </row>
    <row r="68" spans="1:5" x14ac:dyDescent="0.25">
      <c r="A68">
        <v>830888</v>
      </c>
      <c r="B68">
        <v>1916</v>
      </c>
      <c r="C68" t="s">
        <v>6767</v>
      </c>
      <c r="D68" t="s">
        <v>6766</v>
      </c>
      <c r="E68" t="s">
        <v>22</v>
      </c>
    </row>
    <row r="69" spans="1:5" x14ac:dyDescent="0.25">
      <c r="A69">
        <v>849708</v>
      </c>
      <c r="B69">
        <v>1917</v>
      </c>
      <c r="C69" t="s">
        <v>6765</v>
      </c>
      <c r="D69" t="s">
        <v>6631</v>
      </c>
      <c r="E69" t="s">
        <v>22</v>
      </c>
    </row>
    <row r="70" spans="1:5" x14ac:dyDescent="0.25">
      <c r="A70">
        <v>868371</v>
      </c>
      <c r="B70">
        <v>1917</v>
      </c>
      <c r="C70" t="s">
        <v>6764</v>
      </c>
      <c r="D70" t="s">
        <v>6763</v>
      </c>
      <c r="E70" t="s">
        <v>22</v>
      </c>
    </row>
    <row r="71" spans="1:5" x14ac:dyDescent="0.25">
      <c r="A71">
        <v>876342</v>
      </c>
      <c r="B71">
        <v>1917</v>
      </c>
      <c r="C71" t="s">
        <v>6762</v>
      </c>
      <c r="D71" t="s">
        <v>6761</v>
      </c>
      <c r="E71" t="s">
        <v>22</v>
      </c>
    </row>
    <row r="72" spans="1:5" x14ac:dyDescent="0.25">
      <c r="A72">
        <v>876496</v>
      </c>
      <c r="B72">
        <v>1917</v>
      </c>
      <c r="C72" t="s">
        <v>6760</v>
      </c>
      <c r="D72" t="s">
        <v>6759</v>
      </c>
      <c r="E72" t="s">
        <v>22</v>
      </c>
    </row>
    <row r="73" spans="1:5" x14ac:dyDescent="0.25">
      <c r="A73">
        <v>909602</v>
      </c>
      <c r="B73">
        <v>1918</v>
      </c>
      <c r="C73" t="s">
        <v>6758</v>
      </c>
      <c r="D73" t="s">
        <v>6757</v>
      </c>
      <c r="E73" t="s">
        <v>28</v>
      </c>
    </row>
    <row r="74" spans="1:5" x14ac:dyDescent="0.25">
      <c r="A74">
        <v>917204</v>
      </c>
      <c r="B74">
        <v>1918</v>
      </c>
      <c r="C74" t="s">
        <v>6756</v>
      </c>
      <c r="D74" t="s">
        <v>6755</v>
      </c>
      <c r="E74" t="s">
        <v>22</v>
      </c>
    </row>
    <row r="75" spans="1:5" x14ac:dyDescent="0.25">
      <c r="A75">
        <v>928548</v>
      </c>
      <c r="B75">
        <v>1918</v>
      </c>
      <c r="C75" t="s">
        <v>6754</v>
      </c>
      <c r="D75" t="s">
        <v>6753</v>
      </c>
      <c r="E75" t="s">
        <v>22</v>
      </c>
    </row>
    <row r="76" spans="1:5" x14ac:dyDescent="0.25">
      <c r="A76">
        <v>947955</v>
      </c>
      <c r="B76">
        <v>1918</v>
      </c>
      <c r="C76" t="s">
        <v>6752</v>
      </c>
      <c r="D76" t="s">
        <v>6751</v>
      </c>
      <c r="E76" t="s">
        <v>22</v>
      </c>
    </row>
    <row r="77" spans="1:5" x14ac:dyDescent="0.25">
      <c r="A77">
        <v>948239</v>
      </c>
      <c r="B77">
        <v>1918</v>
      </c>
      <c r="C77" t="s">
        <v>6750</v>
      </c>
      <c r="D77" t="s">
        <v>6749</v>
      </c>
      <c r="E77" t="s">
        <v>22</v>
      </c>
    </row>
    <row r="78" spans="1:5" x14ac:dyDescent="0.25">
      <c r="A78">
        <v>954198</v>
      </c>
      <c r="B78">
        <v>1919</v>
      </c>
      <c r="C78" t="s">
        <v>6748</v>
      </c>
      <c r="D78" t="s">
        <v>6747</v>
      </c>
      <c r="E78" t="s">
        <v>22</v>
      </c>
    </row>
    <row r="79" spans="1:5" x14ac:dyDescent="0.25">
      <c r="A79">
        <v>970188</v>
      </c>
      <c r="B79">
        <v>1919</v>
      </c>
      <c r="C79" t="s">
        <v>6746</v>
      </c>
      <c r="D79" t="s">
        <v>6268</v>
      </c>
      <c r="E79" t="s">
        <v>22</v>
      </c>
    </row>
    <row r="80" spans="1:5" x14ac:dyDescent="0.25">
      <c r="A80">
        <v>979066</v>
      </c>
      <c r="B80">
        <v>1919</v>
      </c>
      <c r="C80" t="s">
        <v>6745</v>
      </c>
      <c r="D80" t="s">
        <v>6286</v>
      </c>
      <c r="E80" t="s">
        <v>22</v>
      </c>
    </row>
    <row r="81" spans="1:5" x14ac:dyDescent="0.25">
      <c r="A81">
        <v>987216</v>
      </c>
      <c r="B81">
        <v>1919</v>
      </c>
      <c r="C81" t="s">
        <v>6744</v>
      </c>
      <c r="D81" t="s">
        <v>6743</v>
      </c>
      <c r="E81" t="s">
        <v>22</v>
      </c>
    </row>
    <row r="82" spans="1:5" x14ac:dyDescent="0.25">
      <c r="A82">
        <v>991027</v>
      </c>
      <c r="B82">
        <v>1919</v>
      </c>
      <c r="C82" t="s">
        <v>6742</v>
      </c>
      <c r="D82" t="s">
        <v>6741</v>
      </c>
      <c r="E82" t="s">
        <v>28</v>
      </c>
    </row>
    <row r="83" spans="1:5" x14ac:dyDescent="0.25">
      <c r="A83">
        <v>996027</v>
      </c>
      <c r="B83">
        <v>1920</v>
      </c>
      <c r="C83" t="s">
        <v>6740</v>
      </c>
      <c r="D83" t="s">
        <v>6739</v>
      </c>
      <c r="E83" t="s">
        <v>22</v>
      </c>
    </row>
    <row r="84" spans="1:5" x14ac:dyDescent="0.25">
      <c r="A84">
        <v>1001740</v>
      </c>
      <c r="B84">
        <v>1920</v>
      </c>
      <c r="C84" t="s">
        <v>6738</v>
      </c>
      <c r="D84" t="s">
        <v>6628</v>
      </c>
      <c r="E84" t="s">
        <v>22</v>
      </c>
    </row>
    <row r="85" spans="1:5" x14ac:dyDescent="0.25">
      <c r="A85">
        <v>1002869</v>
      </c>
      <c r="B85">
        <v>1920</v>
      </c>
      <c r="C85" t="s">
        <v>6737</v>
      </c>
      <c r="D85" t="s">
        <v>6040</v>
      </c>
      <c r="E85" t="s">
        <v>22</v>
      </c>
    </row>
    <row r="86" spans="1:5" x14ac:dyDescent="0.25">
      <c r="A86">
        <v>1004056</v>
      </c>
      <c r="B86">
        <v>1920</v>
      </c>
      <c r="C86" t="s">
        <v>6736</v>
      </c>
      <c r="D86" t="s">
        <v>6735</v>
      </c>
      <c r="E86" t="s">
        <v>22</v>
      </c>
    </row>
    <row r="87" spans="1:5" x14ac:dyDescent="0.25">
      <c r="A87">
        <v>1014599</v>
      </c>
      <c r="B87">
        <v>1920</v>
      </c>
      <c r="C87" t="s">
        <v>6734</v>
      </c>
      <c r="D87" t="s">
        <v>6733</v>
      </c>
      <c r="E87" t="s">
        <v>28</v>
      </c>
    </row>
    <row r="88" spans="1:5" x14ac:dyDescent="0.25">
      <c r="A88">
        <v>1027064</v>
      </c>
      <c r="B88">
        <v>1920</v>
      </c>
      <c r="C88" t="s">
        <v>6732</v>
      </c>
      <c r="D88" t="s">
        <v>6731</v>
      </c>
      <c r="E88" t="s">
        <v>22</v>
      </c>
    </row>
    <row r="89" spans="1:5" x14ac:dyDescent="0.25">
      <c r="A89">
        <v>1031308</v>
      </c>
      <c r="B89">
        <v>1920</v>
      </c>
      <c r="C89" t="s">
        <v>6730</v>
      </c>
      <c r="D89" t="s">
        <v>6729</v>
      </c>
      <c r="E89" t="s">
        <v>22</v>
      </c>
    </row>
    <row r="90" spans="1:5" x14ac:dyDescent="0.25">
      <c r="A90">
        <v>1039241</v>
      </c>
      <c r="B90">
        <v>1921</v>
      </c>
      <c r="C90" t="s">
        <v>6728</v>
      </c>
      <c r="D90" t="s">
        <v>6178</v>
      </c>
      <c r="E90" t="s">
        <v>22</v>
      </c>
    </row>
    <row r="91" spans="1:5" x14ac:dyDescent="0.25">
      <c r="A91">
        <v>1044554</v>
      </c>
      <c r="B91">
        <v>1921</v>
      </c>
      <c r="C91" t="s">
        <v>6727</v>
      </c>
      <c r="D91" t="s">
        <v>6040</v>
      </c>
      <c r="E91" t="s">
        <v>22</v>
      </c>
    </row>
    <row r="92" spans="1:5" x14ac:dyDescent="0.25">
      <c r="A92">
        <v>1050187</v>
      </c>
      <c r="B92">
        <v>1921</v>
      </c>
      <c r="C92" t="s">
        <v>6726</v>
      </c>
      <c r="D92" t="s">
        <v>6725</v>
      </c>
      <c r="E92" t="s">
        <v>28</v>
      </c>
    </row>
    <row r="93" spans="1:5" x14ac:dyDescent="0.25">
      <c r="A93">
        <v>1054708</v>
      </c>
      <c r="B93">
        <v>1921</v>
      </c>
      <c r="C93" t="s">
        <v>6724</v>
      </c>
      <c r="D93" t="s">
        <v>6723</v>
      </c>
      <c r="E93" t="s">
        <v>28</v>
      </c>
    </row>
    <row r="94" spans="1:5" x14ac:dyDescent="0.25">
      <c r="A94">
        <v>1064258</v>
      </c>
      <c r="B94">
        <v>1921</v>
      </c>
      <c r="C94" t="s">
        <v>6722</v>
      </c>
      <c r="D94" t="s">
        <v>6145</v>
      </c>
      <c r="E94" t="s">
        <v>22</v>
      </c>
    </row>
    <row r="95" spans="1:5" x14ac:dyDescent="0.25">
      <c r="A95">
        <v>1075979</v>
      </c>
      <c r="B95">
        <v>1922</v>
      </c>
      <c r="C95" t="s">
        <v>6721</v>
      </c>
      <c r="D95" t="s">
        <v>6617</v>
      </c>
      <c r="E95" t="s">
        <v>22</v>
      </c>
    </row>
    <row r="96" spans="1:5" x14ac:dyDescent="0.25">
      <c r="A96">
        <v>1110534</v>
      </c>
      <c r="B96">
        <v>1922</v>
      </c>
      <c r="C96">
        <v>2552064</v>
      </c>
      <c r="D96" t="s">
        <v>6720</v>
      </c>
      <c r="E96" t="s">
        <v>28</v>
      </c>
    </row>
    <row r="97" spans="1:5" x14ac:dyDescent="0.25">
      <c r="A97">
        <v>1116633</v>
      </c>
      <c r="B97">
        <v>1923</v>
      </c>
      <c r="C97" t="s">
        <v>6719</v>
      </c>
      <c r="D97" t="s">
        <v>6718</v>
      </c>
      <c r="E97" t="s">
        <v>22</v>
      </c>
    </row>
    <row r="98" spans="1:5" x14ac:dyDescent="0.25">
      <c r="A98">
        <v>1116662</v>
      </c>
      <c r="B98">
        <v>1923</v>
      </c>
      <c r="C98" t="s">
        <v>6717</v>
      </c>
      <c r="D98" t="s">
        <v>6716</v>
      </c>
      <c r="E98" t="s">
        <v>22</v>
      </c>
    </row>
    <row r="99" spans="1:5" x14ac:dyDescent="0.25">
      <c r="A99">
        <v>1127716</v>
      </c>
      <c r="B99">
        <v>1923</v>
      </c>
      <c r="C99" t="s">
        <v>6715</v>
      </c>
      <c r="D99" t="s">
        <v>6714</v>
      </c>
      <c r="E99" t="s">
        <v>22</v>
      </c>
    </row>
    <row r="100" spans="1:5" x14ac:dyDescent="0.25">
      <c r="A100">
        <v>1153004</v>
      </c>
      <c r="B100">
        <v>1923</v>
      </c>
      <c r="C100" t="s">
        <v>6713</v>
      </c>
      <c r="D100" t="s">
        <v>6712</v>
      </c>
      <c r="E100" t="s">
        <v>22</v>
      </c>
    </row>
    <row r="101" spans="1:5" x14ac:dyDescent="0.25">
      <c r="A101">
        <v>1153849</v>
      </c>
      <c r="B101">
        <v>1923</v>
      </c>
      <c r="C101" t="s">
        <v>6711</v>
      </c>
      <c r="D101" t="s">
        <v>6710</v>
      </c>
      <c r="E101" t="s">
        <v>22</v>
      </c>
    </row>
    <row r="102" spans="1:5" x14ac:dyDescent="0.25">
      <c r="E102">
        <v>11</v>
      </c>
    </row>
    <row r="103" spans="1:5" x14ac:dyDescent="0.25">
      <c r="E103">
        <v>0.89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B174-6224-4E03-9613-22B2CE5A59F0}">
  <dimension ref="A1:AA55"/>
  <sheetViews>
    <sheetView tabSelected="1" workbookViewId="0">
      <selection activeCell="M23" sqref="M23"/>
    </sheetView>
  </sheetViews>
  <sheetFormatPr defaultRowHeight="15" x14ac:dyDescent="0.25"/>
  <cols>
    <col min="3" max="3" width="9.5703125" bestFit="1" customWidth="1"/>
    <col min="13" max="15" width="10.140625" bestFit="1" customWidth="1"/>
  </cols>
  <sheetData>
    <row r="1" spans="1:27" x14ac:dyDescent="0.25">
      <c r="B1" t="s">
        <v>6892</v>
      </c>
      <c r="C1" t="s">
        <v>3</v>
      </c>
      <c r="D1" t="s">
        <v>6888</v>
      </c>
      <c r="E1" t="s">
        <v>6895</v>
      </c>
      <c r="F1" t="s">
        <v>10</v>
      </c>
      <c r="G1" t="s">
        <v>11</v>
      </c>
      <c r="H1" t="s">
        <v>12</v>
      </c>
      <c r="I1" t="s">
        <v>6887</v>
      </c>
      <c r="J1" t="s">
        <v>4874</v>
      </c>
      <c r="K1" t="s">
        <v>6894</v>
      </c>
      <c r="L1" t="s">
        <v>6896</v>
      </c>
      <c r="V1" t="s">
        <v>7278</v>
      </c>
      <c r="W1" t="s">
        <v>7279</v>
      </c>
      <c r="X1" t="s">
        <v>7280</v>
      </c>
      <c r="Y1" t="s">
        <v>7281</v>
      </c>
      <c r="Z1" t="s">
        <v>7282</v>
      </c>
      <c r="AA1" t="s">
        <v>6893</v>
      </c>
    </row>
    <row r="2" spans="1:27" x14ac:dyDescent="0.25">
      <c r="A2" t="s">
        <v>6886</v>
      </c>
      <c r="B2">
        <v>0.43765281173594128</v>
      </c>
      <c r="C2">
        <v>0.99266503667481665</v>
      </c>
      <c r="D2">
        <v>0.99266503667481665</v>
      </c>
      <c r="E2">
        <v>0.93459657701711496</v>
      </c>
      <c r="F2">
        <v>0.8875305623471883</v>
      </c>
      <c r="G2">
        <v>0.94132029339853296</v>
      </c>
      <c r="H2">
        <v>0.91687041564792171</v>
      </c>
      <c r="I2">
        <v>0.96577017114914421</v>
      </c>
      <c r="L2">
        <f>AVERAGE(B2:K2)</f>
        <v>0.88363386308068459</v>
      </c>
      <c r="V2" t="s">
        <v>7283</v>
      </c>
      <c r="W2" s="14">
        <v>0.43765281173594128</v>
      </c>
      <c r="X2" s="14">
        <v>0.73838630806845962</v>
      </c>
      <c r="Y2" s="14">
        <v>0.92665036674816625</v>
      </c>
      <c r="Z2" s="14">
        <v>0.7261613691931541</v>
      </c>
      <c r="AA2" s="14">
        <v>0.89731051344743273</v>
      </c>
    </row>
    <row r="3" spans="1:27" x14ac:dyDescent="0.25">
      <c r="A3" t="s">
        <v>6889</v>
      </c>
      <c r="B3">
        <v>0.73838630806845962</v>
      </c>
      <c r="C3">
        <v>0.98777506112469438</v>
      </c>
      <c r="D3">
        <v>0.9828850855745721</v>
      </c>
      <c r="E3">
        <v>0.96495517522412388</v>
      </c>
      <c r="F3">
        <v>0.83129584352078245</v>
      </c>
      <c r="G3">
        <v>0.97555012224938875</v>
      </c>
      <c r="H3">
        <v>0.87775061124694376</v>
      </c>
      <c r="I3">
        <v>0.9828850855745721</v>
      </c>
      <c r="L3">
        <f t="shared" ref="L3:L6" si="0">AVERAGE(B3:K3)</f>
        <v>0.91768541157294203</v>
      </c>
      <c r="V3" t="s">
        <v>7284</v>
      </c>
      <c r="W3" s="14">
        <v>0.99266503667481665</v>
      </c>
      <c r="X3" s="14">
        <v>0.98777506112469438</v>
      </c>
      <c r="Y3" s="14">
        <v>0.9682151589242054</v>
      </c>
      <c r="Z3" s="14"/>
      <c r="AA3" s="14">
        <v>0</v>
      </c>
    </row>
    <row r="4" spans="1:27" x14ac:dyDescent="0.25">
      <c r="A4" t="s">
        <v>6890</v>
      </c>
      <c r="B4">
        <v>0.92176039119804398</v>
      </c>
      <c r="C4">
        <v>0.9682151589242054</v>
      </c>
      <c r="D4">
        <v>0.99755501222493892</v>
      </c>
      <c r="E4">
        <v>0.88997555012224938</v>
      </c>
      <c r="F4">
        <v>0.74083129584352081</v>
      </c>
      <c r="G4">
        <v>0.94621026894865523</v>
      </c>
      <c r="H4">
        <v>0.76528117359413206</v>
      </c>
      <c r="I4">
        <v>0.96332518337408313</v>
      </c>
      <c r="L4">
        <f t="shared" si="0"/>
        <v>0.89914425427872857</v>
      </c>
      <c r="V4" t="s">
        <v>7285</v>
      </c>
      <c r="W4" s="14">
        <v>0.99266503667481665</v>
      </c>
      <c r="X4" s="14">
        <v>0.9828850855745721</v>
      </c>
      <c r="Y4" s="14">
        <v>0.99755501222493892</v>
      </c>
      <c r="Z4" s="14">
        <v>0.79951100244498774</v>
      </c>
      <c r="AA4" s="14">
        <v>0</v>
      </c>
    </row>
    <row r="5" spans="1:27" x14ac:dyDescent="0.25">
      <c r="A5" t="s">
        <v>6891</v>
      </c>
      <c r="B5">
        <v>0.7261613691931541</v>
      </c>
      <c r="D5">
        <v>0.79951100244498774</v>
      </c>
      <c r="F5">
        <v>0.94621026894865523</v>
      </c>
      <c r="G5">
        <v>0.93887530562347188</v>
      </c>
      <c r="H5">
        <v>0.66992665036674814</v>
      </c>
      <c r="I5">
        <v>0.76772616136919314</v>
      </c>
      <c r="L5">
        <f t="shared" si="0"/>
        <v>0.80806845965770169</v>
      </c>
      <c r="V5" t="s">
        <v>6903</v>
      </c>
      <c r="W5" s="14">
        <v>0.75794621026894871</v>
      </c>
      <c r="X5" s="14">
        <v>0.94376528117359415</v>
      </c>
      <c r="Y5" s="14">
        <v>0.88997555012224938</v>
      </c>
      <c r="Z5" s="14"/>
      <c r="AA5" s="14">
        <v>0.92665036674816625</v>
      </c>
    </row>
    <row r="6" spans="1:27" x14ac:dyDescent="0.25">
      <c r="A6" t="s">
        <v>6893</v>
      </c>
      <c r="B6">
        <v>0.89731051344743273</v>
      </c>
      <c r="E6">
        <v>0.92420537897310517</v>
      </c>
      <c r="F6">
        <v>0.86552567237163813</v>
      </c>
      <c r="G6">
        <v>0.86552567237163813</v>
      </c>
      <c r="H6">
        <v>0.86552567237163813</v>
      </c>
      <c r="I6">
        <v>0.95354523227383858</v>
      </c>
      <c r="J6">
        <v>0.99511002444987773</v>
      </c>
      <c r="K6">
        <v>1</v>
      </c>
      <c r="L6">
        <f t="shared" si="0"/>
        <v>0.92084352078239606</v>
      </c>
      <c r="V6" t="s">
        <v>7286</v>
      </c>
      <c r="W6" s="14">
        <v>0.8875305623471883</v>
      </c>
      <c r="X6" s="14">
        <v>0.83129584352078245</v>
      </c>
      <c r="Y6" s="14">
        <v>0.74083129584352081</v>
      </c>
      <c r="Z6" s="14">
        <v>0.94621026894865523</v>
      </c>
      <c r="AA6" s="14">
        <v>0.86552567237163813</v>
      </c>
    </row>
    <row r="7" spans="1:27" x14ac:dyDescent="0.25">
      <c r="V7" t="s">
        <v>7287</v>
      </c>
      <c r="W7" s="14">
        <v>0.94132029339853296</v>
      </c>
      <c r="X7" s="14">
        <v>0.97555012224938875</v>
      </c>
      <c r="Y7" s="14">
        <v>0.94621026894865523</v>
      </c>
      <c r="Z7" s="14">
        <v>0.93887530562347188</v>
      </c>
      <c r="AA7" s="14"/>
    </row>
    <row r="8" spans="1:27" x14ac:dyDescent="0.25">
      <c r="V8" t="s">
        <v>7288</v>
      </c>
      <c r="W8" s="14">
        <v>0.91687041564792171</v>
      </c>
      <c r="X8" s="14">
        <v>0.87775061124694376</v>
      </c>
      <c r="Y8" s="14">
        <v>0.76528117359413206</v>
      </c>
      <c r="Z8" s="14">
        <v>0.66992665036674814</v>
      </c>
      <c r="AA8" s="14"/>
    </row>
    <row r="9" spans="1:27" x14ac:dyDescent="0.25">
      <c r="B9" t="s">
        <v>4873</v>
      </c>
      <c r="C9" t="s">
        <v>4874</v>
      </c>
      <c r="D9" t="s">
        <v>4875</v>
      </c>
      <c r="E9" t="s">
        <v>13</v>
      </c>
      <c r="F9" t="s">
        <v>3928</v>
      </c>
      <c r="G9" t="s">
        <v>8</v>
      </c>
      <c r="V9" t="s">
        <v>7289</v>
      </c>
      <c r="W9" s="14">
        <v>0.96577017114914421</v>
      </c>
      <c r="X9" s="14">
        <v>0.9828850855745721</v>
      </c>
      <c r="Y9" s="14">
        <v>0.96332518337408313</v>
      </c>
      <c r="Z9" s="14">
        <v>0.76772616136919314</v>
      </c>
      <c r="AA9" s="14">
        <v>0.95599022004889977</v>
      </c>
    </row>
    <row r="10" spans="1:27" x14ac:dyDescent="0.25">
      <c r="B10">
        <v>0.86552567237163813</v>
      </c>
      <c r="C10">
        <v>0.99511002444987773</v>
      </c>
      <c r="D10">
        <v>1</v>
      </c>
      <c r="V10" t="s">
        <v>7290</v>
      </c>
      <c r="W10" s="14"/>
      <c r="X10" s="14"/>
      <c r="Y10" s="14"/>
      <c r="Z10" s="14"/>
      <c r="AA10" s="14">
        <v>0.99511002444987773</v>
      </c>
    </row>
    <row r="11" spans="1:27" x14ac:dyDescent="0.25">
      <c r="V11" t="s">
        <v>6900</v>
      </c>
      <c r="W11" s="14"/>
      <c r="X11" s="14"/>
      <c r="Y11" s="14"/>
      <c r="Z11" s="14"/>
      <c r="AA11" s="14">
        <v>1</v>
      </c>
    </row>
    <row r="12" spans="1:27" x14ac:dyDescent="0.25">
      <c r="A12" s="9"/>
      <c r="B12" s="9" t="s">
        <v>6886</v>
      </c>
      <c r="C12" s="9" t="s">
        <v>6889</v>
      </c>
      <c r="D12" s="9" t="s">
        <v>6890</v>
      </c>
      <c r="E12" s="15" t="s">
        <v>6896</v>
      </c>
      <c r="F12" s="9" t="s">
        <v>6891</v>
      </c>
      <c r="G12" s="9" t="s">
        <v>6893</v>
      </c>
      <c r="H12" s="15" t="s">
        <v>6896</v>
      </c>
      <c r="J12" s="9" t="str">
        <f>UPPER(A12)</f>
        <v/>
      </c>
      <c r="K12" s="9" t="str">
        <f>UPPER(B12)</f>
        <v>MYB</v>
      </c>
      <c r="L12" s="9" t="str">
        <f t="shared" ref="L12:R12" si="1">UPPER(C12)</f>
        <v>AMM</v>
      </c>
      <c r="M12" s="9" t="str">
        <f t="shared" si="1"/>
        <v>MMM</v>
      </c>
      <c r="N12" s="9" t="str">
        <f t="shared" si="1"/>
        <v>OVERALL</v>
      </c>
      <c r="O12" s="9" t="str">
        <f t="shared" si="1"/>
        <v>ALUMNI</v>
      </c>
      <c r="P12" s="9" t="str">
        <f t="shared" si="1"/>
        <v>AIME</v>
      </c>
      <c r="Q12" s="9" t="str">
        <f t="shared" si="1"/>
        <v>OVERALL</v>
      </c>
      <c r="R12" s="9" t="str">
        <f t="shared" si="1"/>
        <v/>
      </c>
      <c r="V12" t="s">
        <v>6896</v>
      </c>
      <c r="W12" s="14">
        <v>0.86155256723716378</v>
      </c>
      <c r="X12" s="14">
        <v>0.91503667481662587</v>
      </c>
      <c r="Y12" s="14">
        <v>0.89975550122249381</v>
      </c>
      <c r="Z12" s="14">
        <v>0.80806845965770169</v>
      </c>
      <c r="AA12" s="14">
        <v>0.94009779951100247</v>
      </c>
    </row>
    <row r="13" spans="1:27" x14ac:dyDescent="0.25">
      <c r="A13" t="s">
        <v>7292</v>
      </c>
      <c r="B13">
        <v>409</v>
      </c>
      <c r="C13">
        <v>384</v>
      </c>
      <c r="D13">
        <v>368</v>
      </c>
      <c r="E13">
        <f>SUM(B13:D13)</f>
        <v>1161</v>
      </c>
      <c r="F13">
        <v>384</v>
      </c>
      <c r="G13">
        <v>382</v>
      </c>
      <c r="H13">
        <f>SUM(F13:G13)</f>
        <v>766</v>
      </c>
      <c r="J13" s="9" t="s">
        <v>7292</v>
      </c>
      <c r="K13" s="9">
        <f>B13</f>
        <v>409</v>
      </c>
      <c r="L13" s="9">
        <f t="shared" ref="L13:Q13" si="2">C13</f>
        <v>384</v>
      </c>
      <c r="M13" s="9">
        <f t="shared" si="2"/>
        <v>368</v>
      </c>
      <c r="N13" s="9">
        <f t="shared" si="2"/>
        <v>1161</v>
      </c>
      <c r="O13" s="9">
        <f t="shared" si="2"/>
        <v>384</v>
      </c>
      <c r="P13" s="9">
        <f t="shared" si="2"/>
        <v>382</v>
      </c>
      <c r="Q13" s="9">
        <f t="shared" si="2"/>
        <v>766</v>
      </c>
      <c r="V13" t="s">
        <v>7277</v>
      </c>
      <c r="W13" s="14">
        <v>1.3907581875280395E-2</v>
      </c>
      <c r="X13" s="14">
        <v>5.2818592144434845E-3</v>
      </c>
      <c r="Y13" s="14">
        <v>1.625062068342888E-3</v>
      </c>
      <c r="Z13" s="14">
        <v>3.205128205128205E-3</v>
      </c>
      <c r="AA13" s="14">
        <v>1.0342814246392527E-2</v>
      </c>
    </row>
    <row r="14" spans="1:27" x14ac:dyDescent="0.25">
      <c r="A14" s="9" t="s">
        <v>7277</v>
      </c>
      <c r="B14" s="9">
        <f>mybt!Z412</f>
        <v>1.3907581875280395E-2</v>
      </c>
      <c r="C14" s="9">
        <f>ammt!Y387</f>
        <v>5.2818592144434845E-3</v>
      </c>
      <c r="D14" s="9">
        <f>mmmt!AE371</f>
        <v>1.625062068342888E-3</v>
      </c>
      <c r="E14">
        <f>((B$13*B14)+(C$13*C14)+(D$13*D14))/E$13</f>
        <v>7.1614623311680985E-3</v>
      </c>
      <c r="F14" s="9">
        <f>alumnit!Q387</f>
        <v>3.205128205128205E-3</v>
      </c>
      <c r="G14" s="9">
        <f>aime!O385</f>
        <v>1.0342814246392527E-2</v>
      </c>
      <c r="H14">
        <f>((F$13*F14)+(G$13*G14))/H$13</f>
        <v>6.7646530977691589E-3</v>
      </c>
      <c r="J14" s="9" t="s">
        <v>7277</v>
      </c>
      <c r="K14" s="16">
        <f t="shared" ref="K14:K25" si="3">B14</f>
        <v>1.3907581875280395E-2</v>
      </c>
      <c r="L14" s="16">
        <f t="shared" ref="L14:L25" si="4">C14</f>
        <v>5.2818592144434845E-3</v>
      </c>
      <c r="M14" s="16">
        <f t="shared" ref="M14:M25" si="5">D14</f>
        <v>1.625062068342888E-3</v>
      </c>
      <c r="N14" s="16">
        <f t="shared" ref="N14:N25" si="6">E14</f>
        <v>7.1614623311680985E-3</v>
      </c>
      <c r="O14" s="16">
        <f t="shared" ref="O14:O25" si="7">F14</f>
        <v>3.205128205128205E-3</v>
      </c>
      <c r="P14" s="16">
        <f t="shared" ref="P14:P25" si="8">G14</f>
        <v>1.0342814246392527E-2</v>
      </c>
      <c r="Q14" s="16">
        <f t="shared" ref="Q14:Q25" si="9">H14</f>
        <v>6.7646530977691589E-3</v>
      </c>
    </row>
    <row r="15" spans="1:27" x14ac:dyDescent="0.25">
      <c r="A15" s="9" t="s">
        <v>6892</v>
      </c>
      <c r="B15" s="9">
        <f>mybt!O412</f>
        <v>0.43765281173594128</v>
      </c>
      <c r="C15" s="9">
        <f>ammt!N387</f>
        <v>0.73838630806845962</v>
      </c>
      <c r="D15" s="9">
        <f>mmmt!Q371</f>
        <v>0.92665036674816625</v>
      </c>
      <c r="E15">
        <f t="shared" ref="E15:E25" si="10">((B$13*B15)+(C$13*C15)+(D$13*D15))/E$13</f>
        <v>0.69211686241310388</v>
      </c>
      <c r="F15" s="9">
        <f>alumnit!O387</f>
        <v>0.7261613691931541</v>
      </c>
      <c r="G15" s="9">
        <f>aime!M385</f>
        <v>0.89731051344743273</v>
      </c>
      <c r="H15">
        <f t="shared" ref="H15:H25" si="11">((F$13*F15)+(G$13*G15))/H$13</f>
        <v>0.81151250901708927</v>
      </c>
      <c r="J15" s="9" t="str">
        <f t="shared" ref="J15:J25" si="12">PROPER(A15)</f>
        <v>Company/Organization</v>
      </c>
      <c r="K15" s="16">
        <f t="shared" si="3"/>
        <v>0.43765281173594128</v>
      </c>
      <c r="L15" s="16">
        <f t="shared" si="4"/>
        <v>0.73838630806845962</v>
      </c>
      <c r="M15" s="16">
        <f t="shared" si="5"/>
        <v>0.92665036674816625</v>
      </c>
      <c r="N15" s="16">
        <f t="shared" si="6"/>
        <v>0.69211686241310388</v>
      </c>
      <c r="O15" s="16">
        <f t="shared" si="7"/>
        <v>0.7261613691931541</v>
      </c>
      <c r="P15" s="16">
        <f t="shared" si="8"/>
        <v>0.89731051344743273</v>
      </c>
      <c r="Q15" s="16">
        <f t="shared" si="9"/>
        <v>0.81151250901708927</v>
      </c>
    </row>
    <row r="16" spans="1:27" x14ac:dyDescent="0.25">
      <c r="A16" s="9" t="s">
        <v>3</v>
      </c>
      <c r="B16" s="9">
        <f>mybt!P412</f>
        <v>0.99266503667481665</v>
      </c>
      <c r="C16" s="9">
        <f>ammt!O387</f>
        <v>0.98777506112469438</v>
      </c>
      <c r="D16" s="9">
        <f>mmmt!R371</f>
        <v>0.9682151589242054</v>
      </c>
      <c r="E16">
        <f t="shared" si="10"/>
        <v>0.98329784836863932</v>
      </c>
      <c r="F16" s="9"/>
      <c r="G16" s="9"/>
      <c r="H16">
        <f t="shared" si="11"/>
        <v>0</v>
      </c>
      <c r="J16" s="9" t="str">
        <f t="shared" si="12"/>
        <v>Capital</v>
      </c>
      <c r="K16" s="16">
        <f t="shared" si="3"/>
        <v>0.99266503667481665</v>
      </c>
      <c r="L16" s="16">
        <f t="shared" si="4"/>
        <v>0.98777506112469438</v>
      </c>
      <c r="M16" s="16">
        <f t="shared" si="5"/>
        <v>0.9682151589242054</v>
      </c>
      <c r="N16" s="16">
        <f t="shared" si="6"/>
        <v>0.98329784836863932</v>
      </c>
      <c r="O16" s="16"/>
      <c r="P16" s="16"/>
      <c r="Q16" s="16">
        <f t="shared" si="9"/>
        <v>0</v>
      </c>
    </row>
    <row r="17" spans="1:17" x14ac:dyDescent="0.25">
      <c r="A17" s="9" t="s">
        <v>6888</v>
      </c>
      <c r="B17" s="9">
        <f>mybt!R412</f>
        <v>0.99266503667481665</v>
      </c>
      <c r="C17" s="9">
        <f>ammt!Q387</f>
        <v>0.9828850855745721</v>
      </c>
      <c r="D17" s="9">
        <f>mmmt!X371</f>
        <v>0.99755501222493892</v>
      </c>
      <c r="E17">
        <f t="shared" si="10"/>
        <v>0.99098029057658332</v>
      </c>
      <c r="F17" s="9">
        <f>alumnit!J387</f>
        <v>0.79951100244498774</v>
      </c>
      <c r="G17" s="9"/>
      <c r="H17">
        <f>F17</f>
        <v>0.79951100244498774</v>
      </c>
      <c r="J17" s="9" t="str">
        <f t="shared" si="12"/>
        <v>Year Regist</v>
      </c>
      <c r="K17" s="16">
        <f t="shared" si="3"/>
        <v>0.99266503667481665</v>
      </c>
      <c r="L17" s="16">
        <f t="shared" si="4"/>
        <v>0.9828850855745721</v>
      </c>
      <c r="M17" s="16">
        <f t="shared" si="5"/>
        <v>0.99755501222493892</v>
      </c>
      <c r="N17" s="16">
        <f t="shared" si="6"/>
        <v>0.99098029057658332</v>
      </c>
      <c r="O17" s="16">
        <f t="shared" si="7"/>
        <v>0.79951100244498774</v>
      </c>
      <c r="P17" s="16"/>
      <c r="Q17" s="16">
        <f>H17</f>
        <v>0.79951100244498774</v>
      </c>
    </row>
    <row r="18" spans="1:17" x14ac:dyDescent="0.25">
      <c r="A18" s="9" t="s">
        <v>6895</v>
      </c>
      <c r="B18" s="9">
        <f>mybt!U412</f>
        <v>0.75794621026894871</v>
      </c>
      <c r="C18" s="9">
        <f>ammt!S387</f>
        <v>0.94376528117359415</v>
      </c>
      <c r="D18" s="9">
        <f>mmmt!Y371</f>
        <v>0.88997555012224938</v>
      </c>
      <c r="E18">
        <f t="shared" si="10"/>
        <v>0.86125484101261662</v>
      </c>
      <c r="F18" s="9"/>
      <c r="G18" s="9">
        <f>aime!N385</f>
        <v>0.92665036674816625</v>
      </c>
      <c r="H18">
        <f>((F$13*F18)+(G$13*G18))/H$13</f>
        <v>0.46211545704673562</v>
      </c>
      <c r="J18" s="9" t="str">
        <f t="shared" si="12"/>
        <v>Location</v>
      </c>
      <c r="K18" s="16">
        <f t="shared" si="3"/>
        <v>0.75794621026894871</v>
      </c>
      <c r="L18" s="16">
        <f t="shared" si="4"/>
        <v>0.94376528117359415</v>
      </c>
      <c r="M18" s="16">
        <f t="shared" si="5"/>
        <v>0.88997555012224938</v>
      </c>
      <c r="N18" s="16">
        <f t="shared" si="6"/>
        <v>0.86125484101261662</v>
      </c>
      <c r="O18" s="17"/>
      <c r="P18" s="16">
        <f t="shared" si="8"/>
        <v>0.92665036674816625</v>
      </c>
      <c r="Q18" s="16">
        <f>H18</f>
        <v>0.46211545704673562</v>
      </c>
    </row>
    <row r="19" spans="1:17" x14ac:dyDescent="0.25">
      <c r="A19" s="9" t="s">
        <v>10</v>
      </c>
      <c r="B19" s="9">
        <f>mybt!V412</f>
        <v>0.8875305623471883</v>
      </c>
      <c r="C19" s="9">
        <f>ammt!U387</f>
        <v>0.83129584352078245</v>
      </c>
      <c r="D19" s="9">
        <f>mmmt!AA371</f>
        <v>0.74083129584352081</v>
      </c>
      <c r="E19">
        <f t="shared" si="10"/>
        <v>0.82243197311145233</v>
      </c>
      <c r="F19" s="9">
        <f>alumnit!K387</f>
        <v>0.94621026894865523</v>
      </c>
      <c r="G19" s="12">
        <f>aime!I385</f>
        <v>0.86552567237163813</v>
      </c>
      <c r="H19">
        <f t="shared" si="11"/>
        <v>0.90597330303165713</v>
      </c>
      <c r="J19" s="9" t="str">
        <f t="shared" si="12"/>
        <v>Lastname</v>
      </c>
      <c r="K19" s="16">
        <f t="shared" si="3"/>
        <v>0.8875305623471883</v>
      </c>
      <c r="L19" s="16">
        <f t="shared" si="4"/>
        <v>0.83129584352078245</v>
      </c>
      <c r="M19" s="16">
        <f t="shared" si="5"/>
        <v>0.74083129584352081</v>
      </c>
      <c r="N19" s="16">
        <f t="shared" si="6"/>
        <v>0.82243197311145233</v>
      </c>
      <c r="O19" s="16">
        <f t="shared" si="7"/>
        <v>0.94621026894865523</v>
      </c>
      <c r="P19" s="16">
        <f t="shared" si="8"/>
        <v>0.86552567237163813</v>
      </c>
      <c r="Q19" s="16">
        <f t="shared" si="9"/>
        <v>0.90597330303165713</v>
      </c>
    </row>
    <row r="20" spans="1:17" x14ac:dyDescent="0.25">
      <c r="A20" s="9" t="s">
        <v>11</v>
      </c>
      <c r="B20" s="9">
        <f>mybt!W412</f>
        <v>0.94132029339853296</v>
      </c>
      <c r="C20" s="9">
        <f>ammt!V387</f>
        <v>0.97555012224938875</v>
      </c>
      <c r="D20" s="9">
        <f>mmmt!AB371</f>
        <v>0.94621026894865523</v>
      </c>
      <c r="E20">
        <f t="shared" si="10"/>
        <v>0.95419175358903563</v>
      </c>
      <c r="F20" s="9">
        <f>alumnit!L387</f>
        <v>0.93887530562347188</v>
      </c>
      <c r="G20" s="12"/>
      <c r="H20">
        <f>F20</f>
        <v>0.93887530562347188</v>
      </c>
      <c r="J20" s="9" t="str">
        <f t="shared" si="12"/>
        <v>Firstname</v>
      </c>
      <c r="K20" s="16">
        <f t="shared" si="3"/>
        <v>0.94132029339853296</v>
      </c>
      <c r="L20" s="16">
        <f t="shared" si="4"/>
        <v>0.97555012224938875</v>
      </c>
      <c r="M20" s="16">
        <f t="shared" si="5"/>
        <v>0.94621026894865523</v>
      </c>
      <c r="N20" s="16">
        <f t="shared" si="6"/>
        <v>0.95419175358903563</v>
      </c>
      <c r="O20" s="16">
        <f t="shared" si="7"/>
        <v>0.93887530562347188</v>
      </c>
      <c r="P20" s="16"/>
      <c r="Q20" s="16">
        <f t="shared" si="9"/>
        <v>0.93887530562347188</v>
      </c>
    </row>
    <row r="21" spans="1:17" x14ac:dyDescent="0.25">
      <c r="A21" s="9" t="s">
        <v>12</v>
      </c>
      <c r="B21" s="9">
        <f>mybt!X412</f>
        <v>0.91687041564792171</v>
      </c>
      <c r="C21" s="9">
        <f>ammt!W387</f>
        <v>0.87775061124694376</v>
      </c>
      <c r="D21" s="9">
        <f>mmmt!AC371</f>
        <v>0.76528117359413206</v>
      </c>
      <c r="E21">
        <f t="shared" si="10"/>
        <v>0.85588260689187512</v>
      </c>
      <c r="F21" s="9">
        <f>alumnit!M387</f>
        <v>0.66992665036674814</v>
      </c>
      <c r="G21" s="12"/>
      <c r="H21">
        <f>F21</f>
        <v>0.66992665036674814</v>
      </c>
      <c r="J21" s="9" t="str">
        <f t="shared" si="12"/>
        <v>Middlename</v>
      </c>
      <c r="K21" s="16">
        <f t="shared" si="3"/>
        <v>0.91687041564792171</v>
      </c>
      <c r="L21" s="16">
        <f t="shared" si="4"/>
        <v>0.87775061124694376</v>
      </c>
      <c r="M21" s="16">
        <f t="shared" si="5"/>
        <v>0.76528117359413206</v>
      </c>
      <c r="N21" s="16">
        <f t="shared" si="6"/>
        <v>0.85588260689187512</v>
      </c>
      <c r="O21" s="16">
        <f t="shared" si="7"/>
        <v>0.66992665036674814</v>
      </c>
      <c r="P21" s="16"/>
      <c r="Q21" s="16">
        <f t="shared" si="9"/>
        <v>0.66992665036674814</v>
      </c>
    </row>
    <row r="22" spans="1:17" x14ac:dyDescent="0.25">
      <c r="A22" s="9" t="s">
        <v>6887</v>
      </c>
      <c r="B22" s="9">
        <f>mybt!Y412</f>
        <v>0.96577017114914421</v>
      </c>
      <c r="C22" s="9">
        <f>ammt!X387</f>
        <v>0.9828850855745721</v>
      </c>
      <c r="D22" s="9">
        <f>mmmt!AD371</f>
        <v>0.96332518337408313</v>
      </c>
      <c r="E22">
        <f t="shared" si="10"/>
        <v>0.97065593483402102</v>
      </c>
      <c r="F22" s="9">
        <f>alumnit!N387</f>
        <v>0.76772616136919314</v>
      </c>
      <c r="G22" s="9">
        <f>aime!L385</f>
        <v>0.95599022004889977</v>
      </c>
      <c r="H22">
        <f t="shared" si="11"/>
        <v>0.8616124151755219</v>
      </c>
      <c r="J22" s="9" t="str">
        <f t="shared" si="12"/>
        <v>Role</v>
      </c>
      <c r="K22" s="16">
        <f t="shared" si="3"/>
        <v>0.96577017114914421</v>
      </c>
      <c r="L22" s="16">
        <f t="shared" si="4"/>
        <v>0.9828850855745721</v>
      </c>
      <c r="M22" s="16">
        <f t="shared" si="5"/>
        <v>0.96332518337408313</v>
      </c>
      <c r="N22" s="16">
        <f t="shared" si="6"/>
        <v>0.97065593483402102</v>
      </c>
      <c r="O22" s="16">
        <f t="shared" si="7"/>
        <v>0.76772616136919314</v>
      </c>
      <c r="P22" s="16">
        <f t="shared" si="8"/>
        <v>0.95599022004889977</v>
      </c>
      <c r="Q22" s="16">
        <f t="shared" si="9"/>
        <v>0.8616124151755219</v>
      </c>
    </row>
    <row r="23" spans="1:17" x14ac:dyDescent="0.25">
      <c r="A23" s="9" t="s">
        <v>4874</v>
      </c>
      <c r="B23" s="9"/>
      <c r="C23" s="9"/>
      <c r="D23" s="9"/>
      <c r="E23">
        <f t="shared" si="10"/>
        <v>0</v>
      </c>
      <c r="F23" s="9"/>
      <c r="G23" s="9">
        <f>aime!J385</f>
        <v>0.99511002444987773</v>
      </c>
      <c r="H23">
        <f>G23</f>
        <v>0.99511002444987773</v>
      </c>
      <c r="J23" s="9" t="str">
        <f t="shared" si="12"/>
        <v>Nationality</v>
      </c>
      <c r="K23" s="16"/>
      <c r="L23" s="16"/>
      <c r="M23" s="16"/>
      <c r="N23" s="16"/>
      <c r="O23" s="16"/>
      <c r="P23" s="16">
        <f t="shared" si="8"/>
        <v>0.99511002444987773</v>
      </c>
      <c r="Q23" s="16">
        <f t="shared" si="9"/>
        <v>0.99511002444987773</v>
      </c>
    </row>
    <row r="24" spans="1:17" x14ac:dyDescent="0.25">
      <c r="A24" s="9" t="s">
        <v>6894</v>
      </c>
      <c r="B24" s="9"/>
      <c r="C24" s="9"/>
      <c r="D24" s="9"/>
      <c r="E24">
        <f t="shared" si="10"/>
        <v>0</v>
      </c>
      <c r="F24" s="9"/>
      <c r="G24" s="9">
        <f>aime!K385</f>
        <v>1</v>
      </c>
      <c r="H24">
        <f>G24</f>
        <v>1</v>
      </c>
      <c r="J24" s="9" t="str">
        <f t="shared" si="12"/>
        <v>Education</v>
      </c>
      <c r="K24" s="16"/>
      <c r="L24" s="16"/>
      <c r="M24" s="16"/>
      <c r="N24" s="16"/>
      <c r="O24" s="16"/>
      <c r="P24" s="16">
        <f t="shared" si="8"/>
        <v>1</v>
      </c>
      <c r="Q24" s="16">
        <f t="shared" si="9"/>
        <v>1</v>
      </c>
    </row>
    <row r="25" spans="1:17" x14ac:dyDescent="0.25">
      <c r="A25" s="9" t="s">
        <v>6896</v>
      </c>
      <c r="B25" s="9">
        <f>AVERAGE(B15:B24)</f>
        <v>0.86155256723716378</v>
      </c>
      <c r="C25" s="9">
        <f>AVERAGE(C15:C24)</f>
        <v>0.91503667481662587</v>
      </c>
      <c r="D25" s="9">
        <f>AVERAGE(D15:D24)</f>
        <v>0.89975550122249381</v>
      </c>
      <c r="E25">
        <f t="shared" si="10"/>
        <v>0.89135151384966582</v>
      </c>
      <c r="F25" s="9">
        <f>AVERAGE(F15:F24)</f>
        <v>0.80806845965770169</v>
      </c>
      <c r="G25" s="9">
        <f>AVERAGE(G15:G24)</f>
        <v>0.94009779951100247</v>
      </c>
      <c r="H25">
        <f>((F$13*F25)+(G$13*G25))/H$13</f>
        <v>0.87391076752188046</v>
      </c>
      <c r="J25" s="9" t="str">
        <f t="shared" si="12"/>
        <v>Overall</v>
      </c>
      <c r="K25" s="16">
        <f t="shared" si="3"/>
        <v>0.86155256723716378</v>
      </c>
      <c r="L25" s="16">
        <f t="shared" si="4"/>
        <v>0.91503667481662587</v>
      </c>
      <c r="M25" s="16">
        <f t="shared" si="5"/>
        <v>0.89975550122249381</v>
      </c>
      <c r="N25" s="16">
        <f t="shared" si="6"/>
        <v>0.89135151384966582</v>
      </c>
      <c r="O25" s="16">
        <f t="shared" si="7"/>
        <v>0.80806845965770169</v>
      </c>
      <c r="P25" s="16">
        <f t="shared" si="8"/>
        <v>0.94009779951100247</v>
      </c>
      <c r="Q25" s="16">
        <f t="shared" si="9"/>
        <v>0.87391076752188046</v>
      </c>
    </row>
    <row r="29" spans="1:17" x14ac:dyDescent="0.25">
      <c r="B29" t="s">
        <v>6897</v>
      </c>
      <c r="C29" t="s">
        <v>6898</v>
      </c>
      <c r="D29" t="s">
        <v>6899</v>
      </c>
      <c r="E29" t="s">
        <v>6900</v>
      </c>
      <c r="F29" t="s">
        <v>6901</v>
      </c>
      <c r="G29" t="s">
        <v>6903</v>
      </c>
      <c r="H29" t="s">
        <v>6902</v>
      </c>
    </row>
    <row r="30" spans="1:17" x14ac:dyDescent="0.25">
      <c r="B30">
        <v>0.94010416666666663</v>
      </c>
      <c r="C30">
        <v>0.9375</v>
      </c>
      <c r="D30">
        <v>0.9375</v>
      </c>
      <c r="E30">
        <v>1</v>
      </c>
      <c r="F30">
        <v>0.9453125</v>
      </c>
      <c r="G30">
        <v>0.94010416666666663</v>
      </c>
      <c r="H30">
        <v>1</v>
      </c>
    </row>
    <row r="31" spans="1:17" x14ac:dyDescent="0.25">
      <c r="B31" s="9" t="s">
        <v>6904</v>
      </c>
      <c r="C31" s="9" t="s">
        <v>6905</v>
      </c>
    </row>
    <row r="32" spans="1:17" x14ac:dyDescent="0.25">
      <c r="B32" s="9" t="s">
        <v>6897</v>
      </c>
      <c r="C32" s="10">
        <v>0.94010416666666663</v>
      </c>
    </row>
    <row r="33" spans="1:22" x14ac:dyDescent="0.25">
      <c r="B33" s="9" t="s">
        <v>6898</v>
      </c>
      <c r="C33" s="10">
        <v>0.9375</v>
      </c>
    </row>
    <row r="34" spans="1:22" x14ac:dyDescent="0.25">
      <c r="B34" s="9" t="s">
        <v>6899</v>
      </c>
      <c r="C34" s="10">
        <v>0.9375</v>
      </c>
    </row>
    <row r="35" spans="1:22" x14ac:dyDescent="0.25">
      <c r="B35" s="9" t="s">
        <v>6900</v>
      </c>
      <c r="C35" s="10">
        <v>1</v>
      </c>
    </row>
    <row r="36" spans="1:22" x14ac:dyDescent="0.25">
      <c r="B36" s="9" t="s">
        <v>6901</v>
      </c>
      <c r="C36" s="10">
        <v>0.9453125</v>
      </c>
    </row>
    <row r="37" spans="1:22" x14ac:dyDescent="0.25">
      <c r="B37" s="9" t="s">
        <v>6903</v>
      </c>
      <c r="C37" s="10">
        <v>0.94010416666666663</v>
      </c>
    </row>
    <row r="38" spans="1:22" x14ac:dyDescent="0.25">
      <c r="B38" s="9" t="s">
        <v>6902</v>
      </c>
      <c r="C38" s="10">
        <v>1</v>
      </c>
    </row>
    <row r="39" spans="1:22" x14ac:dyDescent="0.25">
      <c r="B39" s="9" t="s">
        <v>6896</v>
      </c>
      <c r="C39" s="10">
        <f>AVERAGE(C32:C38)</f>
        <v>0.95721726190476186</v>
      </c>
    </row>
    <row r="42" spans="1:22" x14ac:dyDescent="0.25">
      <c r="A42" s="21"/>
      <c r="B42" s="12" t="s">
        <v>6904</v>
      </c>
      <c r="C42" s="9" t="s">
        <v>7279</v>
      </c>
      <c r="D42" s="9" t="s">
        <v>7280</v>
      </c>
      <c r="E42" s="9" t="s">
        <v>7281</v>
      </c>
      <c r="F42" s="9" t="s">
        <v>7282</v>
      </c>
      <c r="G42" s="9" t="s">
        <v>6893</v>
      </c>
      <c r="H42" s="9" t="s">
        <v>6896</v>
      </c>
      <c r="K42" s="20"/>
      <c r="L42" s="9" t="s">
        <v>7278</v>
      </c>
      <c r="M42" s="9" t="s">
        <v>7282</v>
      </c>
      <c r="N42" s="9" t="s">
        <v>6893</v>
      </c>
      <c r="O42" s="9" t="s">
        <v>7421</v>
      </c>
      <c r="Q42" s="20"/>
      <c r="R42" s="9" t="s">
        <v>7278</v>
      </c>
      <c r="S42" s="9" t="s">
        <v>7279</v>
      </c>
      <c r="T42" s="9" t="s">
        <v>7280</v>
      </c>
      <c r="U42" s="9" t="s">
        <v>7281</v>
      </c>
      <c r="V42" s="9" t="s">
        <v>7421</v>
      </c>
    </row>
    <row r="43" spans="1:22" x14ac:dyDescent="0.25">
      <c r="A43" s="23"/>
      <c r="B43" s="9" t="s">
        <v>7292</v>
      </c>
      <c r="C43" s="9">
        <v>409</v>
      </c>
      <c r="D43" s="9">
        <v>384</v>
      </c>
      <c r="E43" s="9">
        <v>368</v>
      </c>
      <c r="F43" s="9">
        <v>384</v>
      </c>
      <c r="G43" s="9">
        <v>382</v>
      </c>
      <c r="H43" s="9">
        <v>1927</v>
      </c>
      <c r="K43" s="20"/>
      <c r="L43" s="9" t="s">
        <v>7292</v>
      </c>
      <c r="M43" s="9">
        <v>384</v>
      </c>
      <c r="N43" s="9">
        <v>382</v>
      </c>
      <c r="O43" s="9">
        <v>766</v>
      </c>
      <c r="Q43" s="20"/>
      <c r="R43" s="9" t="s">
        <v>7292</v>
      </c>
      <c r="S43" s="9">
        <v>409</v>
      </c>
      <c r="T43" s="9">
        <v>384</v>
      </c>
      <c r="U43" s="9">
        <v>368</v>
      </c>
      <c r="V43" s="9">
        <v>1161</v>
      </c>
    </row>
    <row r="44" spans="1:22" x14ac:dyDescent="0.25">
      <c r="A44" s="24" t="s">
        <v>7277</v>
      </c>
      <c r="B44" s="25"/>
      <c r="C44" s="10">
        <v>1.3907581875280395E-2</v>
      </c>
      <c r="D44" s="10">
        <v>5.2818592144434845E-3</v>
      </c>
      <c r="E44" s="10">
        <v>1.625062068342888E-3</v>
      </c>
      <c r="F44" s="10">
        <v>3.205128205128205E-3</v>
      </c>
      <c r="G44" s="10">
        <v>1.0342814246392527E-2</v>
      </c>
      <c r="H44" s="10">
        <v>7.0037270572793665E-3</v>
      </c>
      <c r="K44" s="20" t="s">
        <v>7277</v>
      </c>
      <c r="L44" s="20"/>
      <c r="M44" s="16">
        <v>3.205128205128205E-3</v>
      </c>
      <c r="N44" s="16">
        <v>1.0342814246392527E-2</v>
      </c>
      <c r="O44" s="16">
        <v>6.7646530977691589E-3</v>
      </c>
      <c r="Q44" s="20" t="s">
        <v>7277</v>
      </c>
      <c r="R44" s="20"/>
      <c r="S44" s="16">
        <v>1.3907581875280395E-2</v>
      </c>
      <c r="T44" s="16">
        <v>5.2818592144434845E-3</v>
      </c>
      <c r="U44" s="16">
        <v>1.625062068342888E-3</v>
      </c>
      <c r="V44" s="16">
        <v>7.1614623311680985E-3</v>
      </c>
    </row>
    <row r="45" spans="1:22" x14ac:dyDescent="0.25">
      <c r="A45" s="21" t="s">
        <v>7291</v>
      </c>
      <c r="B45" s="9" t="s">
        <v>6896</v>
      </c>
      <c r="C45" s="10">
        <v>0.86155256723716378</v>
      </c>
      <c r="D45" s="10">
        <v>0.91503667481662587</v>
      </c>
      <c r="E45" s="10">
        <v>0.89975550122249381</v>
      </c>
      <c r="F45" s="10">
        <v>0.80806845965770169</v>
      </c>
      <c r="G45" s="10">
        <v>0.94009779951100247</v>
      </c>
      <c r="H45" s="10">
        <v>0.88441865879669046</v>
      </c>
      <c r="K45" s="20" t="s">
        <v>7291</v>
      </c>
      <c r="L45" s="9" t="s">
        <v>7283</v>
      </c>
      <c r="M45" s="16">
        <v>0.7261613691931541</v>
      </c>
      <c r="N45" s="16">
        <v>0.89731051344743273</v>
      </c>
      <c r="O45" s="16">
        <v>0.81151250901708927</v>
      </c>
      <c r="Q45" s="20" t="s">
        <v>7291</v>
      </c>
      <c r="R45" s="9" t="s">
        <v>7283</v>
      </c>
      <c r="S45" s="16">
        <v>0.43765281173594128</v>
      </c>
      <c r="T45" s="16">
        <v>0.73838630806845962</v>
      </c>
      <c r="U45" s="16">
        <v>0.92665036674816625</v>
      </c>
      <c r="V45" s="16">
        <v>0.69211686241310388</v>
      </c>
    </row>
    <row r="46" spans="1:22" x14ac:dyDescent="0.25">
      <c r="A46" s="22"/>
      <c r="B46" s="9" t="s">
        <v>7283</v>
      </c>
      <c r="C46" s="10">
        <v>0.43765281173594128</v>
      </c>
      <c r="D46" s="10">
        <v>0.73838630806845962</v>
      </c>
      <c r="E46" s="10">
        <v>0.92665036674816625</v>
      </c>
      <c r="F46" s="10">
        <v>0.7261613691931541</v>
      </c>
      <c r="G46" s="10">
        <v>0.89731051344743273</v>
      </c>
      <c r="H46" s="10">
        <v>0.73957771622662383</v>
      </c>
      <c r="K46" s="20"/>
      <c r="L46" s="9" t="s">
        <v>7285</v>
      </c>
      <c r="M46" s="16">
        <v>0.79951100244498774</v>
      </c>
      <c r="N46" s="34"/>
      <c r="O46" s="16">
        <v>0.79951100244498774</v>
      </c>
      <c r="Q46" s="20"/>
      <c r="R46" s="9" t="s">
        <v>7284</v>
      </c>
      <c r="S46" s="16">
        <v>0.99266503667481665</v>
      </c>
      <c r="T46" s="16">
        <v>0.98777506112469438</v>
      </c>
      <c r="U46" s="16">
        <v>0.9682151589242054</v>
      </c>
      <c r="V46" s="16">
        <v>0.98329784836863932</v>
      </c>
    </row>
    <row r="47" spans="1:22" x14ac:dyDescent="0.25">
      <c r="A47" s="22"/>
      <c r="B47" s="9" t="s">
        <v>7284</v>
      </c>
      <c r="C47" s="10">
        <v>0.99266503667481665</v>
      </c>
      <c r="D47" s="10">
        <v>0.98777506112469438</v>
      </c>
      <c r="E47" s="10">
        <v>0.9682151589242054</v>
      </c>
      <c r="F47" s="10"/>
      <c r="G47" s="32"/>
      <c r="H47" s="10">
        <v>0.98329784836863932</v>
      </c>
      <c r="K47" s="20"/>
      <c r="L47" s="9" t="s">
        <v>6903</v>
      </c>
      <c r="M47" s="17"/>
      <c r="N47" s="16">
        <v>0.92665036674816625</v>
      </c>
      <c r="O47" s="16">
        <v>0.46211545704673562</v>
      </c>
      <c r="Q47" s="20"/>
      <c r="R47" s="9" t="s">
        <v>7285</v>
      </c>
      <c r="S47" s="16">
        <v>0.99266503667481665</v>
      </c>
      <c r="T47" s="16">
        <v>0.9828850855745721</v>
      </c>
      <c r="U47" s="16">
        <v>0.99755501222493892</v>
      </c>
      <c r="V47" s="16">
        <v>0.99098029057658332</v>
      </c>
    </row>
    <row r="48" spans="1:22" x14ac:dyDescent="0.25">
      <c r="A48" s="22"/>
      <c r="B48" s="9" t="s">
        <v>7285</v>
      </c>
      <c r="C48" s="10">
        <v>0.99266503667481665</v>
      </c>
      <c r="D48" s="10">
        <v>0.9828850855745721</v>
      </c>
      <c r="E48" s="10">
        <v>0.99755501222493892</v>
      </c>
      <c r="F48" s="10">
        <v>0.79951100244498774</v>
      </c>
      <c r="G48" s="33"/>
      <c r="H48" s="10">
        <v>0.94339180731280814</v>
      </c>
      <c r="K48" s="20"/>
      <c r="L48" s="9" t="s">
        <v>7286</v>
      </c>
      <c r="M48" s="16">
        <v>0.94621026894865523</v>
      </c>
      <c r="N48" s="34">
        <v>0.86552567237163813</v>
      </c>
      <c r="O48" s="16">
        <v>0.90597330303165713</v>
      </c>
      <c r="Q48" s="20"/>
      <c r="R48" s="9" t="s">
        <v>6903</v>
      </c>
      <c r="S48" s="16">
        <v>0.75794621026894871</v>
      </c>
      <c r="T48" s="16">
        <v>0.94376528117359415</v>
      </c>
      <c r="U48" s="16">
        <v>0.88997555012224938</v>
      </c>
      <c r="V48" s="16">
        <v>0.86125484101261662</v>
      </c>
    </row>
    <row r="49" spans="1:22" x14ac:dyDescent="0.25">
      <c r="A49" s="22"/>
      <c r="B49" s="9" t="s">
        <v>6903</v>
      </c>
      <c r="C49" s="10">
        <v>0.75794621026894871</v>
      </c>
      <c r="D49" s="10">
        <v>0.94376528117359415</v>
      </c>
      <c r="E49" s="10">
        <v>0.88997555012224938</v>
      </c>
      <c r="F49" s="10"/>
      <c r="G49" s="10">
        <v>0.92665036674816625</v>
      </c>
      <c r="H49" s="10">
        <v>0.87744478970411366</v>
      </c>
      <c r="K49" s="20"/>
      <c r="L49" s="9" t="s">
        <v>7287</v>
      </c>
      <c r="M49" s="16">
        <v>0.93887530562347188</v>
      </c>
      <c r="N49" s="35"/>
      <c r="O49" s="16">
        <v>0.93887530562347188</v>
      </c>
      <c r="Q49" s="20"/>
      <c r="R49" s="9" t="s">
        <v>7286</v>
      </c>
      <c r="S49" s="16">
        <v>0.8875305623471883</v>
      </c>
      <c r="T49" s="16">
        <v>0.83129584352078245</v>
      </c>
      <c r="U49" s="16">
        <v>0.74083129584352081</v>
      </c>
      <c r="V49" s="16">
        <v>0.82243197311145233</v>
      </c>
    </row>
    <row r="50" spans="1:22" x14ac:dyDescent="0.25">
      <c r="A50" s="22"/>
      <c r="B50" s="9" t="s">
        <v>7286</v>
      </c>
      <c r="C50" s="10">
        <v>0.8875305623471883</v>
      </c>
      <c r="D50" s="10">
        <v>0.83129584352078245</v>
      </c>
      <c r="E50" s="10">
        <v>0.74083129584352081</v>
      </c>
      <c r="F50" s="10">
        <v>0.94621026894865523</v>
      </c>
      <c r="G50" s="13">
        <v>0.86552567237163813</v>
      </c>
      <c r="H50" s="13">
        <v>0.8556404104331321</v>
      </c>
      <c r="K50" s="20"/>
      <c r="L50" s="9" t="s">
        <v>7288</v>
      </c>
      <c r="M50" s="16">
        <v>0.66992665036674814</v>
      </c>
      <c r="N50" s="35"/>
      <c r="O50" s="16">
        <v>0.66992665036674814</v>
      </c>
      <c r="Q50" s="20"/>
      <c r="R50" s="9" t="s">
        <v>7287</v>
      </c>
      <c r="S50" s="16">
        <v>0.94132029339853296</v>
      </c>
      <c r="T50" s="16">
        <v>0.97555012224938875</v>
      </c>
      <c r="U50" s="16">
        <v>0.94621026894865523</v>
      </c>
      <c r="V50" s="16">
        <v>0.95419175358903563</v>
      </c>
    </row>
    <row r="51" spans="1:22" x14ac:dyDescent="0.25">
      <c r="A51" s="22"/>
      <c r="B51" s="9" t="s">
        <v>7287</v>
      </c>
      <c r="C51" s="10">
        <v>0.94132029339853296</v>
      </c>
      <c r="D51" s="10">
        <v>0.97555012224938875</v>
      </c>
      <c r="E51" s="10">
        <v>0.94621026894865523</v>
      </c>
      <c r="F51" s="10">
        <v>0.93887530562347188</v>
      </c>
      <c r="G51" s="26"/>
      <c r="H51" s="28"/>
      <c r="K51" s="20"/>
      <c r="L51" s="9" t="s">
        <v>7289</v>
      </c>
      <c r="M51" s="34">
        <v>0.76772616136919314</v>
      </c>
      <c r="N51" s="16">
        <v>0.95599022004889977</v>
      </c>
      <c r="O51" s="16">
        <v>0.8616124151755219</v>
      </c>
      <c r="Q51" s="20"/>
      <c r="R51" s="9" t="s">
        <v>7288</v>
      </c>
      <c r="S51" s="16">
        <v>0.91687041564792171</v>
      </c>
      <c r="T51" s="16">
        <v>0.87775061124694376</v>
      </c>
      <c r="U51" s="16">
        <v>0.76528117359413206</v>
      </c>
      <c r="V51" s="16">
        <v>0.85588260689187512</v>
      </c>
    </row>
    <row r="52" spans="1:22" x14ac:dyDescent="0.25">
      <c r="A52" s="22"/>
      <c r="B52" s="9" t="s">
        <v>7288</v>
      </c>
      <c r="C52" s="10">
        <v>0.91687041564792171</v>
      </c>
      <c r="D52" s="10">
        <v>0.87775061124694376</v>
      </c>
      <c r="E52" s="10">
        <v>0.76528117359413206</v>
      </c>
      <c r="F52" s="10">
        <v>0.66992665036674814</v>
      </c>
      <c r="G52" s="29"/>
      <c r="H52" s="31"/>
      <c r="K52" s="20"/>
      <c r="L52" s="9" t="s">
        <v>7290</v>
      </c>
      <c r="M52" s="35"/>
      <c r="N52" s="16">
        <v>0.99511002444987773</v>
      </c>
      <c r="O52" s="16">
        <v>0.99511002444987773</v>
      </c>
      <c r="Q52" s="20"/>
      <c r="R52" s="9" t="s">
        <v>7289</v>
      </c>
      <c r="S52" s="16">
        <v>0.96577017114914421</v>
      </c>
      <c r="T52" s="16">
        <v>0.9828850855745721</v>
      </c>
      <c r="U52" s="16">
        <v>0.96332518337408313</v>
      </c>
      <c r="V52" s="16">
        <v>0.97065593483402102</v>
      </c>
    </row>
    <row r="53" spans="1:22" x14ac:dyDescent="0.25">
      <c r="A53" s="22"/>
      <c r="B53" s="9" t="s">
        <v>7289</v>
      </c>
      <c r="C53" s="10">
        <v>0.96577017114914421</v>
      </c>
      <c r="D53" s="10">
        <v>0.9828850855745721</v>
      </c>
      <c r="E53" s="10">
        <v>0.96332518337408313</v>
      </c>
      <c r="F53" s="10">
        <v>0.76772616136919314</v>
      </c>
      <c r="G53" s="10">
        <v>0.95599022004889977</v>
      </c>
      <c r="H53" s="10">
        <v>0.92731014549390145</v>
      </c>
      <c r="K53" s="20"/>
      <c r="L53" s="9" t="s">
        <v>6900</v>
      </c>
      <c r="M53" s="35"/>
      <c r="N53" s="16">
        <v>1</v>
      </c>
      <c r="O53" s="16">
        <v>1</v>
      </c>
      <c r="Q53" s="20"/>
      <c r="R53" s="9" t="s">
        <v>6896</v>
      </c>
      <c r="S53" s="16">
        <v>0.86155256723716378</v>
      </c>
      <c r="T53" s="16">
        <v>0.91503667481662587</v>
      </c>
      <c r="U53" s="16">
        <v>0.89975550122249381</v>
      </c>
      <c r="V53" s="16">
        <v>0.89135151384966582</v>
      </c>
    </row>
    <row r="54" spans="1:22" x14ac:dyDescent="0.25">
      <c r="A54" s="22"/>
      <c r="B54" s="9" t="s">
        <v>7290</v>
      </c>
      <c r="C54" s="26"/>
      <c r="D54" s="27"/>
      <c r="E54" s="27"/>
      <c r="F54" s="28"/>
      <c r="G54" s="10">
        <v>0.99511002444987773</v>
      </c>
      <c r="H54" s="10">
        <v>0.99511002444987773</v>
      </c>
      <c r="K54" s="20"/>
      <c r="L54" s="9" t="s">
        <v>6896</v>
      </c>
      <c r="M54" s="16">
        <v>0.80806845965770169</v>
      </c>
      <c r="N54" s="16">
        <v>0.94009779951100247</v>
      </c>
      <c r="O54" s="16">
        <v>0.87391076752188046</v>
      </c>
      <c r="Q54" s="9"/>
      <c r="R54" s="16"/>
      <c r="S54" s="16"/>
      <c r="T54" s="16"/>
      <c r="U54" s="16"/>
    </row>
    <row r="55" spans="1:22" x14ac:dyDescent="0.25">
      <c r="A55" s="23"/>
      <c r="B55" s="9" t="s">
        <v>6900</v>
      </c>
      <c r="C55" s="29"/>
      <c r="D55" s="30"/>
      <c r="E55" s="30"/>
      <c r="F55" s="31"/>
      <c r="G55" s="10">
        <v>1</v>
      </c>
      <c r="H55" s="10">
        <v>1</v>
      </c>
      <c r="K55" s="36"/>
    </row>
  </sheetData>
  <mergeCells count="14">
    <mergeCell ref="Q44:R44"/>
    <mergeCell ref="Q42:Q43"/>
    <mergeCell ref="N49:N50"/>
    <mergeCell ref="M52:M53"/>
    <mergeCell ref="Q45:Q53"/>
    <mergeCell ref="A45:A55"/>
    <mergeCell ref="A42:A43"/>
    <mergeCell ref="A44:B44"/>
    <mergeCell ref="C54:F55"/>
    <mergeCell ref="G51:H52"/>
    <mergeCell ref="G47:G48"/>
    <mergeCell ref="K44:L44"/>
    <mergeCell ref="K45:K54"/>
    <mergeCell ref="K42:K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mybt</vt:lpstr>
      <vt:lpstr>ammt</vt:lpstr>
      <vt:lpstr>mmmt</vt:lpstr>
      <vt:lpstr>alumnit</vt:lpstr>
      <vt:lpstr>aime</vt:lpstr>
      <vt:lpstr>mybprueba</vt:lpstr>
      <vt:lpstr>mybprueba (2)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Israel Garcìa Solares</dc:creator>
  <cp:keywords/>
  <dc:description/>
  <cp:lastModifiedBy>Israel Garcia Solares</cp:lastModifiedBy>
  <cp:revision/>
  <dcterms:created xsi:type="dcterms:W3CDTF">2020-10-12T23:54:42Z</dcterms:created>
  <dcterms:modified xsi:type="dcterms:W3CDTF">2023-10-06T04:44:51Z</dcterms:modified>
  <cp:category/>
  <cp:contentStatus/>
</cp:coreProperties>
</file>