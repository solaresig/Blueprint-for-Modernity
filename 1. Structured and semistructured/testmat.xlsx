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ma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<sst xmlns="http://schemas.openxmlformats.org/spreadsheetml/2006/main" count="3926" uniqueCount="1637">
  <si>
    <t xml:space="preserve">id.x</t>
  </si>
  <si>
    <t xml:space="preserve">year</t>
  </si>
  <si>
    <t xml:space="preserve">company</t>
  </si>
  <si>
    <t xml:space="preserve">capital</t>
  </si>
  <si>
    <t xml:space="preserve">text</t>
  </si>
  <si>
    <t xml:space="preserve">loc</t>
  </si>
  <si>
    <t xml:space="preserve">lon</t>
  </si>
  <si>
    <t xml:space="preserve">lat</t>
  </si>
  <si>
    <t xml:space="preserve">role</t>
  </si>
  <si>
    <t xml:space="preserve">simpname</t>
  </si>
  <si>
    <t xml:space="preserve">country</t>
  </si>
  <si>
    <t xml:space="preserve">cat</t>
  </si>
  <si>
    <t xml:space="preserve">edu</t>
  </si>
  <si>
    <t xml:space="preserve">source</t>
  </si>
  <si>
    <t xml:space="preserve">id.y</t>
  </si>
  <si>
    <t xml:space="preserve">Holway United Mines Limited</t>
  </si>
  <si>
    <t xml:space="preserve">Col. Josiah Henry Smith, K.E., Grendon, Wellington, Surrey.</t>
  </si>
  <si>
    <t xml:space="preserve">sierra</t>
  </si>
  <si>
    <t xml:space="preserve">board</t>
  </si>
  <si>
    <t xml:space="preserve">smith, j h</t>
  </si>
  <si>
    <t xml:space="preserve">united states of america</t>
  </si>
  <si>
    <t xml:space="preserve">myb</t>
  </si>
  <si>
    <t xml:space="preserve">mining eng</t>
  </si>
  <si>
    <t xml:space="preserve">MIT</t>
  </si>
  <si>
    <t xml:space="preserve">mitg21196</t>
  </si>
  <si>
    <t xml:space="preserve">Schwab Gully Diamond Mining Company</t>
  </si>
  <si>
    <t xml:space="preserve">Archibald Shannon. Henry Frederick Chilcott.</t>
  </si>
  <si>
    <t xml:space="preserve">australia</t>
  </si>
  <si>
    <t xml:space="preserve">manager</t>
  </si>
  <si>
    <t xml:space="preserve">chilcott, h f</t>
  </si>
  <si>
    <t xml:space="preserve">engineer</t>
  </si>
  <si>
    <t xml:space="preserve">imm</t>
  </si>
  <si>
    <t xml:space="preserve">imm1499</t>
  </si>
  <si>
    <t xml:space="preserve">Tolima Mining Company Limited</t>
  </si>
  <si>
    <t xml:space="preserve">Charles O. Rogers, Clairaun,.</t>
  </si>
  <si>
    <t xml:space="preserve">lima</t>
  </si>
  <si>
    <t xml:space="preserve">rogers, c o</t>
  </si>
  <si>
    <t xml:space="preserve">peru</t>
  </si>
  <si>
    <t xml:space="preserve">civil eng</t>
  </si>
  <si>
    <t xml:space="preserve">worcester</t>
  </si>
  <si>
    <t xml:space="preserve">wo3166</t>
  </si>
  <si>
    <t xml:space="preserve">Namaqua Copper Company Limited</t>
  </si>
  <si>
    <t xml:space="preserve">T. K. Weir, of Henry Bath and Son.</t>
  </si>
  <si>
    <t xml:space="preserve">glasgow</t>
  </si>
  <si>
    <t xml:space="preserve">weir, t k</t>
  </si>
  <si>
    <t xml:space="preserve">united kingdom</t>
  </si>
  <si>
    <t xml:space="preserve">NA</t>
  </si>
  <si>
    <t xml:space="preserve">taime</t>
  </si>
  <si>
    <t xml:space="preserve">aime124692</t>
  </si>
  <si>
    <t xml:space="preserve">Carisa Gold Mines Limited</t>
  </si>
  <si>
    <t xml:space="preserve">W. Durant Frost, Chairman. | Capt. J. W. Clarke. | Mons. Adolphe ileliot.</t>
  </si>
  <si>
    <t xml:space="preserve">manchester</t>
  </si>
  <si>
    <t xml:space="preserve">clarke, j w</t>
  </si>
  <si>
    <t xml:space="preserve">ama</t>
  </si>
  <si>
    <t xml:space="preserve">ama1866</t>
  </si>
  <si>
    <t xml:space="preserve">Crommelin Mining Company Limited</t>
  </si>
  <si>
    <t xml:space="preserve">John Vivian, C.E., Chairman. Myles Kennedy. | W. E. Walker, C.E.</t>
  </si>
  <si>
    <t xml:space="preserve">canada</t>
  </si>
  <si>
    <t xml:space="preserve">walker, w e</t>
  </si>
  <si>
    <t xml:space="preserve">aime122561</t>
  </si>
  <si>
    <t xml:space="preserve">New Consolidated Mining Company Limited</t>
  </si>
  <si>
    <t xml:space="preserve">Sfftior H. A. Joseph, Chairman Jonas Bergtheil. 1 James G. Cunningham, M.E.</t>
  </si>
  <si>
    <t xml:space="preserve">london</t>
  </si>
  <si>
    <t xml:space="preserve">chair</t>
  </si>
  <si>
    <t xml:space="preserve">joseph, s h</t>
  </si>
  <si>
    <t xml:space="preserve">imm7230</t>
  </si>
  <si>
    <t xml:space="preserve">Prince Wales Slate Company</t>
  </si>
  <si>
    <t xml:space="preserve">Robert Heskcth Jones, J.P., F.S.S., Chairmun. | Henry Laurence Hammock. | James Mavt.</t>
  </si>
  <si>
    <t xml:space="preserve">wales</t>
  </si>
  <si>
    <t xml:space="preserve">jones, r h</t>
  </si>
  <si>
    <t xml:space="preserve">aime62469</t>
  </si>
  <si>
    <t xml:space="preserve">Roman Gravels Mining Company Limited</t>
  </si>
  <si>
    <t xml:space="preserve">T eter Watson, Managing Director.</t>
  </si>
  <si>
    <t xml:space="preserve">portugal</t>
  </si>
  <si>
    <t xml:space="preserve">managing director</t>
  </si>
  <si>
    <t xml:space="preserve">watson, t e</t>
  </si>
  <si>
    <t xml:space="preserve">aime123918</t>
  </si>
  <si>
    <t xml:space="preserve">Van Diemen Land Minerals Company</t>
  </si>
  <si>
    <t xml:space="preserve">Jo-shua H. Hutchinson. | Thomas James Keeves.</t>
  </si>
  <si>
    <t xml:space="preserve">hutchinson, j h</t>
  </si>
  <si>
    <t xml:space="preserve">ama4366</t>
  </si>
  <si>
    <t xml:space="preserve">African Consolidated Investment Limited</t>
  </si>
  <si>
    <t xml:space="preserve">C. E. Lyon. | J. E. T. O. Carew. | G. W. Garrould. | A. Hannah.</t>
  </si>
  <si>
    <t xml:space="preserve">lyon, c e</t>
  </si>
  <si>
    <t xml:space="preserve">aime73984</t>
  </si>
  <si>
    <t xml:space="preserve">Sun Black Reef Gold Mining</t>
  </si>
  <si>
    <t xml:space="preserve">T. D. Williams. | Louis Abraham ,</t>
  </si>
  <si>
    <t xml:space="preserve">johannesburg</t>
  </si>
  <si>
    <t xml:space="preserve">williams, t d</t>
  </si>
  <si>
    <t xml:space="preserve">south africa</t>
  </si>
  <si>
    <t xml:space="preserve">Victoria Rhodesia Asbestos Limited</t>
  </si>
  <si>
    <t xml:space="preserve">W. P. Taylor. | H. W. A. Cooper. Adam Bell. Pretoria, South Africa.</t>
  </si>
  <si>
    <t xml:space="preserve">taylor, w p</t>
  </si>
  <si>
    <t xml:space="preserve">english</t>
  </si>
  <si>
    <t xml:space="preserve">aime116108</t>
  </si>
  <si>
    <t xml:space="preserve">Halkyn Mining Company Limited Stquai</t>
  </si>
  <si>
    <t xml:space="preserve">Thomas Abel Beckett. | Robert Roberts. | J. Siddorns. | J. E. Williams.</t>
  </si>
  <si>
    <t xml:space="preserve">williams, j e</t>
  </si>
  <si>
    <t xml:space="preserve">mechanical eng</t>
  </si>
  <si>
    <t xml:space="preserve">30mit24609</t>
  </si>
  <si>
    <t xml:space="preserve">Italian And General Exploring Company</t>
  </si>
  <si>
    <t xml:space="preserve">Right Hon. Lord Oifford, V.C. | W. T. Morrison. | J. W. Hughes.</t>
  </si>
  <si>
    <t xml:space="preserve">morrison, w t</t>
  </si>
  <si>
    <t xml:space="preserve">aime83430</t>
  </si>
  <si>
    <t xml:space="preserve">Mesquital Del Oro Mining Company</t>
  </si>
  <si>
    <t xml:space="preserve">S. . RobarU. Douglas Herron Barry. I W. Austin. I Thomas Kynaston Weir</t>
  </si>
  <si>
    <t xml:space="preserve">austin</t>
  </si>
  <si>
    <t xml:space="preserve">Buffelsdoorn Estate And Gold Mining</t>
  </si>
  <si>
    <t xml:space="preserve">H. A. Rogers. | W. H. Rogers. I J. Brass Robertson. | W. P. Taylor. | D. J. Pullruger.</t>
  </si>
  <si>
    <t xml:space="preserve">Drachenfels Banket Gold Mining Syndicate</t>
  </si>
  <si>
    <t xml:space="preserve">Gordon Stonhouse Hughes. | James Fergusson Jamieson.</t>
  </si>
  <si>
    <t xml:space="preserve">england</t>
  </si>
  <si>
    <t xml:space="preserve">hughes, g s</t>
  </si>
  <si>
    <t xml:space="preserve">aime58053</t>
  </si>
  <si>
    <t xml:space="preserve">Houghton Estate Gold Mining Company</t>
  </si>
  <si>
    <t xml:space="preserve">Herbert Ernest Matthew Davies. | William Mortimer Maynard Farmer.</t>
  </si>
  <si>
    <t xml:space="preserve">davies, h e</t>
  </si>
  <si>
    <t xml:space="preserve">aime28174</t>
  </si>
  <si>
    <t xml:space="preserve">Roodepoort Homestead Gold Mining Company</t>
  </si>
  <si>
    <t xml:space="preserve">B. B. Shepherd. | W. M. Smith.</t>
  </si>
  <si>
    <t xml:space="preserve">smith, w m</t>
  </si>
  <si>
    <t xml:space="preserve">colorado</t>
  </si>
  <si>
    <t xml:space="preserve">colo14706</t>
  </si>
  <si>
    <t xml:space="preserve">Cornish Port Quin Antimony Mining</t>
  </si>
  <si>
    <t xml:space="preserve">Rbt. Hy. Seaton. | Francis Dixon Brown. | John Sutton Attfield. | Wilfred Maurice Plevins.</t>
  </si>
  <si>
    <t xml:space="preserve">sydney</t>
  </si>
  <si>
    <t xml:space="preserve">brown, f d</t>
  </si>
  <si>
    <t xml:space="preserve">ama1236</t>
  </si>
  <si>
    <t xml:space="preserve">New Imuris Mines Limited</t>
  </si>
  <si>
    <t xml:space="preserve">Thomas Kynaston Weir. | Edward Woods, C.E. | Ralph Skeno Archbold.</t>
  </si>
  <si>
    <t xml:space="preserve">Diamantina And Vesubio Gold Mines</t>
  </si>
  <si>
    <t xml:space="preserve">M. KJe.nnedv, Chairman. | W. Salmon. I ,1. Hodirson. W. Wilson. | G. I. Suelus. | W. E. Walker.</t>
  </si>
  <si>
    <t xml:space="preserve">colombia</t>
  </si>
  <si>
    <t xml:space="preserve">East Rand Proprietary Mines Limited</t>
  </si>
  <si>
    <t xml:space="preserve">J. C. A. Henderson.</t>
  </si>
  <si>
    <t xml:space="preserve">henderson, j c</t>
  </si>
  <si>
    <t xml:space="preserve">aime53018</t>
  </si>
  <si>
    <t xml:space="preserve">Charles Howard. | Sir John U. Morris, K. O.S.I. | John Napier. | Thomas Kynaston Weir.</t>
  </si>
  <si>
    <t xml:space="preserve">New Comet Gold Mining Company</t>
  </si>
  <si>
    <t xml:space="preserve">Carl Hanau, Ckairtnax. | Abe Bailey. | J. C. A. Henderson. | G. Rouliot. | G. Farrar.</t>
  </si>
  <si>
    <t xml:space="preserve">Colorado Boy Silver Mines Limited</t>
  </si>
  <si>
    <t xml:space="preserve">James L. Hale. | Walter Holdsworth.</t>
  </si>
  <si>
    <t xml:space="preserve">hale, j l</t>
  </si>
  <si>
    <t xml:space="preserve">electrical eng</t>
  </si>
  <si>
    <t xml:space="preserve">30mit17258</t>
  </si>
  <si>
    <t xml:space="preserve">Elswick Coal Company Limited</t>
  </si>
  <si>
    <t xml:space="preserve">Thomas George Gibson, Chairman. |</t>
  </si>
  <si>
    <t xml:space="preserve">newcastle</t>
  </si>
  <si>
    <t xml:space="preserve">gibson, t g</t>
  </si>
  <si>
    <t xml:space="preserve">aime43172</t>
  </si>
  <si>
    <t xml:space="preserve">Fortuna Company Limited</t>
  </si>
  <si>
    <t xml:space="preserve">Richard Donapan. I Frederick H. Simmonds.</t>
  </si>
  <si>
    <t xml:space="preserve">simmonds, f h</t>
  </si>
  <si>
    <t xml:space="preserve">columbia</t>
  </si>
  <si>
    <t xml:space="preserve">csm3006</t>
  </si>
  <si>
    <t xml:space="preserve">Mines Exploitation Syndicate Limited</t>
  </si>
  <si>
    <t xml:space="preserve">George Stewart Anderson, J.P. | Samuel Jennings. | Charles H. Tindal. | Henry Williams,</t>
  </si>
  <si>
    <t xml:space="preserve">western</t>
  </si>
  <si>
    <t xml:space="preserve">anderson, g s</t>
  </si>
  <si>
    <t xml:space="preserve">colo6030</t>
  </si>
  <si>
    <t xml:space="preserve">Regent Gold Extracting Company Limited</t>
  </si>
  <si>
    <t xml:space="preserve">George Webster. | William Bottomley. | J. A Duncan. | W. F. King.</t>
  </si>
  <si>
    <t xml:space="preserve">duncan</t>
  </si>
  <si>
    <t xml:space="preserve">duncan, j a</t>
  </si>
  <si>
    <t xml:space="preserve">aime32661</t>
  </si>
  <si>
    <t xml:space="preserve">British And Transvaal Financial Company</t>
  </si>
  <si>
    <t xml:space="preserve">F. Fobs, Chairman. Robert Arnot. I Fredk. R. Bullock. I J. C. A. Henderson</t>
  </si>
  <si>
    <t xml:space="preserve">transvaal</t>
  </si>
  <si>
    <t xml:space="preserve">Meyer And Leeb Gold Mining</t>
  </si>
  <si>
    <t xml:space="preserve">Kcrni sbert. I Max Cohn. I A. Floquet. I O. E. Read. | C. R. Gardner.</t>
  </si>
  <si>
    <t xml:space="preserve">gardner, c r</t>
  </si>
  <si>
    <t xml:space="preserve">chemical</t>
  </si>
  <si>
    <t xml:space="preserve">30mit25033</t>
  </si>
  <si>
    <t xml:space="preserve">Henderson Transvaal Estates Limited</t>
  </si>
  <si>
    <t xml:space="preserve">J. C. A. Henderson, Chairman.</t>
  </si>
  <si>
    <t xml:space="preserve">prescott</t>
  </si>
  <si>
    <t xml:space="preserve">Mashonaland Trust And Exploring Company</t>
  </si>
  <si>
    <t xml:space="preserve">H. L. Stokes, Rttident Dirtctor in South Jfrica.</t>
  </si>
  <si>
    <t xml:space="preserve">stokes, h l</t>
  </si>
  <si>
    <t xml:space="preserve">aime113498</t>
  </si>
  <si>
    <t xml:space="preserve">Burnyeati Brown And Company Limited</t>
  </si>
  <si>
    <t xml:space="preserve">Joseph Churtera Brown, J.P.</t>
  </si>
  <si>
    <t xml:space="preserve">valley</t>
  </si>
  <si>
    <t xml:space="preserve">brown, j c</t>
  </si>
  <si>
    <t xml:space="preserve">imm2680</t>
  </si>
  <si>
    <t xml:space="preserve">Consolidated Finance Corporation Limited</t>
  </si>
  <si>
    <t xml:space="preserve">F. C. Poisson. Chairman. | George A. Jones.</t>
  </si>
  <si>
    <t xml:space="preserve">sonora</t>
  </si>
  <si>
    <t xml:space="preserve">jones, g a</t>
  </si>
  <si>
    <t xml:space="preserve">mexico</t>
  </si>
  <si>
    <t xml:space="preserve">aime62250</t>
  </si>
  <si>
    <t xml:space="preserve">Espie Bay Mines Development Syndicate</t>
  </si>
  <si>
    <t xml:space="preserve">John E. Davidson. | John Brock. I Holhrook Gaskell, jun. | Robertson Lawson, CA.</t>
  </si>
  <si>
    <t xml:space="preserve">lawson</t>
  </si>
  <si>
    <t xml:space="preserve">davidson, j e</t>
  </si>
  <si>
    <t xml:space="preserve">ama2334</t>
  </si>
  <si>
    <t xml:space="preserve">Exploration Company England Mexico Limited</t>
  </si>
  <si>
    <t xml:space="preserve">Bochfort Msguire. | John E. Dudley Ryder. | Gerald D. Smith.</t>
  </si>
  <si>
    <t xml:space="preserve">dudley</t>
  </si>
  <si>
    <t xml:space="preserve">smith, g d</t>
  </si>
  <si>
    <t xml:space="preserve">aime109436</t>
  </si>
  <si>
    <t xml:space="preserve">Nantyglo And Blaina Ironworks Limited</t>
  </si>
  <si>
    <t xml:space="preserve">Admiral Edward Field, 0.13., Chairman. I John Robinson. | Sydney Mason. I H. Faure Walker.</t>
  </si>
  <si>
    <t xml:space="preserve">walker, h f</t>
  </si>
  <si>
    <t xml:space="preserve">aime122434</t>
  </si>
  <si>
    <t xml:space="preserve">Niddrie And Benhar Coal Limited</t>
  </si>
  <si>
    <t xml:space="preserve">Robert Thomas Moore, ALE. John Watson Stuart.</t>
  </si>
  <si>
    <t xml:space="preserve">hanover</t>
  </si>
  <si>
    <t xml:space="preserve">moore, r t</t>
  </si>
  <si>
    <t xml:space="preserve">aime82780</t>
  </si>
  <si>
    <t xml:space="preserve">Russian Collieries Company Limited</t>
  </si>
  <si>
    <t xml:space="preserve">John Evelyn Gladstone. | Charles Henry Moore. I George Crisps Whiteley.</t>
  </si>
  <si>
    <t xml:space="preserve">gladstone</t>
  </si>
  <si>
    <t xml:space="preserve">moore, c h</t>
  </si>
  <si>
    <t xml:space="preserve">ama5960</t>
  </si>
  <si>
    <t xml:space="preserve">Abbontiakoon Wassau Mines Limited</t>
  </si>
  <si>
    <t xml:space="preserve">Directors. J. S. P. Samborne, Chairman. I Admiral Sir A. H. Markham, K.C.B. | F. C. Tartratt.</t>
  </si>
  <si>
    <t xml:space="preserve">samborne, j s</t>
  </si>
  <si>
    <t xml:space="preserve">Anglo Belgian Company Egypt Limited</t>
  </si>
  <si>
    <t xml:space="preserve">Baron George do Router, Chairman. | J. D. Alexander. | Fitzgerald. Directors in Belgium.</t>
  </si>
  <si>
    <t xml:space="preserve">belgium</t>
  </si>
  <si>
    <t xml:space="preserve">alexander, j d</t>
  </si>
  <si>
    <t xml:space="preserve">aeronautical eng</t>
  </si>
  <si>
    <t xml:space="preserve">aime1144</t>
  </si>
  <si>
    <t xml:space="preserve">Argo Nauts Jjmited</t>
  </si>
  <si>
    <t xml:space="preserve">August G. Meissner, Chairman. | George W. Brown. | Walter Thompson.</t>
  </si>
  <si>
    <t xml:space="preserve">devonshire</t>
  </si>
  <si>
    <t xml:space="preserve">brown, g w</t>
  </si>
  <si>
    <t xml:space="preserve">colo7025</t>
  </si>
  <si>
    <t xml:space="preserve">Ben Ldtm Lnesttlmtled</t>
  </si>
  <si>
    <t xml:space="preserve">H. S. Joseph. I Stanley Brailsford. | S. H. Farrar, M.I.O.E. | W. Henderson Clark.</t>
  </si>
  <si>
    <t xml:space="preserve">clark, w h</t>
  </si>
  <si>
    <t xml:space="preserve">mathematics</t>
  </si>
  <si>
    <t xml:space="preserve">aime21646</t>
  </si>
  <si>
    <t xml:space="preserve">Consolidated Exploration Syndicate Limited</t>
  </si>
  <si>
    <t xml:space="preserve">H. H. Webb, Connlting Engineer. | H. C. Bear. | W. A. Caldecott. | A. H. Bell.</t>
  </si>
  <si>
    <t xml:space="preserve">stanhope</t>
  </si>
  <si>
    <t xml:space="preserve">bell, a h</t>
  </si>
  <si>
    <t xml:space="preserve">rsm</t>
  </si>
  <si>
    <t xml:space="preserve">rs466</t>
  </si>
  <si>
    <t xml:space="preserve">Oosten Rand Gold Limited</t>
  </si>
  <si>
    <t xml:space="preserve">N. J. 8cholts. | F. S. Tudhope. | A. Wight. | J. W. H. Stubbs, Mtnajing.</t>
  </si>
  <si>
    <t xml:space="preserve">stubbs, j w</t>
  </si>
  <si>
    <t xml:space="preserve">imm2379</t>
  </si>
  <si>
    <t xml:space="preserve">Worcester Exploration And Gold Mining</t>
  </si>
  <si>
    <t xml:space="preserve">Hon. J. D. JH.ugo, Chairman. | William A. Hall. | Charles Home, jun. I H. C. Meiring. W. H. Meiring, sen. | Fritz Lindenberg. | P. J. Rabie.</t>
  </si>
  <si>
    <t xml:space="preserve">hall, w a</t>
  </si>
  <si>
    <t xml:space="preserve">naval eng</t>
  </si>
  <si>
    <t xml:space="preserve">30mit3087</t>
  </si>
  <si>
    <t xml:space="preserve">Atlantic Merthyw Collieries Limited</t>
  </si>
  <si>
    <t xml:space="preserve">Richard Cory. | John Cory. | E. M. Hann. | W. H. D. Mewton. | W. Ronnfeldt. | H. W. Martin.</t>
  </si>
  <si>
    <t xml:space="preserve">hann, e m</t>
  </si>
  <si>
    <t xml:space="preserve">imm8529</t>
  </si>
  <si>
    <t xml:space="preserve">Bacis Gold And Silver Mines</t>
  </si>
  <si>
    <t xml:space="preserve">John J. Reid. I C. Williamson Milne. Directors.</t>
  </si>
  <si>
    <t xml:space="preserve">durango</t>
  </si>
  <si>
    <t xml:space="preserve">milne, c w</t>
  </si>
  <si>
    <t xml:space="preserve">aime81629</t>
  </si>
  <si>
    <t xml:space="preserve">Dayton Coal And Iron Company</t>
  </si>
  <si>
    <t xml:space="preserve">W. A. Donaldson. | A. S. McClelland, C.A. | P. Donaldson. | A. S. Macharg, C.A.</t>
  </si>
  <si>
    <t xml:space="preserve">donaldson, w a</t>
  </si>
  <si>
    <t xml:space="preserve">aime31129</t>
  </si>
  <si>
    <t xml:space="preserve">Foldal Copper And Sulphur Company</t>
  </si>
  <si>
    <t xml:space="preserve">onsulting Engineers . ... . . Mine Manager W. H. Lund. Folda , near Lille-Elvedsl, Norway.</t>
  </si>
  <si>
    <t xml:space="preserve">norway</t>
  </si>
  <si>
    <t xml:space="preserve">lund, w h</t>
  </si>
  <si>
    <t xml:space="preserve">imm729</t>
  </si>
  <si>
    <t xml:space="preserve">Glyn Mines Limited</t>
  </si>
  <si>
    <t xml:space="preserve">Vaughan W. Davies. I E. Wolff Abrams, Managing. Mines Manager Worm H. Lund, Kjoli Mines, Guldalen, Norway. Auditors Oarnaby-Harrower, Barham &amp; Co. Secretary and Offices W. B. Pearson, 4, Suffolk Street, Pall Mall, S.W.</t>
  </si>
  <si>
    <t xml:space="preserve">Old Silkstone Xcolljeries Limited</t>
  </si>
  <si>
    <t xml:space="preserve">Henry C. Embleton, M.I.M.E., Chairman. | Robert G. Brown. | Marshall Nicholson.</t>
  </si>
  <si>
    <t xml:space="preserve">marshall</t>
  </si>
  <si>
    <t xml:space="preserve">brown, r g</t>
  </si>
  <si>
    <t xml:space="preserve">imm8978</t>
  </si>
  <si>
    <t xml:space="preserve">Southern Tin Syndicate Limited</t>
  </si>
  <si>
    <t xml:space="preserve">G. B. Mee, Chairman. | W. H. Nash. I Mitruel Yglesias, Managing.</t>
  </si>
  <si>
    <t xml:space="preserve">huelva</t>
  </si>
  <si>
    <t xml:space="preserve">nash, w h</t>
  </si>
  <si>
    <t xml:space="preserve">spain</t>
  </si>
  <si>
    <t xml:space="preserve">uariz</t>
  </si>
  <si>
    <t xml:space="preserve">ua32693</t>
  </si>
  <si>
    <t xml:space="preserve">Hampden Cloncurry Copper Mines Limited</t>
  </si>
  <si>
    <t xml:space="preserve">London Directors T. Pyke ; J. Dowling ; W. Douglas Reid.</t>
  </si>
  <si>
    <t xml:space="preserve">reid, w d</t>
  </si>
  <si>
    <t xml:space="preserve">30mit12839</t>
  </si>
  <si>
    <t xml:space="preserve">New Einasleigh Mines Limited</t>
  </si>
  <si>
    <t xml:space="preserve">NEW EINASLEIGH COPpJrZmTnES, LIMITEdT Directors Qualification, £250 . Hon, R. Parker, Chairman. | A. Stewart, M.I.C.E. I F. J. Gordon. | J. H. Smith, A.M.I.C.K.</t>
  </si>
  <si>
    <t xml:space="preserve">queensland</t>
  </si>
  <si>
    <t xml:space="preserve">gordon, f j</t>
  </si>
  <si>
    <t xml:space="preserve">aime45777</t>
  </si>
  <si>
    <t xml:space="preserve">New Zealand Crown Mines Company</t>
  </si>
  <si>
    <t xml:space="preserve">Directors Qualification, MO shares . Sir Westby B. Perceval, K.C.M.G., C oin a . | James Dunnachio. | John E. Dudley Ryder.</t>
  </si>
  <si>
    <t xml:space="preserve">ryder, j e</t>
  </si>
  <si>
    <t xml:space="preserve">chemistry</t>
  </si>
  <si>
    <t xml:space="preserve">03mit350</t>
  </si>
  <si>
    <t xml:space="preserve">Cedar Syndicate Limited</t>
  </si>
  <si>
    <t xml:space="preserve">02, London Wall, B.C. Mine Manager T. W. T. Atherton, M.I.M.E.</t>
  </si>
  <si>
    <t xml:space="preserve">atherton, t w</t>
  </si>
  <si>
    <t xml:space="preserve">imm37</t>
  </si>
  <si>
    <t xml:space="preserve">Tasmanian Mining Company Limited</t>
  </si>
  <si>
    <t xml:space="preserve">T. Matesdorf, Chairman. | Mas St.einthal. I Robert van Gember.</t>
  </si>
  <si>
    <t xml:space="preserve">zeehan</t>
  </si>
  <si>
    <t xml:space="preserve">gember, r v</t>
  </si>
  <si>
    <t xml:space="preserve">Magnesite Mines South Africa Limited</t>
  </si>
  <si>
    <t xml:space="preserve">A. H. Oppenheim. | A. Dickson. I J. E. Grieveson. | Dr. E. J. P. Jorisson. | J. I. Hoffmann.</t>
  </si>
  <si>
    <t xml:space="preserve">homann, j i</t>
  </si>
  <si>
    <t xml:space="preserve">Oued Mougras Copper Tron Limited</t>
  </si>
  <si>
    <t xml:space="preserve">H. C. Boyd, alternate E. A. Wallers. | Abe Bailey, M.L.A., alternate J. H. Ryan.</t>
  </si>
  <si>
    <t xml:space="preserve">boyd, h c</t>
  </si>
  <si>
    <t xml:space="preserve">imm6247</t>
  </si>
  <si>
    <t xml:space="preserve">Arfius Printing And Publishing Limited</t>
  </si>
  <si>
    <t xml:space="preserve">rooderand gold mining company, limited. Directors Qualification, £500 . J. D. Lace, Chairman. | W. Ross. | Llewellyn Edwards. | O. Falcke. London Committee. G. H. Baw. | E. W. Tompson. | C. F. Rowsell. Secretary and Head Offices John E. Simpson, Laoe Building, Johannesburg. London Secretary and Offices John Shaw Sheldrick, 86, Qresham House, E.C. Phone : 2875 Wall. 1 his company was registered in the Transvaal July 15th, 1895, to acquire two mynpachts and 588 claims on the farm Rooderand, in the Potchefstroom district, near the Vaal river, Transvaal. The purchase consideration was £80,000. The freehold of the farm was afterwards acquired. In November, 1897, it was resolved to purchase the assets including £42,000 cash of the Tigerfontein Gold Mines, Limited see vol. for 1899 , for £100,000 in fully-paid shares. 1 he latter com pany s property consisted of a freehold on the farm Tigerfontein, in the Vaal river district of the Transvaal, about 20 miles south of Johannesburg. Work is now in progress on a new reef discovered during 1908. Properties held : Freehold of farm Rooderand No. 26, district Potchefstroom, 1,900 morgen 341 square mods in extent; freehold of portion of farrn Tigerfontein, district PotchefBtroom, 814 morgen 147 square roods in extent; Mynnacht No. 177 on farm Rooderand, 199 morgen 238 square roods in extent ; Mynpacbt No. 17s on farm Rooderand, 38 morgen 553 square roods in extent ; 270 mining claims; mineral riphts over four-sevenths of farm Koedoeafontein No. 12, Potchefstroom, area about 3,800 morgen ; further 178 shares out of district 241 shares in theKoodoes- fontein Gold Mining and Development Syndicate, owning mining rights over two-sevenths of farm Koedoesfontein. The authorisod capital is £250,000, in 250,000 shares of £1 each j all the shares are issued and fnlly paid. The capital was increased from £150,000 in 1897. The accounts for year ended December 31st, 1906, submitted in Johannesburg March 26th, 1907, showed debit increased from £23,052 to £57,477 after writing off £32,715. The accounts to December 31st, 1907, submitted in Johannesburg AuguBt 11th, 1908, showed debit balanoe increased to £59,376; cash £15,428 investments £16,251 ; creditors £107. Next, accounts are to be submitted in London, and steps are being taken to appoint directors in London with foil eontrol. . 471 BOODEEAND GOLD oontinued. A share register is kept in London. The 15th Ootober, 1895, was appointed a settling day in 100,000 shares, and the 28th September, 1898, in Nos. 100,001 to 350,000. Transfer form, common j fee, 2s. 6d. per deed per 100 shares or part thereof. Latest price, , . ROODERAND MAIN REEF GOLD MINING CO., LTD. This company was registered March 20th, 1896 see vol. for 1907 . On November 29th, 1907, the company was dissolved. , ROSE DEEP, LIMITED Directors Qualification, £100 . R. W. Schumacher, Chairman, alternate G. Brunton. | H. C. Boyd. | H. O K.Wobber. F. D. P. Chaplin, alternate. C. Hely-Hutchinson. | S. Evans. I E. A.Walters. London Committee. C. Rube, alternate A. P. Hillier. | L. Wagner, alternate A. T. Schmidt. | L. C. G. Sartoris. General Manager G. E. Webber, Box 1066, Johannesburg. Mine Manager W. T. Anderson. Box 6, Germiston. Secretary and Head Offloes H. A. Read Tramfer Secretary, F. H. Barry , The Corner House, Johannesburg. Paris Agents Comp. Franfaise de Mines d Or et de l Afrique dn Sud, 20, Rue Taitbout. London Secretary and Offloes Andrew Moir, 1, London Wall Buildings, E.C. Telegrams : Debris, London. Phono : I486 Wall. This company was registered in the Transvaal in 1894, to acquire 47 olaims from the Consolidated Deep Levels, Ltd., 69 olaims from the Band Mines, Ltd., and 17 claims from the Goldfields Deep, Ltd., making a total of 133 main reef deep-level claims on the dip of the New Primrose property, East Rand, Transvaal. The vendors received 200,000 fally-paid shares. In 1895, 48 additional dip claims were purchased from the Simmer and Jack Co. for 30,000 fully-paid shares. The company now owns 181 claims. Crushing commenced in October, 1897, with 100 stamps and cyanide plant ; a further 100 stamps and slimes plant and three tube mills have since been added. During 1907,365,450 tons yielded gold value £502,614 1 profit £ 160,783 or 8s. 9 5d. per ton ; cost 18s. 8 4d. per ton ; during 1908, 428,800 tons yielded £557,406 ; estimated profit £207,510. For crushings see tables at commencement of volume. Ore reserves at December 31st, 1906, 1,016,884 tons value 6 6dwta. ; at December 31st, 1907, 1,393,512 tons, value 65dwts. The authorised capitnl is £425,000, in 425,000 shares of £1 each ; all the shares are issued and fully paid. The capital was formerly £400,000 ; 100,000 shares were subscribed by vendor companies, 25,000 were issued to shareholders in March, 1895, at £4 6s. each, and 45,000 in August, 1897, at £4 10s., the latter issne being guaranteed at £4 5s. In August, 1898, the capital was inoreased to present amount, and the 25,000 new sharos were offered to shareholders at £6 5s. each, the issue being guaranteed at £6. Dividends declared paid in London about seven weeks after declaration : for 1898, 40 per cent. ; 1899, 40 per cent. ; 1902, 10 per cent. ; 1903, 22 peroent. 1904, 30 per cent. ; 1905, 25 per cent. ; 1906, 20 per cent. ; 1907, 27 per cent, j 12 peroent. June and 16 per cent. December ; 1908, 37 percent. 17 percent. June 12th, and 20 per cent. December 15th . The accounts for year ended December 31st, 1906, submitted in Johannesburg March 15th, 1907, showed gold receipts|£468,916 and a profit of £139,706, making with balance forward £175,296; dividends absorbed £85,000, expended on capital account £43,785, and taxes, Ac., £13,451, leaving £33,059 carried forward, representing cash and cash assets in excess of liabilities. Tho accounts to December 31st, 1907, submitted in Johannesburg March, 17th, 1908, Bhowed gold receipts £502,614 and a profit of £160,783, making with balance forward and sundry revenue a sum of £195,823 j dividends absorbed £116,876, taxes 12,122, expended on capital account, etc., £19,729, leaving £47,097 carried forward, being cash and cash assets in excess of liabilities. A share register is kept in London. Transfer form, common ; fee, 2s. 6d. per transfer of 100 shares or part thereof. Share warrants to bearer may be had for 1, 5, 10 or 25 shares. Charge for converting registered shares into warrants to bearer : Is. for 1 to 5 shares, and beyond 5 shares 2s. 6d. per 100 or part of 100, and a fee of Is. per warrant. Fees for reconversion into registered shares : 5s. per J0Q shares and is, per certificate. The 12th January, 1898, was appointed settling 472 THE MIKING . ROSE DEEP oontinued. day in shares Nob. 1 to 400,000, and December 14th, 1898, in Nob. 400,001 to 425,000. Prices. 1905 : highest, 9J ; lowest, 41 ; 1906 : highest 6 ; lowest, 2 ; 1907 : highest, 41 ; lowest, 2 ; 1908 : highest, 4T a ; lowest, 2 . Latest price. 4j . 4j. ROSE OF SHAROrT SHAMROCK GOLD MINES. LTD. Directors Qiutification, Hon. John £M0 . A. de Grey, Chairman. | A. Moutrie. | R. R. Needham. | K. B. Woodford. BoUoitors Wilson, Bristows ft Carpmael. I Bankers Roberts, Lubbock 4 Co. Auditors Ford, Rhodes ft Ford. Secretary and Offices W. W. Mitchell, 10-11, Austin Friars, B.C. Telegrams : Rossnaaren, London. Phone : 1571 Wall. This company was registered October 22nd, 1900, to acquire two groups of gold mininir claims, 139 in all, located on the Marin gold belt, Qwelo district of Rhodesia, 25 miles north-west of Gwelo and 135 miles from Bulawayo, known as the Rose of Sharon and Shamrock Mines, held by the Bulawayo Exploration Co., Ltd. The pnrchase consideration was £200,000, payable £40,000 in cash and £160,000 in fully-paid shares. The company was promoted by the vendor, E. T. Patterson. The mine is let on tribute for fire years from March, 1906, at a royalty of 10 per cent, on gold recovered ; the tributor has erected a mill and crushing is in progress. The authorised capital is £250,000, in 250,000 shares of £1 each ; 239,965 shares are issued and fully paid, including 160,000 vendors shares. In November, 1900, 80,000 shares were offered for public subscription by the Bulawayo Exploration Co., Ltd., and allotted. The accounts for year to December 31st, 1907, submitted July 23rd, 1908, showed cash £828, loan £500 ; creditors £81. The 3rd April, 1901, was appointed settling day in shares Nos. 160,008 to 240,000. Transfer form, common j fee, 2s. 6d. Prices, 1905 : highest, i ; lowest, h ; 1906 : highest, , f ; lowest, d. ; 1907: highest, 9d.j lowest, 3d. ROYAL SHEBA, LIMITED. Directors Qualification, 250 shares . T. P. Gaskell, M.I.C.E., Chairman. | F. Deering. | T. Bickerton. I A. Morris. Managers John Taylor ft Sons, 8. Queen Street Place, E.C. Solicitor F. Romer. | Auditors Monkhouse, Stoneham ft Co. Secretary and Offices G. H. Wells. 9, Queen Street Place, E.C. Telegrams: Rolyat, London. Phone: 6324 Bank. This company was registered July 19th, 1904, and is a second reconstruction of a company of the same name registered March 13th, 1895, and first reconstructed in M y, 1898 see vol. for 1904 . The company took over mining claims on Sheba Hill, De Kaap Ooldfields, Transvaal, including property formerly owned by the East Sheba Reef Mining Co., Ltd. Area now held, 203 claims. Work is suspended. The authorised capital is £100,000, in 348,337 A sharoB of 2b. each and 72,407 B shares of 18s. each j 101,708 A shares and 72,407 B are issued and fully paid. Under the reconstruction one share credited as 15s. paid was offered for every three old shares held and 50,000 shares were issued credited as fully paid in exchange for £50,000 old debentures. The capital, formerly in £1 shares, was altered to present form in March, 1906, when shareholders were offered one fully-paid A and one fullypaid B for each old share held and 72,407 A shares were offered to shareholders at par. In division of profits the A shares take a non -cumulative preference divi dend of 50 percent., the B shares then take 5 per cent, non-cumulative, all shares ranking alike for surplus. The accounts for eighteen months to March 31st, 1908, submitted June 30th,</t>
  </si>
  <si>
    <t xml:space="preserve">webber, g e</t>
  </si>
  <si>
    <t xml:space="preserve">imm1235</t>
  </si>
  <si>
    <t xml:space="preserve">South African Gold And Copper Synd Ltd </t>
  </si>
  <si>
    <t xml:space="preserve">D. N. Shaw, Chairman. | A. L. Horner, K.C. I Maj. V. Paget.</t>
  </si>
  <si>
    <t xml:space="preserve">shaw, d n</t>
  </si>
  <si>
    <t xml:space="preserve">30mit35078</t>
  </si>
  <si>
    <t xml:space="preserve">Wanderer Tselukwel Gold Mines Limited</t>
  </si>
  <si>
    <t xml:space="preserve">Consulting Engineers Percy Tarbutt &amp; Co., 18, St. Swithin s Lane, E.C.</t>
  </si>
  <si>
    <t xml:space="preserve">tarbutt, s p</t>
  </si>
  <si>
    <t xml:space="preserve">Witwatersrand Gold Mining Company Limited</t>
  </si>
  <si>
    <t xml:space="preserve">Consulting Engineer J. Harry Johns, S. B. Joel. Consolidated Building, Box 590, Johannesburg. General Manager W. M. l rout, Mine Office, Box</t>
  </si>
  <si>
    <t xml:space="preserve">johns, j h</t>
  </si>
  <si>
    <t xml:space="preserve">rs2744</t>
  </si>
  <si>
    <t xml:space="preserve">Alaska Treadwell Gold Mining Company</t>
  </si>
  <si>
    <t xml:space="preserve">F. W. Bradley, Comulting Engineer, San Francisco.</t>
  </si>
  <si>
    <t xml:space="preserve">san francisco</t>
  </si>
  <si>
    <t xml:space="preserve">bradley, f w</t>
  </si>
  <si>
    <t xml:space="preserve">imm108</t>
  </si>
  <si>
    <t xml:space="preserve">Balaghat Gold Mines Limited</t>
  </si>
  <si>
    <t xml:space="preserve">Solicitors Francis &amp; Johnson. Mine Superintendent C. H. Richards, Balaghat, Mysore Province, South India,</t>
  </si>
  <si>
    <t xml:space="preserve">superintendent</t>
  </si>
  <si>
    <t xml:space="preserve">richards, c h</t>
  </si>
  <si>
    <t xml:space="preserve">imm972</t>
  </si>
  <si>
    <t xml:space="preserve">British Anthracite Colliery Limited</t>
  </si>
  <si>
    <t xml:space="preserve">Edmund Davis, Chairman. | W. Pearman Clarke. | William C. Cowie. I Ka:l Ettlinger.</t>
  </si>
  <si>
    <t xml:space="preserve">a lane b</t>
  </si>
  <si>
    <t xml:space="preserve">clarke, w p</t>
  </si>
  <si>
    <t xml:space="preserve">40mit13165</t>
  </si>
  <si>
    <t xml:space="preserve">Butte Coalition Mining Company</t>
  </si>
  <si>
    <t xml:space="preserve">T. F. Cole, Pmident. | John D. Ryan, Vice-Pretident. | M. H. Broughton. | T. Hoatscn.</t>
  </si>
  <si>
    <t xml:space="preserve">montana</t>
  </si>
  <si>
    <t xml:space="preserve">cole, t f</t>
  </si>
  <si>
    <t xml:space="preserve">aime22979</t>
  </si>
  <si>
    <t xml:space="preserve">Champion Reef Mining Company Lnqla</t>
  </si>
  <si>
    <t xml:space="preserve">Mining SuMpaenraignetersn deJnothn Taylor ft Sons, 6, Queen Street Place, E.C. Henry J. Gifford, M.I.M. SI., Champion Reefs, Mysore State, Sonth India. Besident Engineer Option Blocks H. B. Williams, Kabulgitti P.O., Dharwar District, Bombay, India. Chief Engineer C. T. Roberts. | Solicitors Ashurst, Morris, Crisp ft Co. Bankers union Bank of Scotland, Limited. Auditors Cooper Brothers ft Secretary and Offices Frederick H. Williams, 6 4 6, Queen Street Place, E.C. Phone : 885 Bank. This company was registered June 3rd, 1889, for the purpose of acquiring from the Mysore Gold Mining Co., Ltd., and the Gold Fields of Mysore, Ltd., under-leases of three blocks of mining land, covering 453 acres, in the Colar Fields of India. The consideration was £132,000, paid £22,500 in cash £109,500 in fully-paid shares. In 1892 the company sold the Coremandel and 16 Block to the Coromandol Gold Mining Co. of India, Ltd., for £50,000.</t>
  </si>
  <si>
    <t xml:space="preserve">roberts, c t</t>
  </si>
  <si>
    <t xml:space="preserve">imm985</t>
  </si>
  <si>
    <t xml:space="preserve">Hamstead Colliery Company Limited</t>
  </si>
  <si>
    <t xml:space="preserve">Fred. Welch Barrows, J. P., Chairman, j Joseph Bennett Clarke, J.P., Deputy Algar Wm. Grasebrook. | E. Carter Lewis. | L. Ride dale. | H. W.Baylies.</t>
  </si>
  <si>
    <t xml:space="preserve">carter</t>
  </si>
  <si>
    <t xml:space="preserve">lewis, e c</t>
  </si>
  <si>
    <t xml:space="preserve">imm10796</t>
  </si>
  <si>
    <t xml:space="preserve">Tennessee Copper And Corporation Limited</t>
  </si>
  <si>
    <t xml:space="preserve">J. Directors. Parke Channing, President. I F. Lewisohn, I icc-Prrtident. J. U. Sosmann. | H. H. Rogers.</t>
  </si>
  <si>
    <t xml:space="preserve">copperhill</t>
  </si>
  <si>
    <t xml:space="preserve">channing, j p</t>
  </si>
  <si>
    <t xml:space="preserve">aime19869</t>
  </si>
  <si>
    <t xml:space="preserve">Lancefield Gold Com Limited</t>
  </si>
  <si>
    <t xml:space="preserve">Sir Gerard Smith, K.C .M.G. I C. A. Moreing.</t>
  </si>
  <si>
    <t xml:space="preserve">kalgoorlie</t>
  </si>
  <si>
    <t xml:space="preserve">moreing, c a</t>
  </si>
  <si>
    <t xml:space="preserve">Bosc Hoek Proprietary Company Limited</t>
  </si>
  <si>
    <t xml:space="preserve">G. A. Murray, Chairman. | R. MacAra. I Col. H. Paget, C.B.</t>
  </si>
  <si>
    <t xml:space="preserve">murray, g a</t>
  </si>
  <si>
    <t xml:space="preserve">aime84486</t>
  </si>
  <si>
    <t xml:space="preserve">Consolidated Mines Selection Limited</t>
  </si>
  <si>
    <t xml:space="preserve">Francis Muir, Chairman. | F. W. Green. | Max Kempner. I Anton Dunkels.</t>
  </si>
  <si>
    <t xml:space="preserve">green, f w</t>
  </si>
  <si>
    <t xml:space="preserve">wo1348</t>
  </si>
  <si>
    <t xml:space="preserve">Electric Detonators Military Sporting Safety</t>
  </si>
  <si>
    <t xml:space="preserve">Assistant General Manager I. R. Grimmer, Kimberley, Cape Colony. Mechanical Engineer J. Liddell, Kimberley, Cape Colony.</t>
  </si>
  <si>
    <t xml:space="preserve">grimmer, i r</t>
  </si>
  <si>
    <t xml:space="preserve">imm435</t>
  </si>
  <si>
    <t xml:space="preserve">Ginsberg Gold Mining Limited</t>
  </si>
  <si>
    <t xml:space="preserve">Mine Manager J. F. Thomas, Ginsberg Mine Office, Germiston.</t>
  </si>
  <si>
    <t xml:space="preserve">thomas, j f</t>
  </si>
  <si>
    <t xml:space="preserve">imm2424</t>
  </si>
  <si>
    <t xml:space="preserve">Globe And Phoenix Gold Mining</t>
  </si>
  <si>
    <t xml:space="preserve">General Blanager Theodore Haddon, Que Que, Rhodesia. Mine Manager W. G. Howard, Que Que, Rhodesia.</t>
  </si>
  <si>
    <t xml:space="preserve">rhodesia</t>
  </si>
  <si>
    <t xml:space="preserve">howard, w g</t>
  </si>
  <si>
    <t xml:space="preserve">imm554</t>
  </si>
  <si>
    <t xml:space="preserve">Pigg Peak Development Company Limited</t>
  </si>
  <si>
    <t xml:space="preserve">General Manager D. V. Burnett, Pigg s Peak, Swaziland. Consulting Engineer in London E. T. McCarthy, M.E., M.I.M. M., 10 and 11,</t>
  </si>
  <si>
    <t xml:space="preserve">burnett, d v</t>
  </si>
  <si>
    <t xml:space="preserve">imm6282</t>
  </si>
  <si>
    <t xml:space="preserve">Vogelstruis Consolidated Deep Limited</t>
  </si>
  <si>
    <t xml:space="preserve">Hon. W. A. Martin, M.L.C., Chairman. I W. Macfarlaue. I L. Clarence. Consulting Engineer H. Rotw Skinner, Box 1100, Johannesburg.</t>
  </si>
  <si>
    <t xml:space="preserve">martin, w a</t>
  </si>
  <si>
    <t xml:space="preserve">imm9957</t>
  </si>
  <si>
    <t xml:space="preserve">West Afric Oil Trust Limited</t>
  </si>
  <si>
    <t xml:space="preserve">A. W. Maude. | R. G. Tugwood. | J. A. Rummers. | H. Cecil. Consulting Engineer G. W. Edwards. | Solicitors Stonsham 4 Sons.</t>
  </si>
  <si>
    <t xml:space="preserve">edwards, g w</t>
  </si>
  <si>
    <t xml:space="preserve">imm1607</t>
  </si>
  <si>
    <t xml:space="preserve">Alberta Development Syndicate Limited</t>
  </si>
  <si>
    <t xml:space="preserve">ALBERTA DEVELOPMENT SYNDICATE. LIMITED. Directors J- Hay; E. G. Aman ; Capt. C. L. W. Wallace.</t>
  </si>
  <si>
    <t xml:space="preserve">alberta</t>
  </si>
  <si>
    <t xml:space="preserve">wallace, c l</t>
  </si>
  <si>
    <t xml:space="preserve">Blackwe Colliery Company Limited</t>
  </si>
  <si>
    <t xml:space="preserve">Consulting Engineer F. J. Stephens, F.G.8., A.I.M.M.</t>
  </si>
  <si>
    <t xml:space="preserve">liverpool</t>
  </si>
  <si>
    <t xml:space="preserve">stephens, f j</t>
  </si>
  <si>
    <t xml:space="preserve">imm6000</t>
  </si>
  <si>
    <t xml:space="preserve">Cevreni Breg Mining Company Limited</t>
  </si>
  <si>
    <t xml:space="preserve">Dr. W. E. Pountney. Engineer M. Jean Philipott, CevreniBrcg, dervia. | Solioitor J. Davis.</t>
  </si>
  <si>
    <t xml:space="preserve">paris</t>
  </si>
  <si>
    <t xml:space="preserve">philipott, m j</t>
  </si>
  <si>
    <t xml:space="preserve">france</t>
  </si>
  <si>
    <t xml:space="preserve">imm917</t>
  </si>
  <si>
    <t xml:space="preserve">Concordia Tin Mine Bollvla Limited</t>
  </si>
  <si>
    <t xml:space="preserve">J. Directors Qualification, other than first directors. £300 . Grosscurth. I J. P. Grosscurth. | R. Grosscurth. I A. Luboldt. | K. Rosenblouth. Manager E. J. Howard Wright, Concordia Tin Mine, Santo Domingo, Bolivia.</t>
  </si>
  <si>
    <t xml:space="preserve">bolivia</t>
  </si>
  <si>
    <t xml:space="preserve">wright, e j</t>
  </si>
  <si>
    <t xml:space="preserve">imm1308</t>
  </si>
  <si>
    <t xml:space="preserve">Digby Colliery Company Limited</t>
  </si>
  <si>
    <t xml:space="preserve">Charles Hose Hill, .7.1 . | Edward Parry, M.I.C.E. Becretary and Offices William H. Cunningham, Dipby Colliery, Giltbrook, Nottingham.</t>
  </si>
  <si>
    <t xml:space="preserve">nottingham</t>
  </si>
  <si>
    <t xml:space="preserve">hill, c h</t>
  </si>
  <si>
    <t xml:space="preserve">wo1657</t>
  </si>
  <si>
    <t xml:space="preserve">Harney Peak Consolidated Tin Limited</t>
  </si>
  <si>
    <t xml:space="preserve">This company was registered December 31st, 1901, to acquire mineral at Harehope Gill and West Biggings, parish of Wolsingham, county The share consideration was £4,700, payable £1,700 in cash and £3,000 The authorised capital is £10,000, in 10,000 shares of £1 each; all the are issued and fnlly paid. There are £3,600 part of £5,000 five debentures. No accounts received. Transfer form, common ; fee, 2s. 6d. HARNEY PEAK CONSOLIDATED TIN CO.. Receiver and Manager H. K Moore, 41, Bedford Rnw, W.C.</t>
  </si>
  <si>
    <t xml:space="preserve">bedford</t>
  </si>
  <si>
    <t xml:space="preserve">moore, h k</t>
  </si>
  <si>
    <t xml:space="preserve">30mit8275</t>
  </si>
  <si>
    <t xml:space="preserve">Rother Vale Collieries Limited</t>
  </si>
  <si>
    <t xml:space="preserve">F. J. JonSese.cr|eStiar rWy. Jaffray, Bart. | R. Kddiaon. | J. H. Keep. I H. H. C. Horafall. and Offices . . Walters, Trceton, near RotUerham. This company was registered April 13th, 1875, to acquire and work coal mines</t>
  </si>
  <si>
    <t xml:space="preserve">yorkshire</t>
  </si>
  <si>
    <t xml:space="preserve">keep, j h</t>
  </si>
  <si>
    <t xml:space="preserve">mitg12763</t>
  </si>
  <si>
    <t xml:space="preserve">Vagliano Anthracite Collieries Limited</t>
  </si>
  <si>
    <t xml:space="preserve">Prof. W. Galloway, F.G.S., Chairman. | Karl of Clonmell. | O. J. Bainbridg:. I F. H. Hamilton. Consulting EngineerSsc ott Ling . | G. J, Stevens. C.B. Bainbridge, Seymour</t>
  </si>
  <si>
    <t xml:space="preserve">galloway, p w</t>
  </si>
  <si>
    <t xml:space="preserve">imm1666</t>
  </si>
  <si>
    <t xml:space="preserve">Writhlington Collieries Company Limited</t>
  </si>
  <si>
    <t xml:space="preserve">A. B. Markham, M.P., Permanent. | Mrs. L. B. Markham, Termanrnt. | W. Hnmble.</t>
  </si>
  <si>
    <t xml:space="preserve">somerset</t>
  </si>
  <si>
    <t xml:space="preserve">markham, a b</t>
  </si>
  <si>
    <t xml:space="preserve">aime76025</t>
  </si>
  <si>
    <t xml:space="preserve">Darymusu West Coast Development Company Limited</t>
  </si>
  <si>
    <t xml:space="preserve">General Manager Alpheus F. Williams, Kimberley, Cape Colony. Assistant General Managers I. R. Grimmer, and J. Harbottle, Kimberlej , Cape Colony Mechanical Engineer J. Liddell, Kimijerley, ape Colony.</t>
  </si>
  <si>
    <t xml:space="preserve">williams, a f</t>
  </si>
  <si>
    <t xml:space="preserve">imm2541</t>
  </si>
  <si>
    <t xml:space="preserve">Durban Navigation Collier Iesi Limited</t>
  </si>
  <si>
    <t xml:space="preserve">Co., 18, St. Swithin s Lane, E.0. Manager T. G. Colquhoun, Dannhauser, Natal.</t>
  </si>
  <si>
    <t xml:space="preserve">chilian</t>
  </si>
  <si>
    <t xml:space="preserve">colquhoun, t g</t>
  </si>
  <si>
    <t xml:space="preserve">chile</t>
  </si>
  <si>
    <t xml:space="preserve">imm3651</t>
  </si>
  <si>
    <t xml:space="preserve">French Band Gold</t>
  </si>
  <si>
    <t xml:space="preserve">General Manager A. G. Turner, Axiin, Gold Ucaat Colony.</t>
  </si>
  <si>
    <t xml:space="preserve">winchester</t>
  </si>
  <si>
    <t xml:space="preserve">turner, a g</t>
  </si>
  <si>
    <t xml:space="preserve">imm2473</t>
  </si>
  <si>
    <t xml:space="preserve">General Mining And Finance Corpn</t>
  </si>
  <si>
    <t xml:space="preserve">Transfer form, common ; fee, 2s. 6d. gerT tin Syndicate northern Nigeria , ltd: Directors G. P. Doolctt | T. J. Hoover. | L. W. N. Hkkley.</t>
  </si>
  <si>
    <t xml:space="preserve">hoover, t j</t>
  </si>
  <si>
    <t xml:space="preserve">imm544</t>
  </si>
  <si>
    <t xml:space="preserve">Baptist End Colliery Company Limited</t>
  </si>
  <si>
    <t xml:space="preserve">Baron H. von Pohl. E. Canincho-Gniaacn n</t>
  </si>
  <si>
    <t xml:space="preserve">pohl, b h</t>
  </si>
  <si>
    <t xml:space="preserve">Brit Nic Hyr Company Limited</t>
  </si>
  <si>
    <t xml:space="preserve">Evan D. Evans. | D. A. Thomas, M.P. I L. W. Llewelyn. | G. L. Thomas. | C. A. G. Pullin.</t>
  </si>
  <si>
    <t xml:space="preserve">cardiff</t>
  </si>
  <si>
    <t xml:space="preserve">thomas, d a</t>
  </si>
  <si>
    <t xml:space="preserve">architect</t>
  </si>
  <si>
    <t xml:space="preserve">aime116723</t>
  </si>
  <si>
    <t xml:space="preserve">Cobalt Central Mines Company</t>
  </si>
  <si>
    <t xml:space="preserve">W. C. Eakin . | E. F. Elderidgo. Consulting Engineer H. W. Hardinge, M, Exchange Place, Now York, U.S.A. General Manager J. W. Young, Col alt, Ontario, Canada. Bankers American Exchange National Bank, New York Citv, U.S.A. Trans fer Agents Security Transfer and Registry Co., New York City, U.S.A. Secretary and Head Offices K. F. Eldredge, 37, Wall Street,</t>
  </si>
  <si>
    <t xml:space="preserve">ontario</t>
  </si>
  <si>
    <t xml:space="preserve">young, j w</t>
  </si>
  <si>
    <t xml:space="preserve">imm2575</t>
  </si>
  <si>
    <t xml:space="preserve">East Kent Colliery Company Limited</t>
  </si>
  <si>
    <t xml:space="preserve">H. W. Marley.Colli|ery HMeannryagGeuur ipertz. | Arthur Burr, Managing. T. W. Austin, M.I.M.E. Consulting Engineer G. H. Hollinirworth, F.G.8., M.I.M.E., 37, Cross Street, Manchester,</t>
  </si>
  <si>
    <t xml:space="preserve">hollinirworth, g h</t>
  </si>
  <si>
    <t xml:space="preserve">Fishley Colliery Company Limited Flemington</t>
  </si>
  <si>
    <t xml:space="preserve">Directors Qualification, 50 shares £500 . R. Thomas, J.P. ; H. S. Thomas.</t>
  </si>
  <si>
    <t xml:space="preserve">staffordshire</t>
  </si>
  <si>
    <t xml:space="preserve">thomas, h s</t>
  </si>
  <si>
    <t xml:space="preserve">imm1575</t>
  </si>
  <si>
    <t xml:space="preserve">Garswood Hall Collieries Company Limited</t>
  </si>
  <si>
    <t xml:space="preserve">GARSWOOD HALL COLLIERIES COMPANY, LTD. Trustees for Debenture- Holders R. H. Kdmondson ; F. H. Smith. Directors Qualification, 600 shares . SReosbreerttaHi.yKdmondson. | James II. Edmondson. | Frederick H Smith. | F. Rdmondson. and Offices Thomas S. Mayall, Garswood Hall Collieries, Rrynn, near Wigan.</t>
  </si>
  <si>
    <t xml:space="preserve">smith, f h</t>
  </si>
  <si>
    <t xml:space="preserve">30mit1414</t>
  </si>
  <si>
    <t xml:space="preserve">Intermediated Equipments Limited</t>
  </si>
  <si>
    <t xml:space="preserve">Directors A. Burr, Life Manaqing. I Dr. M. Burr, Deputy Mauaahig. Mine Manager T. W. Austin, Shepberdswell, Dover.</t>
  </si>
  <si>
    <t xml:space="preserve">austin, t w</t>
  </si>
  <si>
    <t xml:space="preserve">imm39</t>
  </si>
  <si>
    <t xml:space="preserve">Lamplugh Iron Ore Company Limited</t>
  </si>
  <si>
    <t xml:space="preserve">W. E. Walker.</t>
  </si>
  <si>
    <t xml:space="preserve">lnwtber street wbilchaver</t>
  </si>
  <si>
    <t xml:space="preserve">Lewis Merthyr Consolidated Collieries Limited</t>
  </si>
  <si>
    <t xml:space="preserve">Sir W, T. Lewis, Bart., K.C.V.O., Chairman. | H. C. Lewis. | K. O. Jones. 1 W. T. Rees. J. J. Jones. I A. E. Williams.</t>
  </si>
  <si>
    <t xml:space="preserve">williams, a e</t>
  </si>
  <si>
    <t xml:space="preserve">aime127715</t>
  </si>
  <si>
    <t xml:space="preserve">Mountain Copper Company Limited</t>
  </si>
  <si>
    <t xml:space="preserve">Charles W. Fielding.</t>
  </si>
  <si>
    <t xml:space="preserve">fielding, c w</t>
  </si>
  <si>
    <t xml:space="preserve">aime37405</t>
  </si>
  <si>
    <t xml:space="preserve">New British Columbia Development Corporation</t>
  </si>
  <si>
    <t xml:space="preserve">Consulting Engineer Trevor F. Thomas. Mine Manager T. W. Curry, Glyn, Neath.</t>
  </si>
  <si>
    <t xml:space="preserve">curry, t w</t>
  </si>
  <si>
    <t xml:space="preserve">imm3667</t>
  </si>
  <si>
    <t xml:space="preserve">Pusing Bharu Tin Mines Limited</t>
  </si>
  <si>
    <t xml:space="preserve">General Manager W. M. Currie, Pusinsr Bharu Tin Mines, Papan, Pcrak, F.M.S.</t>
  </si>
  <si>
    <t xml:space="preserve">currie, w m</t>
  </si>
  <si>
    <t xml:space="preserve">imm258</t>
  </si>
  <si>
    <t xml:space="preserve">Pusing Lama Tin Mines Limited</t>
  </si>
  <si>
    <t xml:space="preserve">Resident General Manager William M. Currie, Kinta, Perak, Straits Settlements.</t>
  </si>
  <si>
    <t xml:space="preserve">Utah Copper Company</t>
  </si>
  <si>
    <t xml:space="preserve">General Manager D. C. Jackling, McCornick Building, Salt Lake City, Utah. Assistant General Manager R. C. Gemmcll . Mills Superintendent F. G. Janney. Mines Superintendent J. D. Shilling,</t>
  </si>
  <si>
    <t xml:space="preserve">broadway</t>
  </si>
  <si>
    <t xml:space="preserve">janney, f g</t>
  </si>
  <si>
    <t xml:space="preserve">aime60661</t>
  </si>
  <si>
    <t xml:space="preserve">Brilliant Extended Gold Mining Limited</t>
  </si>
  <si>
    <t xml:space="preserve">E. A. Foster. | Israel Lemel. | B. Tobinson.</t>
  </si>
  <si>
    <t xml:space="preserve">foster, e a</t>
  </si>
  <si>
    <t xml:space="preserve">aime39194</t>
  </si>
  <si>
    <t xml:space="preserve">Great Cliff Tasmania Syndicate Limited</t>
  </si>
  <si>
    <t xml:space="preserve">A. B. Stephenson. I W. J. Banctt. | P. A. Robinson. I W. Pelow-Harvey.</t>
  </si>
  <si>
    <t xml:space="preserve">robinson, p a</t>
  </si>
  <si>
    <t xml:space="preserve">imm6906</t>
  </si>
  <si>
    <t xml:space="preserve">Myalls And Peak Hillwgold Mines</t>
  </si>
  <si>
    <t xml:space="preserve">Heaident Manager Charlos J. Morris, Pea Hill, N.8.W.</t>
  </si>
  <si>
    <t xml:space="preserve">morris, c j</t>
  </si>
  <si>
    <t xml:space="preserve">imm2123</t>
  </si>
  <si>
    <t xml:space="preserve">Progress Mines New Zealand Limited</t>
  </si>
  <si>
    <t xml:space="preserve">Assistant Manager H. Norton Johnson. Bankers National Bank of New Zealand, Limited. Solicitors Clarke. Rawlins</t>
  </si>
  <si>
    <t xml:space="preserve">new zealand</t>
  </si>
  <si>
    <t xml:space="preserve">johnson, h n</t>
  </si>
  <si>
    <t xml:space="preserve">imm4005</t>
  </si>
  <si>
    <t xml:space="preserve">Ashanti Goldfields Corporation Limited</t>
  </si>
  <si>
    <t xml:space="preserve">lowest, lis. ; 1910: highest, 47s. 9d. ; lowest, 1J ; 1911: highest, 2jCJ lowest, liV Latest price, 1J, l,5 . ASHANTI goldfields territories, limited. Directors Qualification, £500 . O. Edwards, ConsuClhtainirmganE. ngin|eersJ . Column, J.P. | J. 11. Batty. | A. li. Morrish. W. E. FelUtmann &amp; Co., 138, Salisbury House, E.C.</t>
  </si>
  <si>
    <t xml:space="preserve">salisbury</t>
  </si>
  <si>
    <t xml:space="preserve">morris, a l</t>
  </si>
  <si>
    <t xml:space="preserve">nmex</t>
  </si>
  <si>
    <t xml:space="preserve">nmx275</t>
  </si>
  <si>
    <t xml:space="preserve">Battlefields Rhodesia Limited</t>
  </si>
  <si>
    <t xml:space="preserve">Herbert L. Stokes, Chairman. | William Rhodes, J.P. | Edward L. Lucas. | Charles T. Hi Hand.</t>
  </si>
  <si>
    <t xml:space="preserve">Mashonaland Consolidated Limited</t>
  </si>
  <si>
    <t xml:space="preserve">Lieut. Col. G. H. Black. General Manager in Bhodesia Philip B. S. Wrey, A.M.I.C.E., Box2 7, Bolavrayo. Consulting Engineer A. H. Ackermann. Bankers Bank of Africa, Limited. SoIiloiccitaolrs Julius &amp; Thomas. | Auditors Fuller Wise Kirby A Fisher. SecreOtaffricyes Main Streo , Bulawayo ; Pioneer 8treet, Salisbury, Rhodesia. and Offices A. W. Bird, F.C.I.8., 2, London Wall Bdgs., B.C. Telegrams: Afrique, London. Phono: 4670 to 4073 Wall,</t>
  </si>
  <si>
    <t xml:space="preserve">ackermann, a h</t>
  </si>
  <si>
    <t xml:space="preserve">imm2</t>
  </si>
  <si>
    <t xml:space="preserve">Messina Transvaal Development Limited</t>
  </si>
  <si>
    <t xml:space="preserve">Directors Qualification, £250 . A. M. Grenfell, Chairman. | J. S. P. Samborne. | J. P. Grcnfell. I B. J. Frecheville.</t>
  </si>
  <si>
    <t xml:space="preserve">New Bimkose Gold</t>
  </si>
  <si>
    <t xml:space="preserve">Col. &amp; O. Hutchinson. Consulting Engineer A. H. Sawyer, Hox 2202, Johannesburg, Transvaal. Manager .1. Bryaut, Hox 1100, Johannesburg.</t>
  </si>
  <si>
    <t xml:space="preserve">sawyer, a h</t>
  </si>
  <si>
    <t xml:space="preserve">mitg20173</t>
  </si>
  <si>
    <t xml:space="preserve">New Rhodesia District Development Limited</t>
  </si>
  <si>
    <t xml:space="preserve">C. P. Rowsell, Chairman. | I. Lewis. | G. Pauling. Consulting Engineer A. H. Ackermann, Bulawayo.</t>
  </si>
  <si>
    <t xml:space="preserve">North Swazieland Syndicate Limited</t>
  </si>
  <si>
    <t xml:space="preserve">Directors G Freeman, Chairman. | W. Halford. | C. F. Brown.</t>
  </si>
  <si>
    <t xml:space="preserve">rockland</t>
  </si>
  <si>
    <t xml:space="preserve">brown, c f</t>
  </si>
  <si>
    <t xml:space="preserve">imm1430</t>
  </si>
  <si>
    <t xml:space="preserve">Premier Tati Monarch Reef Limited</t>
  </si>
  <si>
    <t xml:space="preserve">C. V. Thomas. | Sir E. C. Cochrane, Bait. | P. Speak. | E. T.Tomby. | J. D. Alexander.</t>
  </si>
  <si>
    <t xml:space="preserve">Rhodesia Gold Mining Investment Limited</t>
  </si>
  <si>
    <t xml:space="preserve">C. F. Rovrsell, Chairman. | Isaac I ewis. | G. Paulinfr. | G. R. Lewi . Consulting Engineer-C. B. Kingston.</t>
  </si>
  <si>
    <t xml:space="preserve">kingston</t>
  </si>
  <si>
    <t xml:space="preserve">kingston, c b</t>
  </si>
  <si>
    <t xml:space="preserve">imm9255</t>
  </si>
  <si>
    <t xml:space="preserve">Transvaal Consolidated Land And Exploration Co Ltd</t>
  </si>
  <si>
    <t xml:space="preserve">Engineer J. Jervis Garrard, Box 140. Johannesburg. Metallurgist Krncst V. Pearce.</t>
  </si>
  <si>
    <t xml:space="preserve">garrard, j j</t>
  </si>
  <si>
    <t xml:space="preserve">Viking Gold Mines Limited</t>
  </si>
  <si>
    <t xml:space="preserve">London Commfttre C. E. Rube ; R. R. Hollins ; L. Wagner. Consulting Engineer -II. Stnait Martin.</t>
  </si>
  <si>
    <t xml:space="preserve">martin, i s</t>
  </si>
  <si>
    <t xml:space="preserve">African And Australian Company Limited</t>
  </si>
  <si>
    <t xml:space="preserve">Directors Qualification, 1,000 snares £100 . J. B. Palmer, Chairman. j E. A. Foster. | Edward Pope.</t>
  </si>
  <si>
    <t xml:space="preserve">foster, j e</t>
  </si>
  <si>
    <t xml:space="preserve">30mit33698</t>
  </si>
  <si>
    <t xml:space="preserve">Balcobo Tin Mines Limited</t>
  </si>
  <si>
    <t xml:space="preserve">F. H. Sawyer. I C. H. Wayte. Consulting Engineer C. L. Scholz, 66, Moor yate Street, B.C.</t>
  </si>
  <si>
    <t xml:space="preserve">scholz, c l</t>
  </si>
  <si>
    <t xml:space="preserve">imm4169</t>
  </si>
  <si>
    <t xml:space="preserve">Coytrahen Park Colliery Company Limited</t>
  </si>
  <si>
    <t xml:space="preserve">W. C. St. Ives Partridge, J.P., D.L., Chairman. 1 G. E. Llewelyn. | L. Hirsch. Consulting Engineer G. E. Llewelyn, Port Talbot.</t>
  </si>
  <si>
    <t xml:space="preserve">llewelyn, g e</t>
  </si>
  <si>
    <t xml:space="preserve">imm3255</t>
  </si>
  <si>
    <t xml:space="preserve">Encinillas Santa Rosalia Limited Works</t>
  </si>
  <si>
    <t xml:space="preserve">J. Directors Qualification, 250 shares . C. Duvivier. I F. Lutscher. 1 G. Dorion.</t>
  </si>
  <si>
    <t xml:space="preserve">dorion, f l</t>
  </si>
  <si>
    <t xml:space="preserve">aime31284</t>
  </si>
  <si>
    <t xml:space="preserve">R. T. Bayliss. I P. L. Fo fr. | J. R. Magoire. I H. Mosenthal. | J. E. D. Ryder. I G. D. Smith.</t>
  </si>
  <si>
    <t xml:space="preserve">Kashmir Iron Mines Power Syndicate</t>
  </si>
  <si>
    <t xml:space="preserve">A. Bennett. | H. Guedalla. Consulting Engineer Sir J. Wolfe Barry.</t>
  </si>
  <si>
    <t xml:space="preserve">barry, s j</t>
  </si>
  <si>
    <t xml:space="preserve">imm3493</t>
  </si>
  <si>
    <t xml:space="preserve">Luhrig Coal And Ore Dressing</t>
  </si>
  <si>
    <t xml:space="preserve">John C. Cunninghams, Chairman. 1 John H. Davidson. I G. M. Light.</t>
  </si>
  <si>
    <t xml:space="preserve">davidson, j h</t>
  </si>
  <si>
    <t xml:space="preserve">30mit17102</t>
  </si>
  <si>
    <t xml:space="preserve">Western Andes Mining Company Limited</t>
  </si>
  <si>
    <t xml:space="preserve">Herbert S. Sankey, Chairman. | C. O. Rogers. | S. P. Freeman. | Percy Brandon.</t>
  </si>
  <si>
    <t xml:space="preserve">Benoni Gold Mining Company Limited</t>
  </si>
  <si>
    <t xml:space="preserve">E. M. Clarke. l W. H. Clark. I F. A. Robinson. I S. H. Farrar.</t>
  </si>
  <si>
    <t xml:space="preserve">clark, e m</t>
  </si>
  <si>
    <t xml:space="preserve">colo7626</t>
  </si>
  <si>
    <t xml:space="preserve">Durban Roodepoort Gold Mining Company</t>
  </si>
  <si>
    <t xml:space="preserve">L. Clarence. Consulting Engineer H. R. Skinner. General Manager A. S. Milne, Box 111, Rooaepocrt, Transvaal.</t>
  </si>
  <si>
    <t xml:space="preserve">skinner, h r</t>
  </si>
  <si>
    <t xml:space="preserve">imm1064</t>
  </si>
  <si>
    <t xml:space="preserve">W. Bailey. Consulting Engineer Professor J. G. Lawn. Mine Mana er l l. G. Bay, Ginsberg Mine Olllce, Germiston.</t>
  </si>
  <si>
    <t xml:space="preserve">lawn, p j</t>
  </si>
  <si>
    <t xml:space="preserve">imm3223</t>
  </si>
  <si>
    <t xml:space="preserve">Jupiter Gold Company Limited</t>
  </si>
  <si>
    <t xml:space="preserve">E. A. Wallets.</t>
  </si>
  <si>
    <t xml:space="preserve">wallets, e a</t>
  </si>
  <si>
    <t xml:space="preserve">imm5067</t>
  </si>
  <si>
    <t xml:space="preserve">New Boksburg Gold Mines Limited</t>
  </si>
  <si>
    <t xml:space="preserve">London L ornmc ltee. J. K. Edward. I F. W. Crookshank. I S. H. Farrar. | W. H. Clark. | E. M. Clarke.</t>
  </si>
  <si>
    <t xml:space="preserve">Wassau Gold Coast Mining Company</t>
  </si>
  <si>
    <t xml:space="preserve">R. G. Flicker, hail-mun and Managing, I Rt. Hon. Earl of Verulam. I G. T. Harris.</t>
  </si>
  <si>
    <t xml:space="preserve">harris, g t</t>
  </si>
  <si>
    <t xml:space="preserve">aime50803</t>
  </si>
  <si>
    <t xml:space="preserve">Berenguela Silver Lead Mines Limited</t>
  </si>
  <si>
    <t xml:space="preserve">J. W. Read. Manager H. A. Lewis, Cochabarnba, Bolivia.</t>
  </si>
  <si>
    <t xml:space="preserve">lewis, h a</t>
  </si>
  <si>
    <t xml:space="preserve">imm5661</t>
  </si>
  <si>
    <t xml:space="preserve">Dr. W. E. Ponntney. Engineer M. J. Philipott, Cevrcni-Breg, Scrvia.</t>
  </si>
  <si>
    <t xml:space="preserve">Chinese Engineering And Mining Limited</t>
  </si>
  <si>
    <t xml:space="preserve">Major K. A. Micklern, D.B.0. Agent and General Manager in China Major Walter Nathan, RE.</t>
  </si>
  <si>
    <t xml:space="preserve">walter, i c</t>
  </si>
  <si>
    <t xml:space="preserve">imm7406</t>
  </si>
  <si>
    <t xml:space="preserve">Levant Mining Company</t>
  </si>
  <si>
    <t xml:space="preserve">Lord Merthyr, K.C.V.O., Muir-an. | Hon. 1 . L . Lewis. Li . I E. 0. Jones. I W. T. Rees.</t>
  </si>
  <si>
    <t xml:space="preserve">rees, w t</t>
  </si>
  <si>
    <t xml:space="preserve">aime98460</t>
  </si>
  <si>
    <t xml:space="preserve">Mines Management Company</t>
  </si>
  <si>
    <t xml:space="preserve">General Manager W. B. Devereux, jun.</t>
  </si>
  <si>
    <t xml:space="preserve">devereux, w b</t>
  </si>
  <si>
    <t xml:space="preserve">imm5336</t>
  </si>
  <si>
    <t xml:space="preserve">Mountain Queen Limited</t>
  </si>
  <si>
    <t xml:space="preserve">General llanagers ucii-ick Moreing s m. l Mine Superintendent F. L. Thomas. Solicitor-A. Blackman. I Biinkers lmndon Joint Stock Bank, Ltd. Auditors Ford, Rhodes .1 Ford.</t>
  </si>
  <si>
    <t xml:space="preserve">blomfield street b</t>
  </si>
  <si>
    <t xml:space="preserve">thomas, f l</t>
  </si>
  <si>
    <t xml:space="preserve">imm10223</t>
  </si>
  <si>
    <t xml:space="preserve">Pyman Watson And Company Limited</t>
  </si>
  <si>
    <t xml:space="preserve">T. E. Watson, .11 .</t>
  </si>
  <si>
    <t xml:space="preserve">bury street chambers bury street</t>
  </si>
  <si>
    <t xml:space="preserve">Daggafontein Prospecting Syndicate Limited</t>
  </si>
  <si>
    <t xml:space="preserve">W. B. Butler, Chairman. I G. A. Murray.</t>
  </si>
  <si>
    <t xml:space="preserve">butler, w b</t>
  </si>
  <si>
    <t xml:space="preserve">aime16806</t>
  </si>
  <si>
    <t xml:space="preserve">Fanti Consoqldated Mlnes Limited</t>
  </si>
  <si>
    <t xml:space="preserve">E, Davis, Chairman. 1 Rt. Hon. Earl of Verulam. l Lt.-Col. C. H. 1-1.Villierl. White. | R. G. Fricker, Managin . Consulting Engineers The Consolidated Gold Fields</t>
  </si>
  <si>
    <t xml:space="preserve">fricker, r g</t>
  </si>
  <si>
    <t xml:space="preserve">Nwta Navigation Collieries Company</t>
  </si>
  <si>
    <t xml:space="preserve">D. Simpson, Chairman. I J. Mackenzie. | J. B. Morris. | A. Olifl . I J. T. Williams.</t>
  </si>
  <si>
    <t xml:space="preserve">williams, j t</t>
  </si>
  <si>
    <t xml:space="preserve">ama9099</t>
  </si>
  <si>
    <t xml:space="preserve">Rhodesia Consolidated Limited</t>
  </si>
  <si>
    <t xml:space="preserve">1 . .1. See , F.0-A. I H. L. Stokes.</t>
  </si>
  <si>
    <t xml:space="preserve">Van Rydn Deep Limited</t>
  </si>
  <si>
    <t xml:space="preserve">Manager W. A. Krige. Consulting Engineer Prat. .l. G. Lawn.</t>
  </si>
  <si>
    <t xml:space="preserve">krige, w a</t>
  </si>
  <si>
    <t xml:space="preserve">imm10777</t>
  </si>
  <si>
    <t xml:space="preserve">C. S. Goldman, 111 . l W. 1 . Graham, J.P. | J. B. Ryan. I E. A. Waller-s.</t>
  </si>
  <si>
    <t xml:space="preserve">wallers, e a</t>
  </si>
  <si>
    <t xml:space="preserve">imm7599</t>
  </si>
  <si>
    <t xml:space="preserve">Burma Reiby Mines Limited</t>
  </si>
  <si>
    <t xml:space="preserve">. DR 18 - Manager F. Atlay, Mogok, Burma. Chief Engineer A. H. Morgan, Mogok, Burma.</t>
  </si>
  <si>
    <t xml:space="preserve">morgan, a h</t>
  </si>
  <si>
    <t xml:space="preserve">imm821</t>
  </si>
  <si>
    <t xml:space="preserve">Fronting And Bolivia Gold</t>
  </si>
  <si>
    <t xml:space="preserve">8. W. Stephens, Chairman. I T. H. Alexander. I H. P. Harris, My. I R. C. Lyall, J.P.</t>
  </si>
  <si>
    <t xml:space="preserve">harris, h p</t>
  </si>
  <si>
    <t xml:space="preserve">30mit31548</t>
  </si>
  <si>
    <t xml:space="preserve">Gellidare Colliery Company Limited</t>
  </si>
  <si>
    <t xml:space="preserve">J. M. Thomas.</t>
  </si>
  <si>
    <t xml:space="preserve">swansea</t>
  </si>
  <si>
    <t xml:space="preserve">thomas, j m</t>
  </si>
  <si>
    <t xml:space="preserve">imm643</t>
  </si>
  <si>
    <t xml:space="preserve">Indian And General Mlnilig Trust</t>
  </si>
  <si>
    <t xml:space="preserve">Mans. ers and Consulting Engineers John Taylor and Sons.</t>
  </si>
  <si>
    <t xml:space="preserve">taylo, s j</t>
  </si>
  <si>
    <t xml:space="preserve">Lancarrow Tin Alluvials Limited</t>
  </si>
  <si>
    <t xml:space="preserve">Directors Qualification, except first, .2500 :J. Gardiner ; A. H. Young.</t>
  </si>
  <si>
    <t xml:space="preserve">young, a h</t>
  </si>
  <si>
    <t xml:space="preserve">mo50518</t>
  </si>
  <si>
    <t xml:space="preserve">Maen Offeir Slate Quarry Limited</t>
  </si>
  <si>
    <t xml:space="preserve">Mine Manager G. E. Jones, Blsenau Festiniog.</t>
  </si>
  <si>
    <t xml:space="preserve">jones, g e</t>
  </si>
  <si>
    <t xml:space="preserve">imm7280</t>
  </si>
  <si>
    <t xml:space="preserve">Nickel Corporation Limited</t>
  </si>
  <si>
    <t xml:space="preserve">R. T. Moore, Chairman.</t>
  </si>
  <si>
    <t xml:space="preserve">Queensland Copper Freeholds Limited</t>
  </si>
  <si>
    <t xml:space="preserve">C. K. Butler, J.P.</t>
  </si>
  <si>
    <t xml:space="preserve">butler, c k</t>
  </si>
  <si>
    <t xml:space="preserve">aime16705</t>
  </si>
  <si>
    <t xml:space="preserve">Silverton Broken Hill Mining Company</t>
  </si>
  <si>
    <t xml:space="preserve">G. Freeman, Chairman. 1 M. S. Davys. | E. W. Monkhouse. Mine KanaRer G. Stilwell.</t>
  </si>
  <si>
    <t xml:space="preserve">silverton</t>
  </si>
  <si>
    <t xml:space="preserve">davys, m s</t>
  </si>
  <si>
    <t xml:space="preserve">imm3679</t>
  </si>
  <si>
    <t xml:space="preserve">Backworth Collieries Limited</t>
  </si>
  <si>
    <t xml:space="preserve">BACKWORTH COLLIERIES, LIMITED. Directors C. B. Lamb; Manager H. W. R. Lamb; It . R. H. Moorsom ; H. S. Streatfeild, .LP. Gibson. | Solicitors Bees and Thompson. Secretary and Omen-41. I . Spence, Milhurn House, Dean Street, Newcastle-on-Tyne.</t>
  </si>
  <si>
    <t xml:space="preserve">lamb, h w</t>
  </si>
  <si>
    <t xml:space="preserve">mitg13408</t>
  </si>
  <si>
    <t xml:space="preserve">Broken Hill Proprietary Block Limited</t>
  </si>
  <si>
    <t xml:space="preserve">by the General Manager G. D. Delprat and Mr. David Baker of Philadelphia, U.S.A.</t>
  </si>
  <si>
    <t xml:space="preserve">philadelphia</t>
  </si>
  <si>
    <t xml:space="preserve">delpra, g d</t>
  </si>
  <si>
    <t xml:space="preserve">Ferreira Diamonds Limited</t>
  </si>
  <si>
    <t xml:space="preserve">H. C. Boyd, Chairman. I S. B. Joel. I H. A. Rogers. I R. W. Schumachsr. I E. A. Wallers.</t>
  </si>
  <si>
    <t xml:space="preserve">Fremantle Trading Company Limited</t>
  </si>
  <si>
    <t xml:space="preserve">Manager W. G. Sutherland, Prothcroe, W.A.</t>
  </si>
  <si>
    <t xml:space="preserve">sutherland, w g</t>
  </si>
  <si>
    <t xml:space="preserve">imm11072</t>
  </si>
  <si>
    <t xml:space="preserve">Hay Gold Mining Limited</t>
  </si>
  <si>
    <t xml:space="preserve">HAY GOLD MINING COMPANY, LIMITED. Directors Qualification, 100 shares . J. Well, Chairman. I S. A. Bird. | G. R. Lewis. I S. Wail. I Hon. C. J. White. Consulting Engineers-London and Rhodesian Mining and Land 00., Lid.</t>
  </si>
  <si>
    <t xml:space="preserve">lewis, g r</t>
  </si>
  <si>
    <t xml:space="preserve">michcoll</t>
  </si>
  <si>
    <t xml:space="preserve">mi27204</t>
  </si>
  <si>
    <t xml:space="preserve">Kleinfontein New Company Limited</t>
  </si>
  <si>
    <t xml:space="preserve">London Cammitlae. J. L. Bergllon. | W. H. Clark. | S. H. Farrar.</t>
  </si>
  <si>
    <t xml:space="preserve">Lanner Syndicate Limited</t>
  </si>
  <si>
    <t xml:space="preserve">Directors T. E. Lander; F. L. Maclecd ; R. T. Moore,</t>
  </si>
  <si>
    <t xml:space="preserve">Lena Goldfields Limited</t>
  </si>
  <si>
    <t xml:space="preserve">M. de Routkowsky. Consulting Engineer C. W. Purington.</t>
  </si>
  <si>
    <t xml:space="preserve">purington, c w</t>
  </si>
  <si>
    <t xml:space="preserve">imm6883</t>
  </si>
  <si>
    <t xml:space="preserve">Malayan Tin Dredging Limited</t>
  </si>
  <si>
    <t xml:space="preserve">MALAYAN TIN DREDGINGI LIMITED. Directors Qualification, £250 . Sir E. W. Birch. K.C.M.G.. Chairman. I S. H. B. Blandy. | W. J. Payne. I C. V. Stephens. Consulting Engineers F. W. Payne</t>
  </si>
  <si>
    <t xml:space="preserve">blandy, s h</t>
  </si>
  <si>
    <t xml:space="preserve">aime9965</t>
  </si>
  <si>
    <t xml:space="preserve">New Rand Gold Mines Limited</t>
  </si>
  <si>
    <t xml:space="preserve">A. R. Sawyer. | E. E. Sawyer. Consulting Engineer A. R. Sawyer, Box 2202, Johannesburg, Transvaal.</t>
  </si>
  <si>
    <t xml:space="preserve">sawyer, a r</t>
  </si>
  <si>
    <t xml:space="preserve">imm1032</t>
  </si>
  <si>
    <t xml:space="preserve">Peruvian Consolidated Gold Trust Limited</t>
  </si>
  <si>
    <t xml:space="preserve">Gen eral Manager A. G. Plews. Bankers London and South Western Bank, Ltd. Secretary and Ofllces E. T. Evans, 11 and 12, Finsbury Square, E.C.</t>
  </si>
  <si>
    <t xml:space="preserve">plews, a g</t>
  </si>
  <si>
    <t xml:space="preserve">imm5873</t>
  </si>
  <si>
    <t xml:space="preserve">Princess Estate And Gold Mining</t>
  </si>
  <si>
    <t xml:space="preserve">A. L. Foster; G. A. Jones; E. T. McCarthy; L. Welstead. General Manager A. W. Evans. Metallurgist H. A. B. Leipnsr. | Bankers National Bank of New Zealand, Limited.</t>
  </si>
  <si>
    <t xml:space="preserve">evans, a w</t>
  </si>
  <si>
    <t xml:space="preserve">imm3742</t>
  </si>
  <si>
    <t xml:space="preserve">1 . .1. See , F.C.A. | H. L. Stokes.</t>
  </si>
  <si>
    <t xml:space="preserve">Right Way Mines Limited</t>
  </si>
  <si>
    <t xml:space="preserve">C. W. Fielding, Chairman. I Rt. Hon. Earl of Denbigh.</t>
  </si>
  <si>
    <t xml:space="preserve">Vivian And Sons Limited</t>
  </si>
  <si>
    <t xml:space="preserve">Sir A. P. Vivian, K.C.B., Chairman and Permanent. I B. G. R. Eden. I C. W. Heneaqe.</t>
  </si>
  <si>
    <t xml:space="preserve">vivian, a p</t>
  </si>
  <si>
    <t xml:space="preserve">frei</t>
  </si>
  <si>
    <t xml:space="preserve">fr1750</t>
  </si>
  <si>
    <t xml:space="preserve">Wkss Aww Atmca Lga Ate</t>
  </si>
  <si>
    <t xml:space="preserve">E. Davis, Chairman. I G. T. Harris. | E. W. Jansen. | Lt. Col. 0. H. Villiers.</t>
  </si>
  <si>
    <t xml:space="preserve">Witbank Colliery Limited</t>
  </si>
  <si>
    <t xml:space="preserve">H. J. King. I H. A. Rogers. I J. B. Ryan. | E. A. Wallers.</t>
  </si>
  <si>
    <t xml:space="preserve">Zambesia Exploring Company Limited</t>
  </si>
  <si>
    <t xml:space="preserve">T. Bayne Engineer , F. E. Studt Metallurgist , Box 24., Bulawayo, Rhodesia. Local Agency Bulawayo Manager A. G. Keith , Box 24, Rhodesia.</t>
  </si>
  <si>
    <t xml:space="preserve">studt, f e</t>
  </si>
  <si>
    <t xml:space="preserve">imm1123</t>
  </si>
  <si>
    <t xml:space="preserve">Zuma Tin Areasjniqebia Limited</t>
  </si>
  <si>
    <t xml:space="preserve">J. Directors. Gardiner, Chairman. I W. B. Coutts. I A. H. Young.</t>
  </si>
  <si>
    <t xml:space="preserve">Brazilian Iron And Gold Limited</t>
  </si>
  <si>
    <t xml:space="preserve">Manager W. H. Lewis. Business Manager D. W. Rossiter.</t>
  </si>
  <si>
    <t xml:space="preserve">lewis, w h</t>
  </si>
  <si>
    <t xml:space="preserve">imm5664</t>
  </si>
  <si>
    <t xml:space="preserve">Crowhn Mines Limited</t>
  </si>
  <si>
    <t xml:space="preserve">Consulting Engineer-R. C. Warriner. General Manager A. J. Brett. Joint Mine Managers W. J. Pitchford; T. Simpson.</t>
  </si>
  <si>
    <t xml:space="preserve">brett, a j</t>
  </si>
  <si>
    <t xml:space="preserve">imm1421</t>
  </si>
  <si>
    <t xml:space="preserve">Ebbw Vale Steel Iron And Coal Ltd</t>
  </si>
  <si>
    <t xml:space="preserve">Col. Sir C. Allen, Chairman. D. A. Thomas, M.A., D.L., Vice-Chairman. J. W. Beynon.</t>
  </si>
  <si>
    <t xml:space="preserve">newport</t>
  </si>
  <si>
    <t xml:space="preserve">Exploring Land Minerals Limited</t>
  </si>
  <si>
    <t xml:space="preserve">G. A. Murray, Chairman. I .T. Garrick. l J. E. H. Lomas. l T. Piercy.</t>
  </si>
  <si>
    <t xml:space="preserve">Extended Extension Limited</t>
  </si>
  <si>
    <t xml:space="preserve">Directors Qualification 1501. J. I. Philips. Chairman. W. A. Addinsell. | Sir E. W. Birch, K.C.M.G.</t>
  </si>
  <si>
    <t xml:space="preserve">birch, e w</t>
  </si>
  <si>
    <t xml:space="preserve">Ggranby Consolidated Mining Smelting And</t>
  </si>
  <si>
    <t xml:space="preserve">W. H. Nichols, President. | E. P. Earle, Vice-President. W. H. Robinson, Vice-President.</t>
  </si>
  <si>
    <t xml:space="preserve">phoenix</t>
  </si>
  <si>
    <t xml:space="preserve">nichols, w h</t>
  </si>
  <si>
    <t xml:space="preserve">ama6233</t>
  </si>
  <si>
    <t xml:space="preserve">Poderosa Mining Company Limited</t>
  </si>
  <si>
    <t xml:space="preserve">PODE BOSA, MCoINnIsNuGlt incgontinued. Engineer W. J. Barnett, M.I.M.M. General Manager-J. H. Ivey, Mina Poderosa, Antofagasta, Chile.</t>
  </si>
  <si>
    <t xml:space="preserve">antofagasta</t>
  </si>
  <si>
    <t xml:space="preserve">barnett, w j</t>
  </si>
  <si>
    <t xml:space="preserve">imm2633</t>
  </si>
  <si>
    <t xml:space="preserve">Spon Lane Colliery Company Limited</t>
  </si>
  <si>
    <t xml:space="preserve">Manager B. D. Bushell, Springs, Transvaal. London Bankers National Bank of South Africa, Ltd. Secretaries and Head Offices-Consolidated Mines Selection Co., Ltd., Corner House,</t>
  </si>
  <si>
    <t xml:space="preserve">bushell, b d</t>
  </si>
  <si>
    <t xml:space="preserve">imm10439</t>
  </si>
  <si>
    <t xml:space="preserve">Tweefontein Colliery Limited</t>
  </si>
  <si>
    <t xml:space="preserve">W. E. L. Johnston.</t>
  </si>
  <si>
    <t xml:space="preserve">johnston, w e</t>
  </si>
  <si>
    <t xml:space="preserve">colo10650</t>
  </si>
  <si>
    <t xml:space="preserve">Kramat Pulai Limited</t>
  </si>
  <si>
    <t xml:space="preserve">Local Manager B. W. Thunder, Ipoh, Perak, F.M.S.</t>
  </si>
  <si>
    <t xml:space="preserve">thunder</t>
  </si>
  <si>
    <t xml:space="preserve">thunder, b w</t>
  </si>
  <si>
    <t xml:space="preserve">imm8224</t>
  </si>
  <si>
    <t xml:space="preserve">Northern Nigeria Trust Limited</t>
  </si>
  <si>
    <t xml:space="preserve">Sir R. A. Hampson, J.P., Consulting EnginCehearir maCn.. H. C. Godfray. G. T. Harris. H. White. G. Lush. | Manager-A. R. Canning.</t>
  </si>
  <si>
    <t xml:space="preserve">canning, a r</t>
  </si>
  <si>
    <t xml:space="preserve">imm6296</t>
  </si>
  <si>
    <t xml:space="preserve">Russo Asiatic Consolidated Limited</t>
  </si>
  <si>
    <t xml:space="preserve">. J. C. Scott, Chairman.</t>
  </si>
  <si>
    <t xml:space="preserve">scott, j c</t>
  </si>
  <si>
    <t xml:space="preserve">ama7511</t>
  </si>
  <si>
    <t xml:space="preserve">Victory Charcotmerpasny Tolivmviteerds Gold Mining</t>
  </si>
  <si>
    <t xml:space="preserve">London Board W. C. Gould ; H. T. Mortlock. Mine Manager T. L. Titley, Charters Towers, Queensland. Local Agents in Charters Towers E. D. Miles &amp; Co., Ltd., Mosman Street. Secretary and Head Offices C. P. Smith, Perpetual Trustee Chambers, 33-39, Hunter</t>
  </si>
  <si>
    <t xml:space="preserve">titley, t l</t>
  </si>
  <si>
    <t xml:space="preserve">imm7579</t>
  </si>
  <si>
    <t xml:space="preserve">Village Deep Limited</t>
  </si>
  <si>
    <t xml:space="preserve">London Committee F. J. Dormer; R. R. Hollins; T. J. Milner; L. Wagner. Consulting Engineer H. S. Martin. Mine Manager J. Whitehouse, Box 1145, Johannesburg.</t>
  </si>
  <si>
    <t xml:space="preserve">martin, h s</t>
  </si>
  <si>
    <t xml:space="preserve">imm5746</t>
  </si>
  <si>
    <t xml:space="preserve">Afrikander Proprietary Gold Mines Limited</t>
  </si>
  <si>
    <t xml:space="preserve">R. Niven. I E. H. Read. I Major 11. A. Rogers.</t>
  </si>
  <si>
    <t xml:space="preserve">read, e h</t>
  </si>
  <si>
    <t xml:space="preserve">imm8108</t>
  </si>
  <si>
    <t xml:space="preserve">Andrew Knowles And Sons Limited</t>
  </si>
  <si>
    <t xml:space="preserve">. E. F. Melly, J.I . J. F. Newall.</t>
  </si>
  <si>
    <t xml:space="preserve">melly, e f</t>
  </si>
  <si>
    <t xml:space="preserve">imm4850</t>
  </si>
  <si>
    <t xml:space="preserve">Charterland Goldfields Limited</t>
  </si>
  <si>
    <t xml:space="preserve">J. E. H. Lomas.</t>
  </si>
  <si>
    <t xml:space="preserve">lomas, j e</t>
  </si>
  <si>
    <t xml:space="preserve">Dolcoatfl Mine Limited</t>
  </si>
  <si>
    <t xml:space="preserve">H. C. Godfrey. I J. M. Holman, J-.P. I F. A. Robinson. | F. W. Thomas.</t>
  </si>
  <si>
    <t xml:space="preserve">cornwall</t>
  </si>
  <si>
    <t xml:space="preserve">robinson, f a</t>
  </si>
  <si>
    <t xml:space="preserve">30mit21284</t>
  </si>
  <si>
    <t xml:space="preserve">Kampong Kamuntidng Tin Dredging Limited</t>
  </si>
  <si>
    <t xml:space="preserve">A. W. Freeman, Managing. Consulting Engineer J. S. Henry. Castlemaine. Victoria.</t>
  </si>
  <si>
    <t xml:space="preserve">freeman, a w</t>
  </si>
  <si>
    <t xml:space="preserve">Kolar Mines Power Station Limited</t>
  </si>
  <si>
    <t xml:space="preserve">Chief Electrical Engineer F. M. Nicholl.</t>
  </si>
  <si>
    <t xml:space="preserve">nicholl, f m</t>
  </si>
  <si>
    <t xml:space="preserve">Andrada Proprietary Mines</t>
  </si>
  <si>
    <t xml:space="preserve">G. S. Fort. | Sir J. Heath, Bart, J.P. I G. E. Lomas. - Consulting Engineer S. G. Thomson.</t>
  </si>
  <si>
    <t xml:space="preserve">thomson, s g</t>
  </si>
  <si>
    <t xml:space="preserve">imm12698</t>
  </si>
  <si>
    <t xml:space="preserve">Mines Company Of America</t>
  </si>
  <si>
    <t xml:space="preserve">Col. Sir A. C. F. FitzGeorze, K.C.V.0., 0.13., Chairman. R. F. Eden. I I . W. Inwood Consulting Engineer D Am Weatherbe. I Resident Engineer C. E. Watson.</t>
  </si>
  <si>
    <t xml:space="preserve">weatherbe, d a</t>
  </si>
  <si>
    <t xml:space="preserve">imm9365</t>
  </si>
  <si>
    <t xml:space="preserve">001. A. H. Heath, J.1 . A. R. Sawyer. l E. E. Sawyer. Consulting Engineer A. R. Sawyer.</t>
  </si>
  <si>
    <t xml:space="preserve">New Vaal River Diamond Expln Limited</t>
  </si>
  <si>
    <t xml:space="preserve">J. Van Praagh, J.P., Joint Managing. Resident Engineer J. G. Richards, A.M.I.M.E.</t>
  </si>
  <si>
    <t xml:space="preserve">richards, j g</t>
  </si>
  <si>
    <t xml:space="preserve">imm8830</t>
  </si>
  <si>
    <t xml:space="preserve">Snowdown Colliery Limited</t>
  </si>
  <si>
    <t xml:space="preserve">Collie Manager O. H. Taylor, Showdown Colliery, Nonington, Kent.</t>
  </si>
  <si>
    <t xml:space="preserve">dieu road dover</t>
  </si>
  <si>
    <t xml:space="preserve">taylor, o h</t>
  </si>
  <si>
    <t xml:space="preserve">imm7028</t>
  </si>
  <si>
    <t xml:space="preserve">South American Copper Syndicate Limited</t>
  </si>
  <si>
    <t xml:space="preserve">General Manager G. B. Butterwor th. Mine Omce Aroa, Port of Tucacas, Venezuela. Consulting Engineer C. H. Stewart. | AuditQrg Futcher, Head &amp; 00,</t>
  </si>
  <si>
    <t xml:space="preserve">venezuela</t>
  </si>
  <si>
    <t xml:space="preserve">stewart, c h</t>
  </si>
  <si>
    <t xml:space="preserve">imm10196</t>
  </si>
  <si>
    <t xml:space="preserve">Transvaal Gold Mining Estates Limited</t>
  </si>
  <si>
    <t xml:space="preserve">H. C. Boyd, Chairman. I B. T. Bourke. l S. Evans. | Sir A. Bailey, K.C.M.G.</t>
  </si>
  <si>
    <t xml:space="preserve">Yorkshire Iron And Coal Limited</t>
  </si>
  <si>
    <t xml:space="preserve">F. H. Booth, J.P., M.P., Chairman. G. M. Ritchie, Deputy Chairman. I J. L. Booth.</t>
  </si>
  <si>
    <t xml:space="preserve">booth, f h</t>
  </si>
  <si>
    <t xml:space="preserve">aime11013</t>
  </si>
  <si>
    <t xml:space="preserve">Yuanimi Gold Mines</t>
  </si>
  <si>
    <t xml:space="preserve">Mme Manager L. B. Williams. | .Bankers- Coutts &amp; Co. Auditors Monkhouse, Stoneham &amp; Go. I Solicitors Birkbeck, Yeo 8t 00. Secretary and. Oflices G. G. Hay, 1, London Wall Buildings, E.C. 2. Telegrams: Golthay. London. Codes: Broomhall, Sac. Phone: 8700 Wall.</t>
  </si>
  <si>
    <t xml:space="preserve">williams, l b</t>
  </si>
  <si>
    <t xml:space="preserve">imm8287</t>
  </si>
  <si>
    <t xml:space="preserve">ASHANTI GOLDFIELDS CORPORATION, LTD. Directors Qualification, £500 . Earl of Bessborough, K.P., C.V.O., C.B., Chairman. I J. Colman, J.P. G. L. Johnston. | C. W. Mann. Consulting Engineer W. R. Feldtmann, M.Inst.M.M., 457, Salisbury House, EC. 2. Mines Manager-J. S. Watkins, M.Inst.M.M., Obuasi, Ashanti, Gold Coast Colony. Secretary and Ofl 1ces H. Morgan, 6, Southampton Street, Holborn, W.G. 1.</t>
  </si>
  <si>
    <t xml:space="preserve">feldtmann, w r</t>
  </si>
  <si>
    <t xml:space="preserve">imm7839</t>
  </si>
  <si>
    <t xml:space="preserve">Consolidated Mining Smelting Canada Limited</t>
  </si>
  <si>
    <t xml:space="preserve">Directors. W. D. Matthews, President. I G. Sumner, Vice-Presiiiellf. I H. Joseph. I J.C- Hodgsom</t>
  </si>
  <si>
    <t xml:space="preserve">matthews, w d</t>
  </si>
  <si>
    <t xml:space="preserve">colo11857</t>
  </si>
  <si>
    <t xml:space="preserve">Fanti Consolidated Mines Limited</t>
  </si>
  <si>
    <t xml:space="preserve">E. Davis. M anaging. Consulting Engineers Consnliflared Goldfields of South Africa, Ltd. Superintending Engineer S. H. Ford. Secretary and Omces J. Coltman, 19, St. Swithin s Lane, E.C. 4.</t>
  </si>
  <si>
    <t xml:space="preserve">ford, s h</t>
  </si>
  <si>
    <t xml:space="preserve">imm7847</t>
  </si>
  <si>
    <t xml:space="preserve">Glencairn Main Reef Gold Mining</t>
  </si>
  <si>
    <t xml:space="preserve">W. Bailey. I W. J. Benson, C.B.E. I T. Honey.</t>
  </si>
  <si>
    <t xml:space="preserve">benson, w j</t>
  </si>
  <si>
    <t xml:space="preserve">imm5161</t>
  </si>
  <si>
    <t xml:space="preserve">Scottish Australian Mining Company</t>
  </si>
  <si>
    <t xml:space="preserve">Sub-Manager R. G. Robinson. Colliery M. anager F. H. L. roudace, Lambton and Burword Collieries, near</t>
  </si>
  <si>
    <t xml:space="preserve">robinson, r g</t>
  </si>
  <si>
    <t xml:space="preserve">imm4951</t>
  </si>
  <si>
    <t xml:space="preserve">Shotts Iron Company Limited</t>
  </si>
  <si>
    <t xml:space="preserve">G. Carlow, J.P., Chciman. I W. H. Murray, W.S. I D. Rankine. I W. M. Miller.</t>
  </si>
  <si>
    <t xml:space="preserve">castle street edinburgh</t>
  </si>
  <si>
    <t xml:space="preserve">murray, w h</t>
  </si>
  <si>
    <t xml:space="preserve">ama6128</t>
  </si>
  <si>
    <t xml:space="preserve">Uspsasvskyv Copper Mine Ttd</t>
  </si>
  <si>
    <t xml:space="preserve">M ine Manager B. D. Bushell, Sprmgs, Transvaal.</t>
  </si>
  <si>
    <t xml:space="preserve">West Rand Consolidated Mines Limited</t>
  </si>
  <si>
    <t xml:space="preserve">L. Albu, Chairman. I J. Freudenthal. I J. Friedlander. I C. S. Goldman. J. Kitchin.</t>
  </si>
  <si>
    <t xml:space="preserve">gold, c s</t>
  </si>
  <si>
    <t xml:space="preserve">Alaska Mexican Gold Mining</t>
  </si>
  <si>
    <t xml:space="preserve">F. W. Bradley, President d Consulting Engineer. I A. B. Davis, Vice-President.</t>
  </si>
  <si>
    <t xml:space="preserve">alaska</t>
  </si>
  <si>
    <t xml:space="preserve">davis, a b</t>
  </si>
  <si>
    <t xml:space="preserve">imm5317</t>
  </si>
  <si>
    <t xml:space="preserve">Broken Hill South Silver Company</t>
  </si>
  <si>
    <t xml:space="preserve">Capt. J. E. Rogerson, D.L., Chairman. I Viscount Furness, Deputy-Chairman</t>
  </si>
  <si>
    <t xml:space="preserve">rogerson, j e</t>
  </si>
  <si>
    <t xml:space="preserve">aime101685</t>
  </si>
  <si>
    <t xml:space="preserve">Buffalo Mines Limited</t>
  </si>
  <si>
    <t xml:space="preserve">BUFFALO INES, LTD. J. Directors. P. Watson, President. | W. R. P. Parker, Vice-President.</t>
  </si>
  <si>
    <t xml:space="preserve">buffalo</t>
  </si>
  <si>
    <t xml:space="preserve">parker, w r</t>
  </si>
  <si>
    <t xml:space="preserve">03mit2099</t>
  </si>
  <si>
    <t xml:space="preserve">Davis Sons Limited Ddei Hqei</t>
  </si>
  <si>
    <t xml:space="preserve">Major F. 8. Cartwright. | L. F. Davis. | D. Hannah, J.P. 1 Sir L. W. Llewelyn, K.B.E.</t>
  </si>
  <si>
    <t xml:space="preserve">davis, l f</t>
  </si>
  <si>
    <t xml:space="preserve">aime28543</t>
  </si>
  <si>
    <t xml:space="preserve">Dome Mines Limited</t>
  </si>
  <si>
    <t xml:space="preserve">General Superintendent H. P. de Peneisr. General Manager C. D. Kaeding. I Mine Oflloe South Porcupine, Ontario, Canada. Mill Su erintendent-C. W. Dowsett. New ork Oflice fl, Broadway. Secretary and Head Omces A. Fasken, 36, Toronto Street, Toronto, Canada.</t>
  </si>
  <si>
    <t xml:space="preserve">porcupine</t>
  </si>
  <si>
    <t xml:space="preserve">kaeding, c d</t>
  </si>
  <si>
    <t xml:space="preserve">imm8625</t>
  </si>
  <si>
    <t xml:space="preserve">East African Lands Revelopment Limited</t>
  </si>
  <si>
    <t xml:space="preserve">W. E. Thomas, and to acquire and deal with mining properties.</t>
  </si>
  <si>
    <t xml:space="preserve">bengal</t>
  </si>
  <si>
    <t xml:space="preserve">thomas, w e</t>
  </si>
  <si>
    <t xml:space="preserve">india</t>
  </si>
  <si>
    <t xml:space="preserve">imm11090</t>
  </si>
  <si>
    <t xml:space="preserve">Hearreira Delvelopment Oil</t>
  </si>
  <si>
    <t xml:space="preserve">Sir E. A. Wallers, K.B.E.</t>
  </si>
  <si>
    <t xml:space="preserve">Fife Coal Company Limited</t>
  </si>
  <si>
    <t xml:space="preserve">A. D. Smith-Sligo. | J. S. Stenhouse, J.P. | C. A. Carlow, Joint Managing.</t>
  </si>
  <si>
    <t xml:space="preserve">carlow, c a</t>
  </si>
  <si>
    <t xml:space="preserve">imm5240</t>
  </si>
  <si>
    <t xml:space="preserve">Consulting Engineer W. L. White.</t>
  </si>
  <si>
    <t xml:space="preserve">white, w l</t>
  </si>
  <si>
    <t xml:space="preserve">imm7136</t>
  </si>
  <si>
    <t xml:space="preserve">Gold Fields American Development Limited</t>
  </si>
  <si>
    <t xml:space="preserve">Consulting Engineer A. F. Keene. Advisory Committee in America J. McDonnell; Baron A. de Ropp; A. F. Keene.</t>
  </si>
  <si>
    <t xml:space="preserve">new york</t>
  </si>
  <si>
    <t xml:space="preserve">keene, a f</t>
  </si>
  <si>
    <t xml:space="preserve">umn</t>
  </si>
  <si>
    <t xml:space="preserve">umn834</t>
  </si>
  <si>
    <t xml:space="preserve">Grootvle Proprietary Mines</t>
  </si>
  <si>
    <t xml:space="preserve">Consulting Engineer C. B. Kingston.</t>
  </si>
  <si>
    <t xml:space="preserve">Kamunting Tin Dredging Limited</t>
  </si>
  <si>
    <t xml:space="preserve">Genera Manager R. L. Naish. I Local A ants Sims, Darl &amp; 00., Ltd., Penang.</t>
  </si>
  <si>
    <t xml:space="preserve">naish, r l</t>
  </si>
  <si>
    <t xml:space="preserve">imm12475</t>
  </si>
  <si>
    <t xml:space="preserve">Kirkland Lake Proprietary Limited</t>
  </si>
  <si>
    <t xml:space="preserve">G. R. Bonnard, Chairman. I C. R. E. .Torgensen. I Gen. Sir B. Blood, G.C.B.</t>
  </si>
  <si>
    <t xml:space="preserve">kirkland</t>
  </si>
  <si>
    <t xml:space="preserve">blood, g s</t>
  </si>
  <si>
    <t xml:space="preserve">bachelor of science</t>
  </si>
  <si>
    <t xml:space="preserve">aime10204</t>
  </si>
  <si>
    <t xml:space="preserve">Millom And Askam Hematite Iron</t>
  </si>
  <si>
    <t xml:space="preserve">G. M. Ritchie, Chairman. I R. Heath, D.L., J.P., ice-Chairman. | J. Campbell. | F. Holt.</t>
  </si>
  <si>
    <t xml:space="preserve">cumberland</t>
  </si>
  <si>
    <t xml:space="preserve">ritchie, g m</t>
  </si>
  <si>
    <t xml:space="preserve">Modderfontein Gold Mining Company Limited</t>
  </si>
  <si>
    <t xml:space="preserve">E. J. Hess. I 0. l . Pott. I D. Portell. Consulting Engineer P. M. Anderson. I Manager H. R. Hill.</t>
  </si>
  <si>
    <t xml:space="preserve">anderson, p m</t>
  </si>
  <si>
    <t xml:space="preserve">imm8316</t>
  </si>
  <si>
    <t xml:space="preserve">Mount Elliott Limited</t>
  </si>
  <si>
    <t xml:space="preserve">General Representative and Consulting Engineer W. H. Corbould.</t>
  </si>
  <si>
    <t xml:space="preserve">corbould, w h</t>
  </si>
  <si>
    <t xml:space="preserve">imm2783</t>
  </si>
  <si>
    <t xml:space="preserve">W. H. Clark. I F. W. Grookshank. I J. K. Edward.</t>
  </si>
  <si>
    <t xml:space="preserve">Obbuassi Mines Limited</t>
  </si>
  <si>
    <t xml:space="preserve">I . H. Quinlan. Chairman. I W. A. Thornton. | H. W- Hall.</t>
  </si>
  <si>
    <t xml:space="preserve">hall, h w</t>
  </si>
  <si>
    <t xml:space="preserve">30mit20941</t>
  </si>
  <si>
    <t xml:space="preserve">Potchefstroom Exploration And Estate Company</t>
  </si>
  <si>
    <t xml:space="preserve">R. Goldmann, Chairman. I J. A. Cohen. | A. G. Gill. I G. Sonn,</t>
  </si>
  <si>
    <t xml:space="preserve">cohen, j a</t>
  </si>
  <si>
    <t xml:space="preserve">imm6331</t>
  </si>
  <si>
    <t xml:space="preserve">Rand Mines Deep Limited</t>
  </si>
  <si>
    <t xml:space="preserve">E. G. Izod, M.B.E., Managing.</t>
  </si>
  <si>
    <t xml:space="preserve">izod, e g</t>
  </si>
  <si>
    <t xml:space="preserve">imm8591</t>
  </si>
  <si>
    <t xml:space="preserve">Rezende Mines Limited</t>
  </si>
  <si>
    <t xml:space="preserve">Capt. J. P. Farrar, D.S.0. l L. E. B. Homsn. | Sir E. M. Clarke.</t>
  </si>
  <si>
    <t xml:space="preserve">clarke, e m</t>
  </si>
  <si>
    <t xml:space="preserve">imm2758</t>
  </si>
  <si>
    <t xml:space="preserve">Simmer Deep Limited</t>
  </si>
  <si>
    <t xml:space="preserve">D. Christopherson, C.B.E., Chairman. Lt.-Col. F. L. Brown, 13.8.0. I C. Hely Hutchinsou,M.C.</t>
  </si>
  <si>
    <t xml:space="preserve">brown, f l</t>
  </si>
  <si>
    <t xml:space="preserve">imm8385</t>
  </si>
  <si>
    <t xml:space="preserve">Sons Gwalia Limited</t>
  </si>
  <si>
    <t xml:space="preserve">E. A. Loving. | W. A. Macleod, Managing.</t>
  </si>
  <si>
    <t xml:space="preserve">macleod, w a</t>
  </si>
  <si>
    <t xml:space="preserve">imm760</t>
  </si>
  <si>
    <t xml:space="preserve">Utah Consolidated Mining Company</t>
  </si>
  <si>
    <t xml:space="preserve">H. H. Anthony. I J. W. Allen. I S. Chase. I M. Woodhull.</t>
  </si>
  <si>
    <t xml:space="preserve">allen, j w</t>
  </si>
  <si>
    <t xml:space="preserve">30mit9367</t>
  </si>
  <si>
    <t xml:space="preserve">Walter Scott Limited</t>
  </si>
  <si>
    <t xml:space="preserve">G. Linklater. | Capt. C. T. Scott. I Liout.-Col. F. R. Sim son. I J. B. Simpson, l .C.L., J.P.</t>
  </si>
  <si>
    <t xml:space="preserve">scott, c t</t>
  </si>
  <si>
    <t xml:space="preserve">colo14240</t>
  </si>
  <si>
    <t xml:space="preserve">West Springs Limited Nholl</t>
  </si>
  <si>
    <t xml:space="preserve">W. L. Honnold. | F. R. Lynch.</t>
  </si>
  <si>
    <t xml:space="preserve">lynch, f r</t>
  </si>
  <si>
    <t xml:space="preserve">imm2008</t>
  </si>
  <si>
    <t xml:space="preserve">. L. Booth, Chairman. 1 G. M. Ritchie, Deputy Chairman. I F. H. Booth, J.P. . H. Ellison, jun.</t>
  </si>
  <si>
    <t xml:space="preserve">American Trona Corpn</t>
  </si>
  <si>
    <t xml:space="preserve">R. V. White. T. E. Wing. Consulting Chemical Engineer J. E. Teeple. Secretary and Oflices A. C. Harragin, 238, Broadway, New York, U.E .A.</t>
  </si>
  <si>
    <t xml:space="preserve">teeple, j e</t>
  </si>
  <si>
    <t xml:space="preserve">Chislet Colliery Limited</t>
  </si>
  <si>
    <t xml:space="preserve">Manager A. G. Brown. Secretary and Offices F. W. Ellis, 11-12, Pall Mall, S.W. 1.</t>
  </si>
  <si>
    <t xml:space="preserve">brown, a g</t>
  </si>
  <si>
    <t xml:space="preserve">imm11285</t>
  </si>
  <si>
    <t xml:space="preserve">Davis And Sons Limited</t>
  </si>
  <si>
    <t xml:space="preserve">Sir L. W. Llewelyn, K.B.E. I D. R Llewellyn.</t>
  </si>
  <si>
    <t xml:space="preserve">lewelyn, l w</t>
  </si>
  <si>
    <t xml:space="preserve">imm4805</t>
  </si>
  <si>
    <t xml:space="preserve">Gatra Mining Limited</t>
  </si>
  <si>
    <t xml:space="preserve">H. Newhouse, Chairman. I 0. Davies. I I. Lewis. | F. R. Lynch. | A. F. Mullins.</t>
  </si>
  <si>
    <t xml:space="preserve">newhouse</t>
  </si>
  <si>
    <t xml:space="preserve">Lake View Investment Rust Limited</t>
  </si>
  <si>
    <t xml:space="preserve">General Mgalnagers m W.A. Bewick, Moreing A: 0. Mine Manager H. E. Vail, Fimiston, W.A.</t>
  </si>
  <si>
    <t xml:space="preserve">vail, h e</t>
  </si>
  <si>
    <t xml:space="preserve">imm3390</t>
  </si>
  <si>
    <t xml:space="preserve">Lucky Tiger Combination Gold Mining</t>
  </si>
  <si>
    <t xml:space="preserve">General Manager L. R. Budrow, Douglas, Arizona. Mine Manager R. I . Mishler, Esqueda, Sanora, Mexicc.</t>
  </si>
  <si>
    <t xml:space="preserve">arizona</t>
  </si>
  <si>
    <t xml:space="preserve">budrow, l r</t>
  </si>
  <si>
    <t xml:space="preserve">imm8984</t>
  </si>
  <si>
    <t xml:space="preserve">W. J. Payne.</t>
  </si>
  <si>
    <t xml:space="preserve">payne, w j</t>
  </si>
  <si>
    <t xml:space="preserve">aime92188</t>
  </si>
  <si>
    <t xml:space="preserve">Mexico Mines Oro Limited</t>
  </si>
  <si>
    <t xml:space="preserve">Gonsulting Engineer C. R. Pinder, M.1nst.M.M, Assistant Manager J. Vincent. l Mine Ofice El Oro, Mexico. Paris Secretary and Oflices E. Heisch, 18, Rue Chauveau-Lngarde. Secretary and Oflioes H. Porter, 2, St. Helen s Place, E.C. 3.</t>
  </si>
  <si>
    <t xml:space="preserve">pinder, c r</t>
  </si>
  <si>
    <t xml:space="preserve">imm921</t>
  </si>
  <si>
    <t xml:space="preserve">Mineral Properties Syndicate Limited</t>
  </si>
  <si>
    <t xml:space="preserve">Beddent Engineer K. W. M. Middleton. Secretary and Omces H. R. Green, 4, Broad Street Place, E.O. 2.</t>
  </si>
  <si>
    <t xml:space="preserve">middleton, k w</t>
  </si>
  <si>
    <t xml:space="preserve">imm8726</t>
  </si>
  <si>
    <t xml:space="preserve">New Primrose Gold Mining Limited</t>
  </si>
  <si>
    <t xml:space="preserve">.. Metallurgist H. A. B. Leipner. Local Secretary and Offices F. W Robinson, Reefton, Ne Zealand. Acting Secretary and Oflices O. M. Panton, Finsh ry House, Bimihcld Street, E.C.</t>
  </si>
  <si>
    <t xml:space="preserve">metallurgist</t>
  </si>
  <si>
    <t xml:space="preserve">leipner, h a</t>
  </si>
  <si>
    <t xml:space="preserve">imm4094</t>
  </si>
  <si>
    <t xml:space="preserve">Robinsobi Gold Mining Limited</t>
  </si>
  <si>
    <t xml:space="preserve">Box 145, Johannesburg. Mine Manager G. H. Smith. Secretaries and Ofi068-hand Mines, Ltd., The Corner House.Box 1145, Johannesburg.</t>
  </si>
  <si>
    <t xml:space="preserve">smith, g h</t>
  </si>
  <si>
    <t xml:space="preserve">imm1072</t>
  </si>
  <si>
    <t xml:space="preserve">Tomboy Gold Mines Company Limited</t>
  </si>
  <si>
    <t xml:space="preserve">General Manager N. S. Kelsey.</t>
  </si>
  <si>
    <t xml:space="preserve">kelsey, n s</t>
  </si>
  <si>
    <t xml:space="preserve">imm10753</t>
  </si>
  <si>
    <t xml:space="preserve">United Tin Syndicate Limited</t>
  </si>
  <si>
    <t xml:space="preserve">S. J. Jennings, Vice-President in Charge of Exploration and Mining Investment.</t>
  </si>
  <si>
    <t xml:space="preserve">winslow</t>
  </si>
  <si>
    <t xml:space="preserve">jennings, s j</t>
  </si>
  <si>
    <t xml:space="preserve">Westport Coal Company Limited</t>
  </si>
  <si>
    <t xml:space="preserve">E. O. Hazlett. l J. C. McGeorge. l 0. Morris. | W. D. Stewart. Engines: s L. D. McGeovze and E. Gillnw. General Manager W. A. Flavell.</t>
  </si>
  <si>
    <t xml:space="preserve">flavell, w a</t>
  </si>
  <si>
    <t xml:space="preserve">imm10568</t>
  </si>
  <si>
    <t xml:space="preserve">Yarde Kerrl Mines Limited</t>
  </si>
  <si>
    <t xml:space="preserve">Mine Manager A. J. Laird, M.Inst.M.E. Secretary and Omoes F. .7. Wheeler 24. Coleman Street, E.C. 2.</t>
  </si>
  <si>
    <t xml:space="preserve">coleman</t>
  </si>
  <si>
    <t xml:space="preserve">laird, a j</t>
  </si>
  <si>
    <t xml:space="preserve">imm10778</t>
  </si>
  <si>
    <t xml:space="preserve">F. H. Booth, J.P.</t>
  </si>
  <si>
    <t xml:space="preserve">Etna Colliery Company Limited</t>
  </si>
  <si>
    <t xml:space="preserve">R. T. Bayliss, Chairman and Managing. | J. R. Maguire. I J. E. D. Ryder.</t>
  </si>
  <si>
    <t xml:space="preserve">bayliss, r t</t>
  </si>
  <si>
    <t xml:space="preserve">aime6840</t>
  </si>
  <si>
    <t xml:space="preserve">French Iron Ore Limited</t>
  </si>
  <si>
    <t xml:space="preserve">F. A. E. Samuelson. I E. Steer, 0.11.. J.P. l 13. Talbot, JP. | W. Thorneycroft.</t>
  </si>
  <si>
    <t xml:space="preserve">samuelson, f a</t>
  </si>
  <si>
    <t xml:space="preserve">Gold Field Rhodesian Development Limited</t>
  </si>
  <si>
    <t xml:space="preserve">Consulting Engineer C. E. Parsons.</t>
  </si>
  <si>
    <t xml:space="preserve">parsons, c e</t>
  </si>
  <si>
    <t xml:space="preserve">imm8785</t>
  </si>
  <si>
    <t xml:space="preserve">Johannesburg Consolidated Investment Company</t>
  </si>
  <si>
    <t xml:space="preserve">Directors Qualification, 250 shares . S. B. Joel, J.P., Permanent Chairman. I J. E Evans, C.M.G. J. Friedlander. I J. 13. Joel, J.P.</t>
  </si>
  <si>
    <t xml:space="preserve">evans, j e</t>
  </si>
  <si>
    <t xml:space="preserve">aime35790</t>
  </si>
  <si>
    <t xml:space="preserve">Kamunlng Peak Rubber And Tin</t>
  </si>
  <si>
    <t xml:space="preserve">Manager P. J R. Waugh. | Mining Engineers Osborne a Chappel. Agents and Secretaries and Oflices Guthrie &amp; 00., Ltd., 5, Whittington Avenue, E.C. 3.</t>
  </si>
  <si>
    <t xml:space="preserve">waugh, p j</t>
  </si>
  <si>
    <t xml:space="preserve">imm11928</t>
  </si>
  <si>
    <t xml:space="preserve">Lake View And Star Limited</t>
  </si>
  <si>
    <t xml:space="preserve">Mme Manager H. E. Vail, FimibtOD, W.A.</t>
  </si>
  <si>
    <t xml:space="preserve">Llwyn Llafrod Anthracite Collieries Limited</t>
  </si>
  <si>
    <t xml:space="preserve">T. A. Morgan.</t>
  </si>
  <si>
    <t xml:space="preserve">morgan, t a</t>
  </si>
  <si>
    <t xml:space="preserve">imm2121</t>
  </si>
  <si>
    <t xml:space="preserve">Lonely Reef Gold Mining Co Limited</t>
  </si>
  <si>
    <t xml:space="preserve">Mine Manager B. W. Durham. I Mine Oflice Loneiy P.0., Rhodesia. Secretary and Ofllces A. D. Owen, Stafford House, King William Street, E.C. 4.</t>
  </si>
  <si>
    <t xml:space="preserve">durham</t>
  </si>
  <si>
    <t xml:space="preserve">durham, b w</t>
  </si>
  <si>
    <t xml:space="preserve">imm10548</t>
  </si>
  <si>
    <t xml:space="preserve">Malayan Chamber Mines</t>
  </si>
  <si>
    <t xml:space="preserve">Directors Qualification, �250 . Sir E. W. Birch, K.C.M.G., Chairman. I S. H. B. Blandy. | Wv J. Payne. | C. V. Stephens Consulting Engineers F. W. &amp; R. Payne, 62, London Wall, 11.0. 2.</t>
  </si>
  <si>
    <t xml:space="preserve">Mashqnaland Consolidated Limited</t>
  </si>
  <si>
    <t xml:space="preserve">H. L. Stokes, Chairman and Managing . 1 Sir E. H. Dunning.</t>
  </si>
  <si>
    <t xml:space="preserve">Nundydroog Mines Limited</t>
  </si>
  <si>
    <t xml:space="preserve">Major-Gen. S. C. J. de Lothiniere, C.B., 0.8.1., 0.1 E. I H. J. Taylor.</t>
  </si>
  <si>
    <t xml:space="preserve">taylor, h j</t>
  </si>
  <si>
    <t xml:space="preserve">bachelor science</t>
  </si>
  <si>
    <t xml:space="preserve">rs4593</t>
  </si>
  <si>
    <t xml:space="preserve">Ooregum Gold Mining Company</t>
  </si>
  <si>
    <t xml:space="preserve">anagers John Taylor a Sons, 5 and 6, Queen Street Place, EC. 4. Mme Superintendent H. M. A. Cooke, M.Inst.M.M., M.A.Inst.M.E.,</t>
  </si>
  <si>
    <t xml:space="preserve">queen street place</t>
  </si>
  <si>
    <t xml:space="preserve">cooke, h m</t>
  </si>
  <si>
    <t xml:space="preserve">imm2779</t>
  </si>
  <si>
    <t xml:space="preserve">Selukwe Gold Mining Company Limited</t>
  </si>
  <si>
    <t xml:space="preserve">A. H. Collbran.</t>
  </si>
  <si>
    <t xml:space="preserve">collbran, a h</t>
  </si>
  <si>
    <t xml:space="preserve">colo1024</t>
  </si>
  <si>
    <t xml:space="preserve">Tronoh Mines Limited</t>
  </si>
  <si>
    <t xml:space="preserve">TRONOH MINES, LTD. Directors Qualification, £500 . 0. V. Thomas, Chairman. I S. H. Moore. | F. D. Osborne. | W. J. Payne.</t>
  </si>
  <si>
    <t xml:space="preserve">basinghall street e</t>
  </si>
  <si>
    <t xml:space="preserve">osborne, f d</t>
  </si>
  <si>
    <t xml:space="preserve">imm4886</t>
  </si>
  <si>
    <t xml:space="preserve">Directors F. W. Bradley, President; A. B. Dams Vice-President; F. A. Hammersmith;</t>
  </si>
  <si>
    <t xml:space="preserve">Alaska United Gold Mining Company</t>
  </si>
  <si>
    <t xml:space="preserve">Consulting En ineer P. R. Bradley. Superintendent L. H. Metsgar.</t>
  </si>
  <si>
    <t xml:space="preserve">treadwell</t>
  </si>
  <si>
    <t xml:space="preserve">metsgar, l h</t>
  </si>
  <si>
    <t xml:space="preserve">imm10863</t>
  </si>
  <si>
    <t xml:space="preserve">Manager J. W. Robinson, Sturry, near Canterbury.</t>
  </si>
  <si>
    <t xml:space="preserve">robinson, j w</t>
  </si>
  <si>
    <t xml:space="preserve">imm12593</t>
  </si>
  <si>
    <t xml:space="preserve">East Rand Gold Coal And</t>
  </si>
  <si>
    <t xml:space="preserve">Mine Manager A. G. Maclatchy, Vischkuil, Heidelberg, Transvaal.</t>
  </si>
  <si>
    <t xml:space="preserve">heidelberg</t>
  </si>
  <si>
    <t xml:space="preserve">maclatchy, a g</t>
  </si>
  <si>
    <t xml:space="preserve">germany</t>
  </si>
  <si>
    <t xml:space="preserve">imm3307</t>
  </si>
  <si>
    <t xml:space="preserve">Evans And Reid Coal</t>
  </si>
  <si>
    <t xml:space="preserve">R. T. Bayliss, Chairman and Managing. I J. R. Maguire. | J. E. D. Ryder.</t>
  </si>
  <si>
    <t xml:space="preserve">madison</t>
  </si>
  <si>
    <t xml:space="preserve">Graigola Merthyr Company Limited</t>
  </si>
  <si>
    <t xml:space="preserve">33-36, King William Street, E.C. 4. General Manager R. V. Price. | Commercial Manager G. E. Thomas. Secretary and Ofl lces D. J. Grilnths, 5, Cambrian Place, Swansea.</t>
  </si>
  <si>
    <t xml:space="preserve">thomas, g e</t>
  </si>
  <si>
    <t xml:space="preserve">imm10224</t>
  </si>
  <si>
    <t xml:space="preserve">Inspiration Consolidated Copper Company</t>
  </si>
  <si>
    <t xml:space="preserve">C. F . Kelley, Presidmf. | W. D. Thornton, Vice-President. | L. D. Ricketts, Vice-Pram</t>
  </si>
  <si>
    <t xml:space="preserve">thornton, w d</t>
  </si>
  <si>
    <t xml:space="preserve">aime117645</t>
  </si>
  <si>
    <t xml:space="preserve">Itabira Iron Ore Company Limited</t>
  </si>
  <si>
    <t xml:space="preserve">R. Grant, junr, | Sir A. E. Harris, K.B.E. I F. W. Lund. I F. A. E. Samuelson.</t>
  </si>
  <si>
    <t xml:space="preserve">brazil</t>
  </si>
  <si>
    <t xml:space="preserve">Luipaard Vlei Gold Mining Company</t>
  </si>
  <si>
    <t xml:space="preserve">General Manager H. E. Allen. Box 58, Krugersdorp. Transvaal. Johannesburg Secretary and Ofl lces H. Williams, 109-112, Consolidated Building. Secretary and Oflices W. Smith, Finsbury Pavement House, Moorgate, EC. 2.</t>
  </si>
  <si>
    <t xml:space="preserve">allen, h e</t>
  </si>
  <si>
    <t xml:space="preserve">colo5959</t>
  </si>
  <si>
    <t xml:space="preserve">W. T. Graham, LP. I R. W. Ffennell. I J. L. Siddall,</t>
  </si>
  <si>
    <t xml:space="preserve">graham, w t</t>
  </si>
  <si>
    <t xml:space="preserve">colo9382</t>
  </si>
  <si>
    <t xml:space="preserve">Powell Duffryn Steam Coal Limited</t>
  </si>
  <si>
    <t xml:space="preserve">Commercial Manager W. R. Harm, Bute Docks, Cardiff.</t>
  </si>
  <si>
    <t xml:space="preserve">harm, w r</t>
  </si>
  <si>
    <t xml:space="preserve">imm9737</t>
  </si>
  <si>
    <t xml:space="preserve">Randfontein Central Gold Mining Limited</t>
  </si>
  <si>
    <t xml:space="preserve">S. B. Joel, J.P. l W. J. Benson, 0.3.1 . I 1 . Honey. Consulting Engineer Prof. J. G. Lawn, C.B.E., M.lnst.M.M.</t>
  </si>
  <si>
    <t xml:space="preserve">Walhl Gold Mining Limited</t>
  </si>
  <si>
    <t xml:space="preserve">Underground Manager J. L. Gilmour.</t>
  </si>
  <si>
    <t xml:space="preserve">gilmour, j l</t>
  </si>
  <si>
    <t xml:space="preserve">imm8495</t>
  </si>
  <si>
    <t xml:space="preserve">Willough Consolidated Limited</t>
  </si>
  <si>
    <t xml:space="preserve">Consultin Engineer B. L. Gardiner, Box 220, Bulawayo. Secretary and flices G. R. Saunders,</t>
  </si>
  <si>
    <t xml:space="preserve">gardiner, b l</t>
  </si>
  <si>
    <t xml:space="preserve">imm10581</t>
  </si>
  <si>
    <t xml:space="preserve">J. Directors Qualification, £500 . L. Booth, Chairman. I G. M. Ritchie, Deputy Chairman. I F. H. Booth, JP.</t>
  </si>
  <si>
    <t xml:space="preserve">amm25927</t>
  </si>
  <si>
    <t xml:space="preserve">Inspiration Consolidated Copper Co. Miami. Ahd</t>
  </si>
  <si>
    <t xml:space="preserve">D. A. Welch, Butte, Montana, Purchasing Agent.</t>
  </si>
  <si>
    <t xml:space="preserve">montana </t>
  </si>
  <si>
    <t xml:space="preserve">Purchasing Agent</t>
  </si>
  <si>
    <t xml:space="preserve">welch, d a</t>
  </si>
  <si>
    <t xml:space="preserve">amm</t>
  </si>
  <si>
    <t xml:space="preserve">colo15822</t>
  </si>
  <si>
    <t xml:space="preserve">amm25938</t>
  </si>
  <si>
    <t xml:space="preserve">Anaconda Copper M. Co.</t>
  </si>
  <si>
    <t xml:space="preserve">Louis R. Wallace. Superintendent.</t>
  </si>
  <si>
    <t xml:space="preserve">Superintendent</t>
  </si>
  <si>
    <t xml:space="preserve">wallace, l r</t>
  </si>
  <si>
    <t xml:space="preserve">colo5325</t>
  </si>
  <si>
    <t xml:space="preserve">amm29326</t>
  </si>
  <si>
    <t xml:space="preserve">American Smelting &amp; Refining Co.</t>
  </si>
  <si>
    <t xml:space="preserve">(Subsidiary of American Smelting &amp; Refining Co., New York.) Operating Office, First National Building, Denver. Lincoln G. Eakins, Denver, General Mgr. Colorado Department.</t>
  </si>
  <si>
    <t xml:space="preserve">new york </t>
  </si>
  <si>
    <t xml:space="preserve">General Mgr</t>
  </si>
  <si>
    <t xml:space="preserve">eakins, l g</t>
  </si>
  <si>
    <t xml:space="preserve">imm7815</t>
  </si>
  <si>
    <t xml:space="preserve">amm32634</t>
  </si>
  <si>
    <t xml:space="preserve">Cleveland Cliffs Iron Co. Ishpeming. Ahd</t>
  </si>
  <si>
    <t xml:space="preserve">Lucien Eaton, lshpeming, Superintendent Cliffs Shaft, Imperial,</t>
  </si>
  <si>
    <t xml:space="preserve">eaton, l</t>
  </si>
  <si>
    <t xml:space="preserve">ama2753</t>
  </si>
  <si>
    <t xml:space="preserve">amm35149</t>
  </si>
  <si>
    <t xml:space="preserve">Nevada Bunker Hill Mining Co. Bullion. Lgp</t>
  </si>
  <si>
    <t xml:space="preserve">Frederick Davis, Vice-President and Manager.</t>
  </si>
  <si>
    <t xml:space="preserve">Vice</t>
  </si>
  <si>
    <t xml:space="preserve">davis, f</t>
  </si>
  <si>
    <t xml:space="preserve">ama2361</t>
  </si>
  <si>
    <t xml:space="preserve">amm37013</t>
  </si>
  <si>
    <t xml:space="preserve">Ofer Gold Mining Co. Deadwood. Fgp</t>
  </si>
  <si>
    <t xml:space="preserve">W. S. Elder, General Manager.</t>
  </si>
  <si>
    <t xml:space="preserve">General Manager</t>
  </si>
  <si>
    <t xml:space="preserve">elder, w s</t>
  </si>
  <si>
    <t xml:space="preserve">ama2807</t>
  </si>
  <si>
    <t xml:space="preserve">amm39868</t>
  </si>
  <si>
    <t xml:space="preserve">Peterson Lake Silver Cobalt Mining Co. Cobalt. Chd</t>
  </si>
  <si>
    <t xml:space="preserve">Robert B. Lamb, Traders Bank Bdg., Toronto, Consulting Engineer.</t>
  </si>
  <si>
    <t xml:space="preserve">toronto </t>
  </si>
  <si>
    <t xml:space="preserve">Consulting Engineer</t>
  </si>
  <si>
    <t xml:space="preserve">lamb, r b</t>
  </si>
  <si>
    <t xml:space="preserve">ama4935</t>
  </si>
  <si>
    <t xml:space="preserve">amm49271</t>
  </si>
  <si>
    <t xml:space="preserve">Granby Consolidated Mining Smelting &amp; Power Co. Limited Vancouver. Ahd</t>
  </si>
  <si>
    <t xml:space="preserve">Edward Everett, Secretary; George W. Wooster, Treasurer.</t>
  </si>
  <si>
    <t xml:space="preserve">everett </t>
  </si>
  <si>
    <t xml:space="preserve">Secretary</t>
  </si>
  <si>
    <t xml:space="preserve">everett, e</t>
  </si>
  <si>
    <t xml:space="preserve">ama2933</t>
  </si>
  <si>
    <t xml:space="preserve">amm49491</t>
  </si>
  <si>
    <t xml:space="preserve">Placer Gold Mines Co. Atlin. Fgp</t>
  </si>
  <si>
    <t xml:space="preserve">Charles F. Leonard, Superintendent.</t>
  </si>
  <si>
    <t xml:space="preserve">leonard, c f</t>
  </si>
  <si>
    <t xml:space="preserve">wo2179</t>
  </si>
  <si>
    <t xml:space="preserve">amm50746</t>
  </si>
  <si>
    <t xml:space="preserve">Nicoya Mining Co. San Jose</t>
  </si>
  <si>
    <t xml:space="preserve">Frank H. Sistermans, San Jose, General Manager.</t>
  </si>
  <si>
    <t xml:space="preserve">sistermans, f h</t>
  </si>
  <si>
    <t xml:space="preserve">ama7728</t>
  </si>
  <si>
    <t xml:space="preserve">amm50914</t>
  </si>
  <si>
    <t xml:space="preserve">Davison Sulphur &amp; Phosphate Co. Cumanayagua Ch</t>
  </si>
  <si>
    <t xml:space="preserve">Edwin C. Holden, Baltimore, General Manager.</t>
  </si>
  <si>
    <t xml:space="preserve">baltimore </t>
  </si>
  <si>
    <t xml:space="preserve">holden, e c</t>
  </si>
  <si>
    <t xml:space="preserve">csm1353</t>
  </si>
  <si>
    <t xml:space="preserve">amm50915</t>
  </si>
  <si>
    <t xml:space="preserve">Chester A. Fulton, Cumanayaga, Manager.</t>
  </si>
  <si>
    <t xml:space="preserve">Manager</t>
  </si>
  <si>
    <t xml:space="preserve">fulton, c a</t>
  </si>
  <si>
    <t xml:space="preserve">csm1943</t>
  </si>
  <si>
    <t xml:space="preserve">amm54169</t>
  </si>
  <si>
    <t xml:space="preserve">Amparo Mining Co. Etzatlan. Dhd</t>
  </si>
  <si>
    <t xml:space="preserve">James H. Howard, E. M., Etzatlan, General Manager.</t>
  </si>
  <si>
    <t xml:space="preserve">howard, j h</t>
  </si>
  <si>
    <t xml:space="preserve">aime57203</t>
  </si>
  <si>
    <t xml:space="preserve">amm55106</t>
  </si>
  <si>
    <t xml:space="preserve">Subsidiary Of Braden Copper Mines Co. Equitable Bldg. New York.</t>
  </si>
  <si>
    <t xml:space="preserve">Stephen Birch, New York, Vice President.</t>
  </si>
  <si>
    <t xml:space="preserve">birch, s</t>
  </si>
  <si>
    <t xml:space="preserve">ama897</t>
  </si>
  <si>
    <t xml:space="preserve">amm56807</t>
  </si>
  <si>
    <t xml:space="preserve">Arizona Commercial Mining Co. Globe. Dhd</t>
  </si>
  <si>
    <t xml:space="preserve">Harold C. Plummer, Globe, Arizona, Superintendent.</t>
  </si>
  <si>
    <t xml:space="preserve">arizona </t>
  </si>
  <si>
    <t xml:space="preserve">plummer, h c</t>
  </si>
  <si>
    <t xml:space="preserve">mitg18192</t>
  </si>
  <si>
    <t xml:space="preserve">amm56811</t>
  </si>
  <si>
    <t xml:space="preserve">A. W. Davis, Prescott, Arizona, President.</t>
  </si>
  <si>
    <t xml:space="preserve">Pres</t>
  </si>
  <si>
    <t xml:space="preserve">davis, a w</t>
  </si>
  <si>
    <t xml:space="preserve">imm6363</t>
  </si>
  <si>
    <t xml:space="preserve">amm56860</t>
  </si>
  <si>
    <t xml:space="preserve">Ccontrolled By Ray Hercules Copper Co. Broad St. New York.</t>
  </si>
  <si>
    <t xml:space="preserve">Frank C. Armstrong, President: W. P. Maloney, Secretary.</t>
  </si>
  <si>
    <t xml:space="preserve">armstrong, f c</t>
  </si>
  <si>
    <t xml:space="preserve">ama479</t>
  </si>
  <si>
    <t xml:space="preserve">amm59087</t>
  </si>
  <si>
    <t xml:space="preserve">Mason Valley Mines Co.</t>
  </si>
  <si>
    <t xml:space="preserve">F. W. Guernsey, Thompson. Nevada. General Manager.</t>
  </si>
  <si>
    <t xml:space="preserve">nevada </t>
  </si>
  <si>
    <t xml:space="preserve">guernsey, f w</t>
  </si>
  <si>
    <t xml:space="preserve">aime47872</t>
  </si>
  <si>
    <t xml:space="preserve">amm59960</t>
  </si>
  <si>
    <t xml:space="preserve">Solvay Process Co. Borosolvay. Ahd</t>
  </si>
  <si>
    <t xml:space="preserve">E. L. Pierce. Syracuse, N. Y., Pres.; L. Khrumbhoar, Secretary.</t>
  </si>
  <si>
    <t xml:space="preserve">syracuse </t>
  </si>
  <si>
    <t xml:space="preserve">pierce, e l</t>
  </si>
  <si>
    <t xml:space="preserve">03mit428</t>
  </si>
  <si>
    <t xml:space="preserve">amm61606</t>
  </si>
  <si>
    <t xml:space="preserve">Portland Gold Mining Co. Victor. Ahd</t>
  </si>
  <si>
    <t xml:space="preserve">George M. Taylor, Colorado Springs, General Manager.</t>
  </si>
  <si>
    <t xml:space="preserve">colorado </t>
  </si>
  <si>
    <t xml:space="preserve">taylor, g m</t>
  </si>
  <si>
    <t xml:space="preserve">aime115923</t>
  </si>
  <si>
    <t xml:space="preserve">amm65406</t>
  </si>
  <si>
    <t xml:space="preserve">Judson Mining Co. Alpha. Dgp</t>
  </si>
  <si>
    <t xml:space="preserve">Alfred Martin, Crystal Falls, Michigan, Superintendent.</t>
  </si>
  <si>
    <t xml:space="preserve">michigan </t>
  </si>
  <si>
    <t xml:space="preserve">martin, a</t>
  </si>
  <si>
    <t xml:space="preserve">ama5478</t>
  </si>
  <si>
    <t xml:space="preserve">amm67772</t>
  </si>
  <si>
    <t xml:space="preserve">Gold Canyon Dredging Co. Dayton. Dhd</t>
  </si>
  <si>
    <t xml:space="preserve">Bulkeley Wells, San Francisco. President and General Manager.</t>
  </si>
  <si>
    <t xml:space="preserve">san francisco </t>
  </si>
  <si>
    <t xml:space="preserve">wells, b</t>
  </si>
  <si>
    <t xml:space="preserve">ama8928</t>
  </si>
  <si>
    <t xml:space="preserve">amm68180</t>
  </si>
  <si>
    <t xml:space="preserve">Ccontrolled By Utah Copper Co. Broad Street New York.</t>
  </si>
  <si>
    <t xml:space="preserve">J. C. Kinnear. McGill, Nevada, Smelter Superintendent.</t>
  </si>
  <si>
    <t xml:space="preserve">kinnear, j c</t>
  </si>
  <si>
    <t xml:space="preserve">30mit16405</t>
  </si>
  <si>
    <t xml:space="preserve">amm68723</t>
  </si>
  <si>
    <t xml:space="preserve">Virginia Louise Mining Co. Pioche. Lgp</t>
  </si>
  <si>
    <t xml:space="preserve">Lewis G. Gillett. Pioche, Nevada, Superintendent.</t>
  </si>
  <si>
    <t xml:space="preserve">gillett, l g</t>
  </si>
  <si>
    <t xml:space="preserve">30mit13281</t>
  </si>
  <si>
    <t xml:space="preserve">amm68821</t>
  </si>
  <si>
    <t xml:space="preserve">American Smelting Q. Refining Co. Maurer. Ahd</t>
  </si>
  <si>
    <t xml:space="preserve">John F. Austin, Maurer. New Jersey, General Manager.</t>
  </si>
  <si>
    <t xml:space="preserve">austin </t>
  </si>
  <si>
    <t xml:space="preserve">austin, j f</t>
  </si>
  <si>
    <t xml:space="preserve">30mit32926</t>
  </si>
  <si>
    <t xml:space="preserve">amm68979</t>
  </si>
  <si>
    <t xml:space="preserve">American Metal Co.</t>
  </si>
  <si>
    <t xml:space="preserve">F. Y. Robertson, New York, Vice-Pres. and General Manager.</t>
  </si>
  <si>
    <t xml:space="preserve">robertson, f y</t>
  </si>
  <si>
    <t xml:space="preserve">imm10990</t>
  </si>
  <si>
    <t xml:space="preserve">amm69036</t>
  </si>
  <si>
    <t xml:space="preserve">Black Hawk Cons.m Nes Co. Vanadium. Fgp</t>
  </si>
  <si>
    <t xml:space="preserve">Ira L. Wright, Silver City, New Mexico, Pres. and Gen. Manager.</t>
  </si>
  <si>
    <t xml:space="preserve">new mexico </t>
  </si>
  <si>
    <t xml:space="preserve">wright, i l</t>
  </si>
  <si>
    <t xml:space="preserve">missouri</t>
  </si>
  <si>
    <t xml:space="preserve">miss1286</t>
  </si>
  <si>
    <t xml:space="preserve">amm69955</t>
  </si>
  <si>
    <t xml:space="preserve">Rogers Brown Iron Co. Buffalo. Dhd</t>
  </si>
  <si>
    <t xml:space="preserve">Hugh Kennedy, Buffalo, Vice-President, General Manager.</t>
  </si>
  <si>
    <t xml:space="preserve">kennedy </t>
  </si>
  <si>
    <t xml:space="preserve">kennedy, h</t>
  </si>
  <si>
    <t xml:space="preserve">ama4707</t>
  </si>
  <si>
    <t xml:space="preserve">amm70996</t>
  </si>
  <si>
    <t xml:space="preserve">Ducktown Sulphur Copper .I. Co. Ltd. Isabella. Chd</t>
  </si>
  <si>
    <t xml:space="preserve">Incorporated, Great Britain, 1891. Stock, $1,000,000. Shares, $5.00. J. G. Gordon, Chairman; J. W. Felstead, Secretary.</t>
  </si>
  <si>
    <t xml:space="preserve">Chairman</t>
  </si>
  <si>
    <t xml:space="preserve">gordon, j g</t>
  </si>
  <si>
    <t xml:space="preserve">aime45806</t>
  </si>
  <si>
    <t xml:space="preserve">amm71759</t>
  </si>
  <si>
    <t xml:space="preserve">Michigan Utah Consolidated Mines Co. Alta. Lgp</t>
  </si>
  <si>
    <t xml:space="preserve">Norman W. Haire, Salt Lake City, Utah, President.</t>
  </si>
  <si>
    <t xml:space="preserve">haire, n w</t>
  </si>
  <si>
    <t xml:space="preserve">ama3721</t>
  </si>
  <si>
    <t xml:space="preserve">amm71916</t>
  </si>
  <si>
    <t xml:space="preserve">Sioux Mines Co. Mammoth. Mgp</t>
  </si>
  <si>
    <t xml:space="preserve">C. E. Loose, Provo. Utah, General Manager.</t>
  </si>
  <si>
    <t xml:space="preserve">loose, c e</t>
  </si>
  <si>
    <t xml:space="preserve">ama5268</t>
  </si>
  <si>
    <t xml:space="preserve">amm73950</t>
  </si>
  <si>
    <t xml:space="preserve">Charles F. Leonard. Atlin, British Columbia, Superintendent.</t>
  </si>
  <si>
    <t xml:space="preserve">british columbia </t>
  </si>
  <si>
    <t xml:space="preserve">amm75342</t>
  </si>
  <si>
    <t xml:space="preserve">Ccontrolled By Crown Reserve Mining Co. Limited Cobalt.</t>
  </si>
  <si>
    <t xml:space="preserve">H. J. Stewart, Cobalt, Ontario, General Manager.</t>
  </si>
  <si>
    <t xml:space="preserve">ontario </t>
  </si>
  <si>
    <t xml:space="preserve">stewart, h j</t>
  </si>
  <si>
    <t xml:space="preserve">imm10197</t>
  </si>
  <si>
    <t xml:space="preserve">amm76098</t>
  </si>
  <si>
    <t xml:space="preserve">Cusi Mexicana Mining Co. Cusihuiriachic. Mgp</t>
  </si>
  <si>
    <t xml:space="preserve">H. S. Black, New York, President; J. D. Gruver, Sec.-'l‘reasurer.</t>
  </si>
  <si>
    <t xml:space="preserve">black, h s</t>
  </si>
  <si>
    <t xml:space="preserve">wo280</t>
  </si>
  <si>
    <t xml:space="preserve">amm76444</t>
  </si>
  <si>
    <t xml:space="preserve">Cubo Mining &amp; Milling Co. Cubo. Dhd</t>
  </si>
  <si>
    <t xml:space="preserve">H. L. Hollis, Chicago, Pres. and Manager; A. Hunter, Secretary.</t>
  </si>
  <si>
    <t xml:space="preserve">chicago </t>
  </si>
  <si>
    <t xml:space="preserve">hollis, h l</t>
  </si>
  <si>
    <t xml:space="preserve">aime55873</t>
  </si>
  <si>
    <t xml:space="preserve">amm78070</t>
  </si>
  <si>
    <t xml:space="preserve">Castle Dome Development Co. Inspiration. Mg</t>
  </si>
  <si>
    <t xml:space="preserve">John W. Prout, Jr., Dos Cabezas, Arizona, General Superintendent.</t>
  </si>
  <si>
    <t xml:space="preserve">General Superintendent</t>
  </si>
  <si>
    <t xml:space="preserve">prout, j w</t>
  </si>
  <si>
    <t xml:space="preserve">colo16781</t>
  </si>
  <si>
    <t xml:space="preserve">amm78153</t>
  </si>
  <si>
    <t xml:space="preserve">Copper Queen Gold Mining Co. Stoddard. Mop</t>
  </si>
  <si>
    <t xml:space="preserve">E. C. Hall, Fort Worth, Texas, General Manager.</t>
  </si>
  <si>
    <t xml:space="preserve">texas </t>
  </si>
  <si>
    <t xml:space="preserve">hall, e c</t>
  </si>
  <si>
    <t xml:space="preserve">03mit928</t>
  </si>
  <si>
    <t xml:space="preserve">amm78354</t>
  </si>
  <si>
    <t xml:space="preserve">Grand Island Mining Co. Jerome. Lgp</t>
  </si>
  <si>
    <t xml:space="preserve">Charles Anderson, Jerome, Arizona, Superintendent.</t>
  </si>
  <si>
    <t xml:space="preserve">jerome </t>
  </si>
  <si>
    <t xml:space="preserve">anderson, c</t>
  </si>
  <si>
    <t xml:space="preserve">ama437</t>
  </si>
  <si>
    <t xml:space="preserve">amm78491</t>
  </si>
  <si>
    <t xml:space="preserve">Controlled By United Verde Extension Mining Co. Jerome Ariz.</t>
  </si>
  <si>
    <t xml:space="preserve">George Kingdon, Jerome, Arizona, General Manager.</t>
  </si>
  <si>
    <t xml:space="preserve">kingdon, g</t>
  </si>
  <si>
    <t xml:space="preserve">ama4768</t>
  </si>
  <si>
    <t xml:space="preserve">amm79335</t>
  </si>
  <si>
    <t xml:space="preserve">United Eastern Mining Co. Oatman Ehd</t>
  </si>
  <si>
    <t xml:space="preserve">Roy W. Moore, Oatman, Arizona, General Superintendent.</t>
  </si>
  <si>
    <t xml:space="preserve">oatman </t>
  </si>
  <si>
    <t xml:space="preserve">moore, r w</t>
  </si>
  <si>
    <t xml:space="preserve">wo2538</t>
  </si>
  <si>
    <t xml:space="preserve">amm79649</t>
  </si>
  <si>
    <t xml:space="preserve">Blue Mountain Mining Co. White River. Mgp</t>
  </si>
  <si>
    <t xml:space="preserve">Rensselear H. Toll. White River, California, Superintendent.</t>
  </si>
  <si>
    <t xml:space="preserve">california </t>
  </si>
  <si>
    <t xml:space="preserve">toll, r h</t>
  </si>
  <si>
    <t xml:space="preserve">ama8470</t>
  </si>
  <si>
    <t xml:space="preserve">amm79847</t>
  </si>
  <si>
    <t xml:space="preserve">Darwin Silver Co. Darwin. Fhd Office Room South Dearborn Street Chicago Illinois.</t>
  </si>
  <si>
    <t xml:space="preserve">A. G. Kirby, Darwin, California, General Manager.</t>
  </si>
  <si>
    <t xml:space="preserve">darwin </t>
  </si>
  <si>
    <t xml:space="preserve">kirby, a g</t>
  </si>
  <si>
    <t xml:space="preserve">imm4065</t>
  </si>
  <si>
    <t xml:space="preserve">amm80066</t>
  </si>
  <si>
    <t xml:space="preserve">Golden Center Of G.v. Mining Co. Grass Valley. Mgp</t>
  </si>
  <si>
    <t xml:space="preserve">Rodney McCormick, President: J. W. Howard, Secretary.</t>
  </si>
  <si>
    <t xml:space="preserve">mccormick, r</t>
  </si>
  <si>
    <t xml:space="preserve">ama5601</t>
  </si>
  <si>
    <t xml:space="preserve">amm80595</t>
  </si>
  <si>
    <t xml:space="preserve">Patterson Mining Co. Tuttletown. Mgp</t>
  </si>
  <si>
    <t xml:space="preserve">John L. Whitney, Tuttletown. California. Superintendent.</t>
  </si>
  <si>
    <t xml:space="preserve">whitney, j l</t>
  </si>
  <si>
    <t xml:space="preserve">ama9009</t>
  </si>
  <si>
    <t xml:space="preserve">amm80609</t>
  </si>
  <si>
    <t xml:space="preserve">Penn Mining Co. Campo Seco. Ehd</t>
  </si>
  <si>
    <t xml:space="preserve">Alfred P. Busey, Jr., Campo Seco, General Manager.</t>
  </si>
  <si>
    <t xml:space="preserve">busey, a p</t>
  </si>
  <si>
    <t xml:space="preserve">colo16481</t>
  </si>
  <si>
    <t xml:space="preserve">amm80619</t>
  </si>
  <si>
    <t xml:space="preserve">Reverberatory Furnaces And Copper Converter. Men. Philadelphia Exploration Co. Crescent Mills. Dhd</t>
  </si>
  <si>
    <t xml:space="preserve">Albert Burch, Crocker Building, San Francisco, General Manager.</t>
  </si>
  <si>
    <t xml:space="preserve">burch, a</t>
  </si>
  <si>
    <t xml:space="preserve">ama1378</t>
  </si>
  <si>
    <t xml:space="preserve">amm81393</t>
  </si>
  <si>
    <t xml:space="preserve">Atlas Mining . Milling Co. Sneffles. Fgp</t>
  </si>
  <si>
    <t xml:space="preserve">Frederick Carroll, Sneflles, General Manager.</t>
  </si>
  <si>
    <t xml:space="preserve">carroll, f</t>
  </si>
  <si>
    <t xml:space="preserve">ama1623</t>
  </si>
  <si>
    <t xml:space="preserve">amm82177</t>
  </si>
  <si>
    <t xml:space="preserve">Mmmo Development Co. Cripple Creek. Mgp</t>
  </si>
  <si>
    <t xml:space="preserve">Frank M. Kurie, Cripple Creek. Colorado, Vice-Pres, Manager.</t>
  </si>
  <si>
    <t xml:space="preserve">kurie, f m</t>
  </si>
  <si>
    <t xml:space="preserve">ama4886</t>
  </si>
  <si>
    <t xml:space="preserve">amm82806</t>
  </si>
  <si>
    <t xml:space="preserve">United Metals Co. Lake City. Mgp</t>
  </si>
  <si>
    <t xml:space="preserve">H. N. Nichols, Chicago, President; Milton 0. Payne, Secretary.</t>
  </si>
  <si>
    <t xml:space="preserve">nichols, h n</t>
  </si>
  <si>
    <t xml:space="preserve">ama6239</t>
  </si>
  <si>
    <t xml:space="preserve">amm83723</t>
  </si>
  <si>
    <t xml:space="preserve">Sierra Nevada Consolidated Mining Co. Kellogg.</t>
  </si>
  <si>
    <t xml:space="preserve">Stanly A. Easton, Kellogg, Idaho. President and Manager.</t>
  </si>
  <si>
    <t xml:space="preserve">easton </t>
  </si>
  <si>
    <t xml:space="preserve">easton, s a</t>
  </si>
  <si>
    <t xml:space="preserve">aime33611</t>
  </si>
  <si>
    <t xml:space="preserve">amm83864</t>
  </si>
  <si>
    <t xml:space="preserve">Giant Ledge Mining Co. Murray. Lgp</t>
  </si>
  <si>
    <t xml:space="preserve">John H. Taylor, Spokane, President; W. W. Johnston, Secretary.</t>
  </si>
  <si>
    <t xml:space="preserve">spokane </t>
  </si>
  <si>
    <t xml:space="preserve">taylor, j h</t>
  </si>
  <si>
    <t xml:space="preserve">imm2403</t>
  </si>
  <si>
    <t xml:space="preserve">amm84650</t>
  </si>
  <si>
    <t xml:space="preserve">Elm Orlu Mining Company</t>
  </si>
  <si>
    <t xml:space="preserve">William N. Rossberg, Butte, Montana, Mine Manager.</t>
  </si>
  <si>
    <t xml:space="preserve">Mine Manager</t>
  </si>
  <si>
    <t xml:space="preserve">rossberg, w n</t>
  </si>
  <si>
    <t xml:space="preserve">ama7324</t>
  </si>
  <si>
    <t xml:space="preserve">amm85528</t>
  </si>
  <si>
    <t xml:space="preserve">Florence Divide Mining Co. Goldfield. Mgp</t>
  </si>
  <si>
    <t xml:space="preserve">J. H. Miller, Hawthorne, Nevada, Pres: J. E. Adams, Secretary.</t>
  </si>
  <si>
    <t xml:space="preserve">miller, j h</t>
  </si>
  <si>
    <t xml:space="preserve">aime81128</t>
  </si>
  <si>
    <t xml:space="preserve">amm85882</t>
  </si>
  <si>
    <t xml:space="preserve">W. S. Larsh. Ruth, Nevada, Underground Superintendent.</t>
  </si>
  <si>
    <t xml:space="preserve">larsh, w s</t>
  </si>
  <si>
    <t xml:space="preserve">colo16673</t>
  </si>
  <si>
    <t xml:space="preserve">amm86534</t>
  </si>
  <si>
    <t xml:space="preserve">Cooperative Mining Co. Lordsburg. Mgp</t>
  </si>
  <si>
    <t xml:space="preserve">H. C. Walter, Lordsburg, New Mexico, Mill Superintendent.</t>
  </si>
  <si>
    <t xml:space="preserve">lordsburg </t>
  </si>
  <si>
    <t xml:space="preserve">walter, h c</t>
  </si>
  <si>
    <t xml:space="preserve">wo3861</t>
  </si>
  <si>
    <t xml:space="preserve">amm86860</t>
  </si>
  <si>
    <t xml:space="preserve">Santa Fe Gold &amp; Copper Co. Broadway N.y. Owner.</t>
  </si>
  <si>
    <t xml:space="preserve">Walter Douglas, 99 John Street, New York, President.</t>
  </si>
  <si>
    <t xml:space="preserve">douglas, w</t>
  </si>
  <si>
    <t xml:space="preserve">ama2567</t>
  </si>
  <si>
    <t xml:space="preserve">amm87951</t>
  </si>
  <si>
    <t xml:space="preserve">Stibnite Mining Co. Ogden. Lgp</t>
  </si>
  <si>
    <t xml:space="preserve">Henry C. Baker, Ogden, President and General Manager.</t>
  </si>
  <si>
    <t xml:space="preserve">baker, h c</t>
  </si>
  <si>
    <t xml:space="preserve">ama611</t>
  </si>
  <si>
    <t xml:space="preserve">amm88292</t>
  </si>
  <si>
    <t xml:space="preserve">Aichan Bee Silver Lead Mining Co. Spokane. Lgp</t>
  </si>
  <si>
    <t xml:space="preserve">H. M. Howard, Spokane, Washington, President, Manager.</t>
  </si>
  <si>
    <t xml:space="preserve">howard, h m</t>
  </si>
  <si>
    <t xml:space="preserve">ama4265</t>
  </si>
  <si>
    <t xml:space="preserve">amm89711</t>
  </si>
  <si>
    <t xml:space="preserve">Mccullough Iron Co. Wilmington. Dhd</t>
  </si>
  <si>
    <t xml:space="preserve">Martin E. Walker, Equitable Building, Wilmington, President.</t>
  </si>
  <si>
    <t xml:space="preserve">walker, m e</t>
  </si>
  <si>
    <t xml:space="preserve">ua47076</t>
  </si>
  <si>
    <t xml:space="preserve">amm91159</t>
  </si>
  <si>
    <t xml:space="preserve">Wolverine Copper Mining Co. Kearsarge. Chd</t>
  </si>
  <si>
    <t xml:space="preserve">Theodore Dengler, Kearsarge, Michigan, General Manager.</t>
  </si>
  <si>
    <t xml:space="preserve">dengler, t</t>
  </si>
  <si>
    <t xml:space="preserve">ama2449</t>
  </si>
  <si>
    <t xml:space="preserve">amm91567</t>
  </si>
  <si>
    <t xml:space="preserve">International Harvester Co. Hibbing Minn. Ahd</t>
  </si>
  <si>
    <t xml:space="preserve">Benjamin W. Batchelder, Hibbing, Minn., General Superintendent.</t>
  </si>
  <si>
    <t xml:space="preserve">hibbing </t>
  </si>
  <si>
    <t xml:space="preserve">batchelder, b w</t>
  </si>
  <si>
    <t xml:space="preserve">mi2741</t>
  </si>
  <si>
    <t xml:space="preserve">amm94198</t>
  </si>
  <si>
    <t xml:space="preserve">Lima Steel Casting Co. Lima. Mgp</t>
  </si>
  <si>
    <t xml:space="preserve">B. F. Thomas, Pres.; M. L. Johnson, Mgr.; F. Z. Dempster, Supt.</t>
  </si>
  <si>
    <t xml:space="preserve">thomas, b f</t>
  </si>
  <si>
    <t xml:space="preserve">wvu</t>
  </si>
  <si>
    <t xml:space="preserve">wv44894</t>
  </si>
  <si>
    <t xml:space="preserve">amm94746</t>
  </si>
  <si>
    <t xml:space="preserve">American Manganese Manufacturing Co. Dunbar. Ahd</t>
  </si>
  <si>
    <t xml:space="preserve">F. J. Ryan, Pres., General Manager; S. R. Vanderbeck, Vice Pres.</t>
  </si>
  <si>
    <t xml:space="preserve">ryan, f j</t>
  </si>
  <si>
    <t xml:space="preserve">colo13999</t>
  </si>
  <si>
    <t xml:space="preserve">amm95869</t>
  </si>
  <si>
    <t xml:space="preserve">Reading Iron Co. Reading. Ah</t>
  </si>
  <si>
    <t xml:space="preserve">L. E. Thomas, Pres.; W. W. Williams, Vice Pres., General Mgr.</t>
  </si>
  <si>
    <t xml:space="preserve">thomas, l e</t>
  </si>
  <si>
    <t xml:space="preserve">40mit60582</t>
  </si>
  <si>
    <t xml:space="preserve">amm97521</t>
  </si>
  <si>
    <t xml:space="preserve">Cassiar Crown Copper Co. Telkwa. Lgp</t>
  </si>
  <si>
    <t xml:space="preserve">W. Clayton Miller, Spokane, Washington, Consulting Engineer.</t>
  </si>
  <si>
    <t xml:space="preserve">miller, w c</t>
  </si>
  <si>
    <t xml:space="preserve">student</t>
  </si>
  <si>
    <t xml:space="preserve">aime81289</t>
  </si>
  <si>
    <t xml:space="preserve">amm97613</t>
  </si>
  <si>
    <t xml:space="preserve">Granby Cons. M. Sm Elting &amp;. Power Co. Ltd. Anyox. Ahd</t>
  </si>
  <si>
    <t xml:space="preserve">Harold S. Munroe, Birks Building, Vancouver, General Manager.</t>
  </si>
  <si>
    <t xml:space="preserve">vancouver </t>
  </si>
  <si>
    <t xml:space="preserve">munroe, h s</t>
  </si>
  <si>
    <t xml:space="preserve">imm10893</t>
  </si>
  <si>
    <t xml:space="preserve">amm97861</t>
  </si>
  <si>
    <t xml:space="preserve">Puget Sound Iron Co. Van Anda. Fhd</t>
  </si>
  <si>
    <t xml:space="preserve">Arthur Goodall. San Francisco, California, President, Manager.</t>
  </si>
  <si>
    <t xml:space="preserve">goodall, a</t>
  </si>
  <si>
    <t xml:space="preserve">ama3494</t>
  </si>
  <si>
    <t xml:space="preserve">amm98899</t>
  </si>
  <si>
    <t xml:space="preserve">Mining Corporation Of Canada Limited Cobalt. Ahd</t>
  </si>
  <si>
    <t xml:space="preserve">C. E. Watson, Cobalt, Ontario, Canada, Manager.</t>
  </si>
  <si>
    <t xml:space="preserve">watson, c e</t>
  </si>
  <si>
    <t xml:space="preserve">imm6114</t>
  </si>
  <si>
    <t xml:space="preserve">amm99365</t>
  </si>
  <si>
    <t xml:space="preserve">London Rolling Mill Co. Ltd. London. Egp</t>
  </si>
  <si>
    <t xml:space="preserve">Charles H. White, Manager; J. F. White, Superintendent.</t>
  </si>
  <si>
    <t xml:space="preserve">white, c h</t>
  </si>
  <si>
    <t xml:space="preserve">30mit18696</t>
  </si>
  <si>
    <t xml:space="preserve">amm99774</t>
  </si>
  <si>
    <t xml:space="preserve">Steel Company Of Canada Ltd. Montreal. Ahd</t>
  </si>
  <si>
    <t xml:space="preserve">W. L. Hamilton, Bienfait, Saskatchewan, Manager.</t>
  </si>
  <si>
    <t xml:space="preserve">saskatchewan </t>
  </si>
  <si>
    <t xml:space="preserve">hamilton, w l</t>
  </si>
  <si>
    <t xml:space="preserve">aime49482</t>
  </si>
  <si>
    <t xml:space="preserve">Nathaniel Harris. | John Henry Ward.</t>
  </si>
  <si>
    <t xml:space="preserve">broken</t>
  </si>
  <si>
    <t xml:space="preserve">ward, j h</t>
  </si>
  <si>
    <t xml:space="preserve">30mit21461</t>
  </si>
  <si>
    <t xml:space="preserve">Malay States Tin Mines Limited</t>
  </si>
  <si>
    <t xml:space="preserve">P. Manthes, M.E. | Col. N. Noel-Allix, J.P., D.L. I H. S. Foster.</t>
  </si>
  <si>
    <t xml:space="preserve">foster, h s</t>
  </si>
  <si>
    <t xml:space="preserve">wo1170</t>
  </si>
  <si>
    <t xml:space="preserve">San Miguel Silver Mines Limited</t>
  </si>
  <si>
    <t xml:space="preserve">E Furtter Webster, CLE., Chairman. | D. F. Carmichael. | Henry Davey. | James Adames.</t>
  </si>
  <si>
    <t xml:space="preserve">webster, e f</t>
  </si>
  <si>
    <t xml:space="preserve">30mit1262</t>
  </si>
  <si>
    <t xml:space="preserve">Gijon Syndicate Limited</t>
  </si>
  <si>
    <t xml:space="preserve">William Wilson Smith.</t>
  </si>
  <si>
    <t xml:space="preserve">smith, w w</t>
  </si>
  <si>
    <t xml:space="preserve">30mit313</t>
  </si>
  <si>
    <t xml:space="preserve">Nigel Gold Mining Company Limited</t>
  </si>
  <si>
    <t xml:space="preserve">P. F. P jn, J.1 . | E. M. Greene, M.L.A., K.C. 1 W. J. O Brieo, J.P. | O. Husking. J. P.</t>
  </si>
  <si>
    <t xml:space="preserve">greene, e m</t>
  </si>
  <si>
    <t xml:space="preserve">aime46979</t>
  </si>
  <si>
    <t xml:space="preserve">Pendlebury Colliery Company Limited</t>
  </si>
  <si>
    <t xml:space="preserve">Colliery at Bentley, Walsall, Staffordshire.</t>
  </si>
  <si>
    <t xml:space="preserve">bentley, c a</t>
  </si>
  <si>
    <t xml:space="preserve">ama849</t>
  </si>
  <si>
    <t xml:space="preserve">New Era Consolidated Limited</t>
  </si>
  <si>
    <t xml:space="preserve">Keegan. | W. McCallum. | W. S. Saunders.</t>
  </si>
  <si>
    <t xml:space="preserve">saunders, w s</t>
  </si>
  <si>
    <t xml:space="preserve">aime104170</t>
  </si>
  <si>
    <t xml:space="preserve">Newstead Collierymchommpany Limited</t>
  </si>
  <si>
    <t xml:space="preserve">W. N. Drew, Chairman and Managiny. | W. A. Bower. | A. J. Camwn, O.B.E.</t>
  </si>
  <si>
    <t xml:space="preserve">sheffield</t>
  </si>
  <si>
    <t xml:space="preserve">drew, w n</t>
  </si>
  <si>
    <t xml:space="preserve">rs7755</t>
  </si>
  <si>
    <t xml:space="preserve">Rhodesia Exploration Development Limited</t>
  </si>
  <si>
    <t xml:space="preserve">Sir H. S. Foster, J.P., D.L., F.G.S. | R. Dela Ber-e. l W. W. Clarke. 1 A. McLennan.</t>
  </si>
  <si>
    <t xml:space="preserve">sewell</t>
  </si>
  <si>
    <t xml:space="preserve">L atest price, 3s. 9d. WITBANK COLLIERY, LTD. Directors Qualification, 100 shares .</t>
  </si>
  <si>
    <t xml:space="preserve">price, l a</t>
  </si>
  <si>
    <t xml:space="preserve">colo4242</t>
  </si>
  <si>
    <t xml:space="preserve">amm84914</t>
  </si>
  <si>
    <t xml:space="preserve">St. Paul Montana Mining Co. Maiden. Fgp</t>
  </si>
  <si>
    <t xml:space="preserve">Edwin B. Coolidge, Maiden, Montana, General Manager.</t>
  </si>
  <si>
    <t xml:space="preserve">coolidge, e b</t>
  </si>
  <si>
    <t xml:space="preserve">30mit9474</t>
  </si>
  <si>
    <t xml:space="preserve">Anfargah Gold Mines Finance Limited</t>
  </si>
  <si>
    <t xml:space="preserve">V. H. Smith. Chairman. I H. E Druce. | P. Marsden. I R. C. Richards.</t>
  </si>
  <si>
    <t xml:space="preserve">richards, r c</t>
  </si>
  <si>
    <t xml:space="preserve">imm10979</t>
  </si>
  <si>
    <t xml:space="preserve">Boschoek Proprletary Company Limited</t>
  </si>
  <si>
    <t xml:space="preserve">W.P. Hamilton,Vice-President. I E. A. C. Smith, Vice-President. I S. S. Siirensen, Vice-Preu denl. .LK. Mai-.Gnwan, Vice-Pruident. W. E. Bennett. | T. Cochran. I 11.0. Havemeyer. F. Hellman. l A. Houston. I H. F. Guggenheim. | M. Kendall. | C. 1 . Ulrich.</t>
  </si>
  <si>
    <t xml:space="preserve">keystone</t>
  </si>
  <si>
    <t xml:space="preserve">smith, e a</t>
  </si>
  <si>
    <t xml:space="preserve">imm10175</t>
  </si>
  <si>
    <t xml:space="preserve">Coniagas Mines Limited</t>
  </si>
  <si>
    <t xml:space="preserve">R. W. Leonard, President. | A. Longwell, Vice-Preotdem. i H. H, Collier. R. L. Peek.</t>
  </si>
  <si>
    <t xml:space="preserve">leonard, r w</t>
  </si>
  <si>
    <t xml:space="preserve">imm683</t>
  </si>
  <si>
    <t xml:space="preserve">Consulting Engineer C. R. Davis. Box 1048, Johannesburg.</t>
  </si>
  <si>
    <t xml:space="preserve">davis, c r</t>
  </si>
  <si>
    <t xml:space="preserve">imm6364</t>
  </si>
  <si>
    <t xml:space="preserve">Sir L. W. Llewelyn, K.B.E. I Sir D. R. Llewellyn, Bart. I</t>
  </si>
  <si>
    <t xml:space="preserve">llewelyn, l w</t>
  </si>
  <si>
    <t xml:space="preserve">Head. OflIoes Consolidated Building, Box 590. Johannesburg. London Manager W. J. Benson. C.B.E. London Secretary and Oflices T. Honey. 10 and 11, Austin Friars, E.C. 2.</t>
  </si>
  <si>
    <t xml:space="preserve">Junction Inotith Fiifwn</t>
  </si>
  <si>
    <t xml:space="preserve">. 1g y . Consulting Engineer T. H. Palmer.</t>
  </si>
  <si>
    <t xml:space="preserve">palmer, t h</t>
  </si>
  <si>
    <t xml:space="preserve">imm876</t>
  </si>
  <si>
    <t xml:space="preserve">Resident anager W. F. Kett, Point Lewis, near San Francisco, Cal U.S.A . Mine Manager M. J. Murphy. I smelting Works Manager 1 - 13. 5mm</t>
  </si>
  <si>
    <t xml:space="preserve">murphy, m j</t>
  </si>
  <si>
    <t xml:space="preserve">imm10894</t>
  </si>
  <si>
    <t xml:space="preserve">New Geduld Deep Limited</t>
  </si>
  <si>
    <t xml:space="preserve">D. Simpson. | F. R. Lynch.</t>
  </si>
  <si>
    <t xml:space="preserve">mansfield</t>
  </si>
  <si>
    <t xml:space="preserve">Southern Mines Ireland Limited</t>
  </si>
  <si>
    <t xml:space="preserve">F. H. Ramsden ; J. A. Dennison;</t>
  </si>
  <si>
    <t xml:space="preserve">dennison, j a</t>
  </si>
  <si>
    <t xml:space="preserve">imm1571</t>
  </si>
  <si>
    <t xml:space="preserve">Transvaal Estates And Development Company</t>
  </si>
  <si>
    <t xml:space="preserve">Consultinz Engineer C. R. Davis. M.A.Inst.M.E.</t>
  </si>
  <si>
    <t xml:space="preserve">Note: the id imm is from a special edition of ama which included a list of professionals. </t>
  </si>
</sst>
</file>

<file path=xl/styles.xml><?xml version="1.0" encoding="utf-8"?>
<styleSheet xmlns="http://schemas.openxmlformats.org/spreadsheetml/2006/main">
  <numFmts count="3">
    <numFmt numFmtId="164" formatCode="General"/>
    <numFmt numFmtId="165" formatCode="0.00%"/>
    <numFmt numFmtId="166" formatCode="0.00E+00"/>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84"/>
  <sheetViews>
    <sheetView showFormulas="false" showGridLines="true" showRowColHeaders="true" showZeros="true" rightToLeft="false" tabSelected="true" showOutlineSymbols="true" defaultGridColor="true" view="normal" topLeftCell="A357" colorId="64" zoomScale="70" zoomScaleNormal="70" zoomScalePageLayoutView="100" workbookViewId="0">
      <selection pane="topLeft" activeCell="A384" activeCellId="0" sqref="A384"/>
    </sheetView>
  </sheetViews>
  <sheetFormatPr defaultColWidth="8.6796875" defaultRowHeight="15" customHeight="false" zeroHeight="false" outlineLevelRow="0" outlineLevelCol="0"/>
  <cols>
    <col collapsed="false" customWidth="true" hidden="false" outlineLevel="0" max="2" min="2" style="1" width="4.57"/>
    <col collapsed="false" customWidth="true" hidden="true" outlineLevel="0" max="4" min="3" style="1" width="9.14"/>
    <col collapsed="false" customWidth="true" hidden="false" outlineLevel="0" max="5" min="5" style="1" width="90"/>
    <col collapsed="false" customWidth="true" hidden="false" outlineLevel="0" max="10" min="10" style="1" width="17.15"/>
    <col collapsed="false" customWidth="true" hidden="false" outlineLevel="0" max="16384" min="16384" style="1" width="11.53"/>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row>
    <row r="2" customFormat="false" ht="15" hidden="false" customHeight="false" outlineLevel="0" collapsed="false">
      <c r="A2" s="1" t="n">
        <v>10297</v>
      </c>
      <c r="B2" s="1" t="n">
        <v>1887</v>
      </c>
      <c r="C2" s="1" t="s">
        <v>15</v>
      </c>
      <c r="D2" s="1" t="n">
        <v>291120.8152</v>
      </c>
      <c r="E2" s="1" t="s">
        <v>16</v>
      </c>
      <c r="F2" s="1" t="s">
        <v>17</v>
      </c>
      <c r="G2" s="1" t="n">
        <v>-96.1247847</v>
      </c>
      <c r="H2" s="1" t="n">
        <v>41.294441</v>
      </c>
      <c r="I2" s="1" t="s">
        <v>18</v>
      </c>
      <c r="J2" s="2" t="s">
        <v>19</v>
      </c>
      <c r="K2" s="1" t="s">
        <v>20</v>
      </c>
      <c r="L2" s="1" t="s">
        <v>21</v>
      </c>
      <c r="M2" s="1" t="s">
        <v>22</v>
      </c>
      <c r="N2" s="1" t="s">
        <v>23</v>
      </c>
      <c r="O2" s="1" t="s">
        <v>24</v>
      </c>
      <c r="P2" s="1" t="n">
        <f aca="false">IF(A2=O2, 1, 0)</f>
        <v>0</v>
      </c>
      <c r="R2" s="3" t="n">
        <f aca="false">SUM(P2:P383)/COUNT(P2:P383)</f>
        <v>0.0287958115183246</v>
      </c>
    </row>
    <row r="3" customFormat="false" ht="15" hidden="false" customHeight="false" outlineLevel="0" collapsed="false">
      <c r="A3" s="1" t="n">
        <v>21274</v>
      </c>
      <c r="B3" s="1" t="n">
        <v>1887</v>
      </c>
      <c r="C3" s="1" t="s">
        <v>25</v>
      </c>
      <c r="D3" s="1" t="n">
        <v>970402.7172</v>
      </c>
      <c r="E3" s="1" t="s">
        <v>26</v>
      </c>
      <c r="F3" s="1" t="s">
        <v>27</v>
      </c>
      <c r="G3" s="1" t="n">
        <v>133.775136</v>
      </c>
      <c r="H3" s="1" t="n">
        <v>-25.274398</v>
      </c>
      <c r="I3" s="1" t="s">
        <v>28</v>
      </c>
      <c r="J3" s="1" t="s">
        <v>29</v>
      </c>
      <c r="K3" s="1" t="s">
        <v>27</v>
      </c>
      <c r="L3" s="1" t="s">
        <v>21</v>
      </c>
      <c r="M3" s="1" t="s">
        <v>30</v>
      </c>
      <c r="N3" s="1" t="s">
        <v>31</v>
      </c>
      <c r="O3" s="1" t="s">
        <v>32</v>
      </c>
      <c r="P3" s="1" t="n">
        <f aca="false">IF(A3=O3, 1, 0)</f>
        <v>0</v>
      </c>
    </row>
    <row r="4" customFormat="false" ht="15" hidden="false" customHeight="false" outlineLevel="0" collapsed="false">
      <c r="A4" s="1" t="n">
        <v>49489</v>
      </c>
      <c r="B4" s="1" t="n">
        <v>1888</v>
      </c>
      <c r="C4" s="1" t="s">
        <v>33</v>
      </c>
      <c r="D4" s="1" t="n">
        <v>487092.0604</v>
      </c>
      <c r="E4" s="1" t="s">
        <v>34</v>
      </c>
      <c r="F4" s="1" t="s">
        <v>35</v>
      </c>
      <c r="G4" s="1" t="n">
        <v>-77.042754</v>
      </c>
      <c r="H4" s="1" t="n">
        <v>-12.0463731</v>
      </c>
      <c r="I4" s="1" t="s">
        <v>18</v>
      </c>
      <c r="J4" s="4" t="s">
        <v>36</v>
      </c>
      <c r="K4" s="1" t="s">
        <v>37</v>
      </c>
      <c r="L4" s="1" t="s">
        <v>21</v>
      </c>
      <c r="M4" s="1" t="s">
        <v>38</v>
      </c>
      <c r="N4" s="1" t="s">
        <v>39</v>
      </c>
      <c r="O4" s="1" t="s">
        <v>40</v>
      </c>
      <c r="P4" s="1" t="n">
        <f aca="false">IF(A4=O4, 1, 0)</f>
        <v>0</v>
      </c>
    </row>
    <row r="5" customFormat="false" ht="15" hidden="false" customHeight="false" outlineLevel="0" collapsed="false">
      <c r="A5" s="1" t="n">
        <v>56165</v>
      </c>
      <c r="B5" s="1" t="n">
        <v>1888</v>
      </c>
      <c r="C5" s="1" t="s">
        <v>41</v>
      </c>
      <c r="D5" s="1" t="n">
        <v>974184.1208</v>
      </c>
      <c r="E5" s="1" t="s">
        <v>42</v>
      </c>
      <c r="F5" s="1" t="s">
        <v>43</v>
      </c>
      <c r="G5" s="1" t="n">
        <v>-4.251806</v>
      </c>
      <c r="H5" s="1" t="n">
        <v>55.864237</v>
      </c>
      <c r="I5" s="1" t="s">
        <v>18</v>
      </c>
      <c r="J5" s="1" t="s">
        <v>44</v>
      </c>
      <c r="K5" s="1" t="s">
        <v>45</v>
      </c>
      <c r="L5" s="1" t="s">
        <v>21</v>
      </c>
      <c r="M5" s="1" t="s">
        <v>46</v>
      </c>
      <c r="N5" s="2" t="s">
        <v>47</v>
      </c>
      <c r="O5" s="1" t="s">
        <v>48</v>
      </c>
      <c r="P5" s="1" t="n">
        <f aca="false">IF(A5=O5, 1, 0)</f>
        <v>0</v>
      </c>
    </row>
    <row r="6" customFormat="false" ht="15" hidden="false" customHeight="false" outlineLevel="0" collapsed="false">
      <c r="A6" s="1" t="n">
        <v>61899</v>
      </c>
      <c r="B6" s="1" t="n">
        <v>1889</v>
      </c>
      <c r="C6" s="1" t="s">
        <v>49</v>
      </c>
      <c r="D6" s="1" t="n">
        <v>876338.851</v>
      </c>
      <c r="E6" s="1" t="s">
        <v>50</v>
      </c>
      <c r="F6" s="1" t="s">
        <v>51</v>
      </c>
      <c r="G6" s="1" t="n">
        <v>-2.2426305</v>
      </c>
      <c r="H6" s="1" t="n">
        <v>53.4807593</v>
      </c>
      <c r="I6" s="1" t="s">
        <v>18</v>
      </c>
      <c r="J6" s="1" t="s">
        <v>52</v>
      </c>
      <c r="K6" s="1" t="s">
        <v>45</v>
      </c>
      <c r="L6" s="1" t="s">
        <v>21</v>
      </c>
      <c r="M6" s="1" t="s">
        <v>30</v>
      </c>
      <c r="N6" s="1" t="s">
        <v>53</v>
      </c>
      <c r="O6" s="1" t="s">
        <v>54</v>
      </c>
      <c r="P6" s="1" t="n">
        <f aca="false">IF(A6=O6, 1, 0)</f>
        <v>0</v>
      </c>
    </row>
    <row r="7" customFormat="false" ht="15" hidden="false" customHeight="false" outlineLevel="0" collapsed="false">
      <c r="A7" s="1" t="n">
        <v>63425</v>
      </c>
      <c r="B7" s="1" t="n">
        <v>1889</v>
      </c>
      <c r="C7" s="1" t="s">
        <v>55</v>
      </c>
      <c r="D7" s="1" t="n">
        <v>146056.4752</v>
      </c>
      <c r="E7" s="1" t="s">
        <v>56</v>
      </c>
      <c r="F7" s="1" t="s">
        <v>57</v>
      </c>
      <c r="G7" s="1" t="n">
        <v>-106.346771</v>
      </c>
      <c r="H7" s="1" t="n">
        <v>56.130366</v>
      </c>
      <c r="I7" s="1" t="s">
        <v>18</v>
      </c>
      <c r="J7" s="1" t="s">
        <v>58</v>
      </c>
      <c r="K7" s="1" t="s">
        <v>57</v>
      </c>
      <c r="L7" s="1" t="s">
        <v>21</v>
      </c>
      <c r="M7" s="1" t="s">
        <v>46</v>
      </c>
      <c r="N7" s="2" t="s">
        <v>47</v>
      </c>
      <c r="O7" s="1" t="s">
        <v>59</v>
      </c>
      <c r="P7" s="1" t="n">
        <f aca="false">IF(A7=O7, 1, 0)</f>
        <v>0</v>
      </c>
    </row>
    <row r="8" customFormat="false" ht="15" hidden="false" customHeight="false" outlineLevel="0" collapsed="false">
      <c r="A8" s="1" t="n">
        <v>71667</v>
      </c>
      <c r="B8" s="1" t="n">
        <v>1889</v>
      </c>
      <c r="C8" s="1" t="s">
        <v>60</v>
      </c>
      <c r="D8" s="1" t="n">
        <v>778967.8675</v>
      </c>
      <c r="E8" s="1" t="s">
        <v>61</v>
      </c>
      <c r="F8" s="1" t="s">
        <v>62</v>
      </c>
      <c r="G8" s="1" t="n">
        <v>-0.1277583</v>
      </c>
      <c r="H8" s="1" t="n">
        <v>51.5073509</v>
      </c>
      <c r="I8" s="1" t="s">
        <v>63</v>
      </c>
      <c r="J8" s="2" t="s">
        <v>64</v>
      </c>
      <c r="K8" s="1" t="s">
        <v>45</v>
      </c>
      <c r="L8" s="1" t="s">
        <v>21</v>
      </c>
      <c r="M8" s="1" t="s">
        <v>30</v>
      </c>
      <c r="N8" s="2" t="s">
        <v>31</v>
      </c>
      <c r="O8" s="1" t="s">
        <v>65</v>
      </c>
      <c r="P8" s="1" t="n">
        <f aca="false">IF(A8=O8, 1, 0)</f>
        <v>0</v>
      </c>
    </row>
    <row r="9" customFormat="false" ht="15" hidden="false" customHeight="false" outlineLevel="0" collapsed="false">
      <c r="A9" s="1" t="n">
        <v>75152</v>
      </c>
      <c r="B9" s="1" t="n">
        <v>1889</v>
      </c>
      <c r="C9" s="1" t="s">
        <v>66</v>
      </c>
      <c r="D9" s="1" t="n">
        <v>413826.6796</v>
      </c>
      <c r="E9" s="1" t="s">
        <v>67</v>
      </c>
      <c r="F9" s="1" t="s">
        <v>68</v>
      </c>
      <c r="G9" s="1" t="n">
        <v>-3.7837117</v>
      </c>
      <c r="H9" s="1" t="n">
        <v>52.1306607</v>
      </c>
      <c r="I9" s="1" t="s">
        <v>63</v>
      </c>
      <c r="J9" s="1" t="s">
        <v>69</v>
      </c>
      <c r="K9" s="1" t="s">
        <v>45</v>
      </c>
      <c r="L9" s="1" t="s">
        <v>21</v>
      </c>
      <c r="M9" s="1" t="s">
        <v>46</v>
      </c>
      <c r="N9" s="2" t="s">
        <v>47</v>
      </c>
      <c r="O9" s="1" t="s">
        <v>70</v>
      </c>
      <c r="P9" s="1" t="n">
        <f aca="false">IF(A9=O9, 1, 0)</f>
        <v>0</v>
      </c>
    </row>
    <row r="10" customFormat="false" ht="15" hidden="false" customHeight="false" outlineLevel="0" collapsed="false">
      <c r="A10" s="1" t="n">
        <v>76264</v>
      </c>
      <c r="B10" s="1" t="n">
        <v>1889</v>
      </c>
      <c r="C10" s="1" t="s">
        <v>71</v>
      </c>
      <c r="D10" s="1" t="n">
        <v>243427.4586</v>
      </c>
      <c r="E10" s="1" t="s">
        <v>72</v>
      </c>
      <c r="F10" s="1" t="s">
        <v>73</v>
      </c>
      <c r="G10" s="1" t="n">
        <v>-8.224454</v>
      </c>
      <c r="H10" s="1" t="n">
        <v>39.399872</v>
      </c>
      <c r="I10" s="1" t="s">
        <v>74</v>
      </c>
      <c r="J10" s="1" t="s">
        <v>75</v>
      </c>
      <c r="K10" s="1" t="s">
        <v>73</v>
      </c>
      <c r="L10" s="1" t="s">
        <v>21</v>
      </c>
      <c r="M10" s="1" t="s">
        <v>46</v>
      </c>
      <c r="N10" s="2" t="s">
        <v>47</v>
      </c>
      <c r="O10" s="1" t="s">
        <v>76</v>
      </c>
      <c r="P10" s="1" t="n">
        <f aca="false">IF(A10=O10, 1, 0)</f>
        <v>0</v>
      </c>
    </row>
    <row r="11" customFormat="false" ht="15" hidden="false" customHeight="false" outlineLevel="0" collapsed="false">
      <c r="A11" s="1" t="n">
        <v>79511</v>
      </c>
      <c r="B11" s="1" t="n">
        <v>1889</v>
      </c>
      <c r="C11" s="1" t="s">
        <v>77</v>
      </c>
      <c r="D11" s="1" t="n">
        <v>146056.4752</v>
      </c>
      <c r="E11" s="1" t="s">
        <v>78</v>
      </c>
      <c r="F11" s="1" t="s">
        <v>62</v>
      </c>
      <c r="G11" s="1" t="n">
        <v>-0.1277583</v>
      </c>
      <c r="H11" s="1" t="n">
        <v>51.5073509</v>
      </c>
      <c r="I11" s="1" t="s">
        <v>18</v>
      </c>
      <c r="J11" s="1" t="s">
        <v>79</v>
      </c>
      <c r="K11" s="1" t="s">
        <v>45</v>
      </c>
      <c r="L11" s="1" t="s">
        <v>21</v>
      </c>
      <c r="M11" s="1" t="s">
        <v>30</v>
      </c>
      <c r="N11" s="1" t="s">
        <v>53</v>
      </c>
      <c r="O11" s="1" t="s">
        <v>80</v>
      </c>
      <c r="P11" s="1" t="n">
        <f aca="false">IF(A11=O11, 1, 0)</f>
        <v>0</v>
      </c>
    </row>
    <row r="12" customFormat="false" ht="15" hidden="false" customHeight="false" outlineLevel="0" collapsed="false">
      <c r="A12" s="1" t="n">
        <v>80781</v>
      </c>
      <c r="B12" s="1" t="n">
        <v>1889</v>
      </c>
      <c r="C12" s="1" t="s">
        <v>81</v>
      </c>
      <c r="D12" s="1" t="n">
        <v>146056.4752</v>
      </c>
      <c r="E12" s="1" t="s">
        <v>82</v>
      </c>
      <c r="F12" s="1" t="s">
        <v>35</v>
      </c>
      <c r="G12" s="1" t="n">
        <v>-77.042754</v>
      </c>
      <c r="H12" s="1" t="n">
        <v>-12.0463731</v>
      </c>
      <c r="I12" s="1" t="s">
        <v>18</v>
      </c>
      <c r="J12" s="1" t="s">
        <v>83</v>
      </c>
      <c r="K12" s="1" t="s">
        <v>37</v>
      </c>
      <c r="L12" s="1" t="s">
        <v>21</v>
      </c>
      <c r="M12" s="1" t="s">
        <v>46</v>
      </c>
      <c r="N12" s="2" t="s">
        <v>47</v>
      </c>
      <c r="O12" s="1" t="s">
        <v>84</v>
      </c>
      <c r="P12" s="1" t="n">
        <f aca="false">IF(A12=O12, 1, 0)</f>
        <v>0</v>
      </c>
    </row>
    <row r="13" customFormat="false" ht="15" hidden="false" customHeight="false" outlineLevel="0" collapsed="false">
      <c r="A13" s="1" t="n">
        <v>91187</v>
      </c>
      <c r="B13" s="1" t="n">
        <v>1889</v>
      </c>
      <c r="C13" s="1" t="s">
        <v>85</v>
      </c>
      <c r="D13" s="1" t="n">
        <v>1071080.818</v>
      </c>
      <c r="E13" s="1" t="s">
        <v>86</v>
      </c>
      <c r="F13" s="1" t="s">
        <v>87</v>
      </c>
      <c r="G13" s="1" t="n">
        <v>28.0473051</v>
      </c>
      <c r="H13" s="1" t="n">
        <v>-26.2041028</v>
      </c>
      <c r="I13" s="1" t="s">
        <v>18</v>
      </c>
      <c r="J13" s="1" t="s">
        <v>88</v>
      </c>
      <c r="K13" s="1" t="s">
        <v>89</v>
      </c>
      <c r="L13" s="1" t="s">
        <v>21</v>
      </c>
      <c r="M13" s="1" t="s">
        <v>30</v>
      </c>
      <c r="N13" s="2" t="s">
        <v>21</v>
      </c>
      <c r="O13" s="1" t="n">
        <v>87013</v>
      </c>
      <c r="P13" s="1" t="n">
        <f aca="false">IF(A13=O13, 1, 0)</f>
        <v>0</v>
      </c>
    </row>
    <row r="14" customFormat="false" ht="15" hidden="false" customHeight="false" outlineLevel="0" collapsed="false">
      <c r="A14" s="1" t="n">
        <v>92286</v>
      </c>
      <c r="B14" s="1" t="n">
        <v>1889</v>
      </c>
      <c r="C14" s="1" t="s">
        <v>90</v>
      </c>
      <c r="D14" s="1" t="n">
        <v>584225.9</v>
      </c>
      <c r="E14" s="1" t="s">
        <v>91</v>
      </c>
      <c r="F14" s="1" t="s">
        <v>46</v>
      </c>
      <c r="G14" s="1" t="s">
        <v>46</v>
      </c>
      <c r="H14" s="1" t="s">
        <v>46</v>
      </c>
      <c r="I14" s="1" t="s">
        <v>18</v>
      </c>
      <c r="J14" s="1" t="s">
        <v>92</v>
      </c>
      <c r="K14" s="1" t="s">
        <v>46</v>
      </c>
      <c r="L14" s="1" t="s">
        <v>21</v>
      </c>
      <c r="M14" s="1" t="s">
        <v>93</v>
      </c>
      <c r="N14" s="2" t="s">
        <v>47</v>
      </c>
      <c r="O14" s="1" t="s">
        <v>94</v>
      </c>
      <c r="P14" s="1" t="n">
        <f aca="false">IF(A14=O14, 1, 0)</f>
        <v>0</v>
      </c>
    </row>
    <row r="15" customFormat="false" ht="15" hidden="false" customHeight="false" outlineLevel="0" collapsed="false">
      <c r="A15" s="1" t="n">
        <v>102710</v>
      </c>
      <c r="B15" s="1" t="n">
        <v>1891</v>
      </c>
      <c r="C15" s="1" t="s">
        <v>95</v>
      </c>
      <c r="D15" s="1" t="n">
        <v>48614.49</v>
      </c>
      <c r="E15" s="1" t="s">
        <v>96</v>
      </c>
      <c r="F15" s="1" t="s">
        <v>46</v>
      </c>
      <c r="G15" s="1" t="s">
        <v>46</v>
      </c>
      <c r="H15" s="1" t="s">
        <v>46</v>
      </c>
      <c r="I15" s="1" t="s">
        <v>18</v>
      </c>
      <c r="J15" s="1" t="s">
        <v>97</v>
      </c>
      <c r="K15" s="1" t="s">
        <v>46</v>
      </c>
      <c r="L15" s="1" t="s">
        <v>21</v>
      </c>
      <c r="M15" s="1" t="s">
        <v>98</v>
      </c>
      <c r="N15" s="1" t="s">
        <v>23</v>
      </c>
      <c r="O15" s="1" t="s">
        <v>99</v>
      </c>
      <c r="P15" s="1" t="n">
        <f aca="false">IF(A15=O15, 1, 0)</f>
        <v>0</v>
      </c>
    </row>
    <row r="16" customFormat="false" ht="15" hidden="false" customHeight="false" outlineLevel="0" collapsed="false">
      <c r="A16" s="1" t="n">
        <v>103346</v>
      </c>
      <c r="B16" s="1" t="n">
        <v>1891</v>
      </c>
      <c r="C16" s="1" t="s">
        <v>100</v>
      </c>
      <c r="D16" s="1" t="n">
        <v>24307.24</v>
      </c>
      <c r="E16" s="1" t="s">
        <v>101</v>
      </c>
      <c r="F16" s="1" t="s">
        <v>62</v>
      </c>
      <c r="G16" s="1" t="n">
        <v>-0.1277583</v>
      </c>
      <c r="H16" s="1" t="n">
        <v>51.5073509</v>
      </c>
      <c r="I16" s="1" t="s">
        <v>18</v>
      </c>
      <c r="J16" s="1" t="s">
        <v>102</v>
      </c>
      <c r="K16" s="1" t="s">
        <v>45</v>
      </c>
      <c r="L16" s="1" t="s">
        <v>21</v>
      </c>
      <c r="M16" s="1" t="s">
        <v>46</v>
      </c>
      <c r="N16" s="1" t="s">
        <v>47</v>
      </c>
      <c r="O16" s="1" t="s">
        <v>103</v>
      </c>
      <c r="P16" s="1" t="n">
        <v>0</v>
      </c>
    </row>
    <row r="17" customFormat="false" ht="15" hidden="false" customHeight="false" outlineLevel="0" collapsed="false">
      <c r="A17" s="1" t="n">
        <v>105158</v>
      </c>
      <c r="B17" s="1" t="n">
        <v>1891</v>
      </c>
      <c r="C17" s="1" t="s">
        <v>104</v>
      </c>
      <c r="D17" s="1" t="n">
        <v>486144.9</v>
      </c>
      <c r="E17" s="1" t="s">
        <v>105</v>
      </c>
      <c r="F17" s="1" t="s">
        <v>106</v>
      </c>
      <c r="G17" s="1" t="n">
        <v>-97.7430608</v>
      </c>
      <c r="H17" s="1" t="n">
        <v>30.267153</v>
      </c>
      <c r="I17" s="1" t="s">
        <v>18</v>
      </c>
      <c r="J17" s="1" t="s">
        <v>44</v>
      </c>
      <c r="K17" s="1" t="s">
        <v>20</v>
      </c>
      <c r="L17" s="1" t="s">
        <v>21</v>
      </c>
      <c r="M17" s="1" t="s">
        <v>46</v>
      </c>
      <c r="N17" s="2" t="s">
        <v>47</v>
      </c>
      <c r="O17" s="1" t="s">
        <v>48</v>
      </c>
      <c r="P17" s="1" t="n">
        <f aca="false">IF(A17=O17, 1, 0)</f>
        <v>0</v>
      </c>
    </row>
    <row r="18" customFormat="false" ht="15" hidden="false" customHeight="false" outlineLevel="0" collapsed="false">
      <c r="A18" s="1" t="n">
        <v>117911</v>
      </c>
      <c r="B18" s="1" t="n">
        <v>1891</v>
      </c>
      <c r="C18" s="1" t="s">
        <v>107</v>
      </c>
      <c r="D18" s="1" t="n">
        <v>534759.4</v>
      </c>
      <c r="E18" s="1" t="s">
        <v>108</v>
      </c>
      <c r="F18" s="1" t="s">
        <v>62</v>
      </c>
      <c r="G18" s="1" t="n">
        <v>-0.1277583</v>
      </c>
      <c r="H18" s="1" t="n">
        <v>51.5073509</v>
      </c>
      <c r="I18" s="1" t="s">
        <v>18</v>
      </c>
      <c r="J18" s="1" t="s">
        <v>92</v>
      </c>
      <c r="K18" s="1" t="s">
        <v>45</v>
      </c>
      <c r="L18" s="1" t="s">
        <v>21</v>
      </c>
      <c r="M18" s="1" t="s">
        <v>93</v>
      </c>
      <c r="N18" s="2" t="s">
        <v>47</v>
      </c>
      <c r="O18" s="1" t="s">
        <v>94</v>
      </c>
      <c r="P18" s="1" t="n">
        <f aca="false">IF(A18=O18, 1, 0)</f>
        <v>0</v>
      </c>
    </row>
    <row r="19" customFormat="false" ht="15" hidden="false" customHeight="false" outlineLevel="0" collapsed="false">
      <c r="A19" s="1" t="n">
        <v>118996</v>
      </c>
      <c r="B19" s="1" t="n">
        <v>1891</v>
      </c>
      <c r="C19" s="1" t="s">
        <v>109</v>
      </c>
      <c r="D19" s="1" t="n">
        <v>121536.2</v>
      </c>
      <c r="E19" s="1" t="s">
        <v>110</v>
      </c>
      <c r="F19" s="1" t="s">
        <v>111</v>
      </c>
      <c r="G19" s="1" t="n">
        <v>-1.1743197</v>
      </c>
      <c r="H19" s="1" t="n">
        <v>52.3555177</v>
      </c>
      <c r="I19" s="1" t="s">
        <v>18</v>
      </c>
      <c r="J19" s="1" t="s">
        <v>112</v>
      </c>
      <c r="K19" s="1" t="s">
        <v>45</v>
      </c>
      <c r="L19" s="1" t="s">
        <v>21</v>
      </c>
      <c r="M19" s="1" t="s">
        <v>46</v>
      </c>
      <c r="N19" s="2" t="s">
        <v>47</v>
      </c>
      <c r="O19" s="1" t="s">
        <v>113</v>
      </c>
      <c r="P19" s="1" t="n">
        <f aca="false">IF(A19=O19, 1, 0)</f>
        <v>0</v>
      </c>
    </row>
    <row r="20" customFormat="false" ht="15" hidden="false" customHeight="false" outlineLevel="0" collapsed="false">
      <c r="A20" s="1" t="n">
        <v>121090</v>
      </c>
      <c r="B20" s="1" t="n">
        <v>1891</v>
      </c>
      <c r="C20" s="1" t="s">
        <v>114</v>
      </c>
      <c r="D20" s="1" t="n">
        <v>1458435</v>
      </c>
      <c r="E20" s="1" t="s">
        <v>115</v>
      </c>
      <c r="F20" s="1" t="s">
        <v>62</v>
      </c>
      <c r="G20" s="1" t="n">
        <v>-0.1277583</v>
      </c>
      <c r="H20" s="1" t="n">
        <v>51.5073509</v>
      </c>
      <c r="I20" s="1" t="s">
        <v>18</v>
      </c>
      <c r="J20" s="1" t="s">
        <v>116</v>
      </c>
      <c r="K20" s="1" t="s">
        <v>45</v>
      </c>
      <c r="L20" s="1" t="s">
        <v>21</v>
      </c>
      <c r="M20" s="1" t="s">
        <v>46</v>
      </c>
      <c r="N20" s="2" t="s">
        <v>47</v>
      </c>
      <c r="O20" s="1" t="s">
        <v>117</v>
      </c>
      <c r="P20" s="1" t="n">
        <f aca="false">IF(A20=O20, 1, 0)</f>
        <v>0</v>
      </c>
    </row>
    <row r="21" customFormat="false" ht="15" hidden="false" customHeight="false" outlineLevel="0" collapsed="false">
      <c r="A21" s="1" t="n">
        <v>124276</v>
      </c>
      <c r="B21" s="1" t="n">
        <v>1891</v>
      </c>
      <c r="C21" s="1" t="s">
        <v>118</v>
      </c>
      <c r="D21" s="1" t="n">
        <v>486144.9</v>
      </c>
      <c r="E21" s="1" t="s">
        <v>119</v>
      </c>
      <c r="F21" s="1" t="s">
        <v>62</v>
      </c>
      <c r="G21" s="1" t="n">
        <v>-0.1277583</v>
      </c>
      <c r="H21" s="1" t="n">
        <v>51.5073509</v>
      </c>
      <c r="I21" s="1" t="s">
        <v>18</v>
      </c>
      <c r="J21" s="1" t="s">
        <v>120</v>
      </c>
      <c r="K21" s="1" t="s">
        <v>45</v>
      </c>
      <c r="L21" s="1" t="s">
        <v>21</v>
      </c>
      <c r="M21" s="1" t="s">
        <v>22</v>
      </c>
      <c r="N21" s="2" t="s">
        <v>121</v>
      </c>
      <c r="O21" s="1" t="s">
        <v>122</v>
      </c>
      <c r="P21" s="1" t="n">
        <f aca="false">IF(A21=O21, 1, 0)</f>
        <v>0</v>
      </c>
    </row>
    <row r="22" customFormat="false" ht="15" hidden="false" customHeight="false" outlineLevel="0" collapsed="false">
      <c r="A22" s="1" t="n">
        <v>132208</v>
      </c>
      <c r="B22" s="1" t="n">
        <v>1893</v>
      </c>
      <c r="C22" s="1" t="s">
        <v>123</v>
      </c>
      <c r="D22" s="1" t="n">
        <v>9727.626</v>
      </c>
      <c r="E22" s="1" t="s">
        <v>124</v>
      </c>
      <c r="F22" s="1" t="s">
        <v>125</v>
      </c>
      <c r="G22" s="1" t="n">
        <v>151.2092955</v>
      </c>
      <c r="H22" s="1" t="n">
        <v>-33.8688197</v>
      </c>
      <c r="I22" s="1" t="s">
        <v>18</v>
      </c>
      <c r="J22" s="1" t="s">
        <v>126</v>
      </c>
      <c r="K22" s="1" t="s">
        <v>27</v>
      </c>
      <c r="L22" s="1" t="s">
        <v>21</v>
      </c>
      <c r="M22" s="1" t="s">
        <v>30</v>
      </c>
      <c r="N22" s="1" t="s">
        <v>53</v>
      </c>
      <c r="O22" s="1" t="s">
        <v>127</v>
      </c>
      <c r="P22" s="1" t="n">
        <f aca="false">IF(A22=O22, 1, 0)</f>
        <v>0</v>
      </c>
    </row>
    <row r="23" customFormat="false" ht="15" hidden="false" customHeight="false" outlineLevel="0" collapsed="false">
      <c r="A23" s="1" t="n">
        <v>140739</v>
      </c>
      <c r="B23" s="1" t="n">
        <v>1893</v>
      </c>
      <c r="C23" s="1" t="s">
        <v>128</v>
      </c>
      <c r="D23" s="1" t="n">
        <v>977626.5</v>
      </c>
      <c r="E23" s="1" t="s">
        <v>129</v>
      </c>
      <c r="F23" s="1" t="s">
        <v>27</v>
      </c>
      <c r="G23" s="1" t="n">
        <v>133.775136</v>
      </c>
      <c r="H23" s="1" t="n">
        <v>-25.274398</v>
      </c>
      <c r="I23" s="1" t="s">
        <v>18</v>
      </c>
      <c r="J23" s="1" t="s">
        <v>44</v>
      </c>
      <c r="K23" s="1" t="s">
        <v>27</v>
      </c>
      <c r="L23" s="1" t="s">
        <v>21</v>
      </c>
      <c r="M23" s="1" t="s">
        <v>46</v>
      </c>
      <c r="N23" s="2" t="s">
        <v>47</v>
      </c>
      <c r="O23" s="1" t="s">
        <v>48</v>
      </c>
      <c r="P23" s="1" t="n">
        <f aca="false">IF(A23=O23, 1, 0)</f>
        <v>0</v>
      </c>
    </row>
    <row r="24" customFormat="false" ht="15" hidden="false" customHeight="false" outlineLevel="0" collapsed="false">
      <c r="A24" s="1" t="n">
        <v>166154</v>
      </c>
      <c r="B24" s="1" t="n">
        <v>1894</v>
      </c>
      <c r="C24" s="1" t="s">
        <v>130</v>
      </c>
      <c r="D24" s="1" t="n">
        <v>73170.73</v>
      </c>
      <c r="E24" s="1" t="s">
        <v>131</v>
      </c>
      <c r="F24" s="1" t="s">
        <v>132</v>
      </c>
      <c r="G24" s="1" t="n">
        <v>-74.29733</v>
      </c>
      <c r="H24" s="1" t="n">
        <v>4.570868</v>
      </c>
      <c r="I24" s="1" t="s">
        <v>18</v>
      </c>
      <c r="J24" s="1" t="s">
        <v>58</v>
      </c>
      <c r="K24" s="1" t="s">
        <v>132</v>
      </c>
      <c r="L24" s="1" t="s">
        <v>21</v>
      </c>
      <c r="M24" s="1" t="s">
        <v>46</v>
      </c>
      <c r="N24" s="2" t="s">
        <v>47</v>
      </c>
      <c r="O24" s="1" t="s">
        <v>59</v>
      </c>
      <c r="P24" s="1" t="n">
        <f aca="false">IF(A24=O24, 1, 0)</f>
        <v>0</v>
      </c>
    </row>
    <row r="25" customFormat="false" ht="15" hidden="false" customHeight="false" outlineLevel="0" collapsed="false">
      <c r="A25" s="1" t="n">
        <v>182113</v>
      </c>
      <c r="B25" s="1" t="n">
        <v>1894</v>
      </c>
      <c r="C25" s="1" t="s">
        <v>133</v>
      </c>
      <c r="D25" s="1" t="n">
        <v>3176931</v>
      </c>
      <c r="E25" s="1" t="s">
        <v>134</v>
      </c>
      <c r="F25" s="1" t="s">
        <v>62</v>
      </c>
      <c r="G25" s="1" t="n">
        <v>-0.1277583</v>
      </c>
      <c r="H25" s="1" t="n">
        <v>51.50735</v>
      </c>
      <c r="I25" s="1" t="s">
        <v>18</v>
      </c>
      <c r="J25" s="1" t="s">
        <v>135</v>
      </c>
      <c r="K25" s="1" t="s">
        <v>45</v>
      </c>
      <c r="L25" s="1" t="s">
        <v>21</v>
      </c>
      <c r="M25" s="1" t="s">
        <v>46</v>
      </c>
      <c r="N25" s="2" t="s">
        <v>47</v>
      </c>
      <c r="O25" s="1" t="s">
        <v>136</v>
      </c>
      <c r="P25" s="1" t="n">
        <f aca="false">IF(A25=O25, 1, 0)</f>
        <v>0</v>
      </c>
    </row>
    <row r="26" customFormat="false" ht="15" hidden="false" customHeight="false" outlineLevel="0" collapsed="false">
      <c r="A26" s="1" t="n">
        <v>184622</v>
      </c>
      <c r="B26" s="1" t="n">
        <v>1894</v>
      </c>
      <c r="C26" s="1" t="s">
        <v>41</v>
      </c>
      <c r="D26" s="1" t="n">
        <v>975609.8</v>
      </c>
      <c r="E26" s="1" t="s">
        <v>137</v>
      </c>
      <c r="F26" s="1" t="s">
        <v>62</v>
      </c>
      <c r="G26" s="1" t="n">
        <v>-0.1277583</v>
      </c>
      <c r="H26" s="1" t="n">
        <v>51.50735</v>
      </c>
      <c r="I26" s="1" t="s">
        <v>18</v>
      </c>
      <c r="J26" s="1" t="s">
        <v>44</v>
      </c>
      <c r="K26" s="1" t="s">
        <v>45</v>
      </c>
      <c r="L26" s="1" t="s">
        <v>21</v>
      </c>
      <c r="M26" s="1" t="s">
        <v>46</v>
      </c>
      <c r="N26" s="2" t="s">
        <v>47</v>
      </c>
      <c r="O26" s="1" t="s">
        <v>48</v>
      </c>
      <c r="P26" s="1" t="n">
        <f aca="false">IF(A26=O26, 1, 0)</f>
        <v>0</v>
      </c>
    </row>
    <row r="27" customFormat="false" ht="15" hidden="false" customHeight="false" outlineLevel="0" collapsed="false">
      <c r="A27" s="1" t="n">
        <v>184938</v>
      </c>
      <c r="B27" s="1" t="n">
        <v>1894</v>
      </c>
      <c r="C27" s="1" t="s">
        <v>138</v>
      </c>
      <c r="D27" s="1" t="n">
        <v>487804.9</v>
      </c>
      <c r="E27" s="1" t="s">
        <v>139</v>
      </c>
      <c r="F27" s="1" t="s">
        <v>87</v>
      </c>
      <c r="G27" s="1" t="n">
        <v>28.04731</v>
      </c>
      <c r="H27" s="1" t="n">
        <v>-26.2041</v>
      </c>
      <c r="I27" s="1" t="s">
        <v>18</v>
      </c>
      <c r="J27" s="1" t="s">
        <v>135</v>
      </c>
      <c r="K27" s="1" t="s">
        <v>89</v>
      </c>
      <c r="L27" s="1" t="s">
        <v>21</v>
      </c>
      <c r="M27" s="1" t="s">
        <v>46</v>
      </c>
      <c r="N27" s="2" t="s">
        <v>47</v>
      </c>
      <c r="O27" s="1" t="s">
        <v>136</v>
      </c>
      <c r="P27" s="1" t="n">
        <f aca="false">IF(A27=O27, 1, 0)</f>
        <v>0</v>
      </c>
    </row>
    <row r="28" customFormat="false" ht="15" hidden="false" customHeight="false" outlineLevel="0" collapsed="false">
      <c r="A28" s="1" t="n">
        <v>194898</v>
      </c>
      <c r="B28" s="1" t="n">
        <v>1895</v>
      </c>
      <c r="C28" s="1" t="s">
        <v>140</v>
      </c>
      <c r="D28" s="1" t="n">
        <v>586510.3</v>
      </c>
      <c r="E28" s="1" t="s">
        <v>141</v>
      </c>
      <c r="F28" s="1" t="s">
        <v>121</v>
      </c>
      <c r="G28" s="1" t="n">
        <v>-105.7821</v>
      </c>
      <c r="H28" s="1" t="n">
        <v>39.55005</v>
      </c>
      <c r="I28" s="1" t="s">
        <v>18</v>
      </c>
      <c r="J28" s="1" t="s">
        <v>142</v>
      </c>
      <c r="K28" s="1" t="s">
        <v>20</v>
      </c>
      <c r="L28" s="1" t="s">
        <v>21</v>
      </c>
      <c r="M28" s="1" t="s">
        <v>143</v>
      </c>
      <c r="N28" s="1" t="s">
        <v>23</v>
      </c>
      <c r="O28" s="1" t="s">
        <v>144</v>
      </c>
      <c r="P28" s="1" t="n">
        <f aca="false">IF(A28=O28, 1, 0)</f>
        <v>0</v>
      </c>
    </row>
    <row r="29" customFormat="false" ht="15" hidden="false" customHeight="false" outlineLevel="0" collapsed="false">
      <c r="A29" s="1" t="n">
        <v>197212</v>
      </c>
      <c r="B29" s="1" t="n">
        <v>1895</v>
      </c>
      <c r="C29" s="1" t="s">
        <v>145</v>
      </c>
      <c r="D29" s="1" t="n">
        <v>279569.9</v>
      </c>
      <c r="E29" s="1" t="s">
        <v>146</v>
      </c>
      <c r="F29" s="1" t="s">
        <v>147</v>
      </c>
      <c r="G29" s="1" t="n">
        <v>-1.61778</v>
      </c>
      <c r="H29" s="1" t="n">
        <v>54.97825</v>
      </c>
      <c r="I29" s="1" t="s">
        <v>63</v>
      </c>
      <c r="J29" s="1" t="s">
        <v>148</v>
      </c>
      <c r="K29" s="1" t="s">
        <v>45</v>
      </c>
      <c r="L29" s="1" t="s">
        <v>21</v>
      </c>
      <c r="M29" s="1" t="s">
        <v>46</v>
      </c>
      <c r="N29" s="2" t="s">
        <v>47</v>
      </c>
      <c r="O29" s="1" t="s">
        <v>149</v>
      </c>
      <c r="P29" s="1" t="n">
        <f aca="false">IF(A29=O29, 1, 0)</f>
        <v>0</v>
      </c>
    </row>
    <row r="30" customFormat="false" ht="15" hidden="false" customHeight="false" outlineLevel="0" collapsed="false">
      <c r="A30" s="1" t="n">
        <v>197762</v>
      </c>
      <c r="B30" s="1" t="n">
        <v>1895</v>
      </c>
      <c r="C30" s="1" t="s">
        <v>150</v>
      </c>
      <c r="D30" s="1" t="n">
        <v>244379.3</v>
      </c>
      <c r="E30" s="1" t="s">
        <v>151</v>
      </c>
      <c r="F30" s="1" t="s">
        <v>62</v>
      </c>
      <c r="G30" s="1" t="n">
        <v>-0.1277583</v>
      </c>
      <c r="H30" s="1" t="n">
        <v>51.50735</v>
      </c>
      <c r="I30" s="1" t="s">
        <v>18</v>
      </c>
      <c r="J30" s="1" t="s">
        <v>152</v>
      </c>
      <c r="K30" s="1" t="s">
        <v>45</v>
      </c>
      <c r="L30" s="1" t="s">
        <v>21</v>
      </c>
      <c r="M30" s="1" t="s">
        <v>38</v>
      </c>
      <c r="N30" s="2" t="s">
        <v>153</v>
      </c>
      <c r="O30" s="1" t="s">
        <v>154</v>
      </c>
      <c r="P30" s="1" t="n">
        <f aca="false">IF(A30=O30, 1, 0)</f>
        <v>0</v>
      </c>
    </row>
    <row r="31" customFormat="false" ht="15" hidden="false" customHeight="false" outlineLevel="0" collapsed="false">
      <c r="A31" s="1" t="n">
        <v>202634</v>
      </c>
      <c r="B31" s="1" t="n">
        <v>1895</v>
      </c>
      <c r="C31" s="1" t="s">
        <v>155</v>
      </c>
      <c r="D31" s="1" t="n">
        <v>48875.86</v>
      </c>
      <c r="E31" s="1" t="s">
        <v>156</v>
      </c>
      <c r="F31" s="1" t="s">
        <v>157</v>
      </c>
      <c r="G31" s="1" t="n">
        <v>-95.71276</v>
      </c>
      <c r="H31" s="1" t="n">
        <v>37.09375</v>
      </c>
      <c r="I31" s="1" t="s">
        <v>18</v>
      </c>
      <c r="J31" s="1" t="s">
        <v>158</v>
      </c>
      <c r="K31" s="1" t="s">
        <v>20</v>
      </c>
      <c r="L31" s="1" t="s">
        <v>21</v>
      </c>
      <c r="M31" s="1" t="s">
        <v>22</v>
      </c>
      <c r="N31" s="2" t="s">
        <v>121</v>
      </c>
      <c r="O31" s="1" t="s">
        <v>159</v>
      </c>
      <c r="P31" s="1" t="n">
        <f aca="false">IF(A31=O31, 1, 0)</f>
        <v>0</v>
      </c>
    </row>
    <row r="32" customFormat="false" ht="15" hidden="false" customHeight="false" outlineLevel="0" collapsed="false">
      <c r="A32" s="1" t="n">
        <v>207031</v>
      </c>
      <c r="B32" s="1" t="n">
        <v>1895</v>
      </c>
      <c r="C32" s="1" t="s">
        <v>160</v>
      </c>
      <c r="D32" s="1" t="n">
        <v>17106.55</v>
      </c>
      <c r="E32" s="1" t="s">
        <v>161</v>
      </c>
      <c r="F32" s="1" t="s">
        <v>162</v>
      </c>
      <c r="G32" s="1" t="n">
        <v>-97.95781</v>
      </c>
      <c r="H32" s="1" t="n">
        <v>34.5023</v>
      </c>
      <c r="I32" s="1" t="s">
        <v>18</v>
      </c>
      <c r="J32" s="1" t="s">
        <v>163</v>
      </c>
      <c r="K32" s="1" t="s">
        <v>20</v>
      </c>
      <c r="L32" s="1" t="s">
        <v>21</v>
      </c>
      <c r="M32" s="1" t="s">
        <v>46</v>
      </c>
      <c r="N32" s="2" t="s">
        <v>47</v>
      </c>
      <c r="O32" s="1" t="s">
        <v>164</v>
      </c>
      <c r="P32" s="1" t="n">
        <f aca="false">IF(A32=O32, 1, 0)</f>
        <v>0</v>
      </c>
    </row>
    <row r="33" customFormat="false" ht="15" hidden="false" customHeight="false" outlineLevel="0" collapsed="false">
      <c r="A33" s="1" t="n">
        <v>212648</v>
      </c>
      <c r="B33" s="1" t="n">
        <v>1895</v>
      </c>
      <c r="C33" s="1" t="s">
        <v>165</v>
      </c>
      <c r="D33" s="1" t="n">
        <v>439882.7</v>
      </c>
      <c r="E33" s="1" t="s">
        <v>166</v>
      </c>
      <c r="F33" s="1" t="s">
        <v>167</v>
      </c>
      <c r="G33" s="1" t="n">
        <v>-81.1831</v>
      </c>
      <c r="H33" s="1" t="n">
        <v>43.23256</v>
      </c>
      <c r="I33" s="1" t="s">
        <v>18</v>
      </c>
      <c r="J33" s="1" t="s">
        <v>135</v>
      </c>
      <c r="K33" s="1" t="s">
        <v>57</v>
      </c>
      <c r="L33" s="1" t="s">
        <v>21</v>
      </c>
      <c r="M33" s="1" t="s">
        <v>46</v>
      </c>
      <c r="N33" s="2" t="s">
        <v>47</v>
      </c>
      <c r="O33" s="1" t="s">
        <v>136</v>
      </c>
      <c r="P33" s="1" t="n">
        <f aca="false">IF(A33=O33, 1, 0)</f>
        <v>0</v>
      </c>
    </row>
    <row r="34" customFormat="false" ht="15" hidden="false" customHeight="false" outlineLevel="0" collapsed="false">
      <c r="A34" s="1" t="n">
        <v>218327</v>
      </c>
      <c r="B34" s="1" t="n">
        <v>1895</v>
      </c>
      <c r="C34" s="1" t="s">
        <v>168</v>
      </c>
      <c r="D34" s="1" t="n">
        <v>977517.1</v>
      </c>
      <c r="E34" s="1" t="s">
        <v>169</v>
      </c>
      <c r="F34" s="1" t="s">
        <v>87</v>
      </c>
      <c r="G34" s="1" t="n">
        <v>28.04731</v>
      </c>
      <c r="H34" s="1" t="n">
        <v>-26.2041</v>
      </c>
      <c r="I34" s="1" t="s">
        <v>18</v>
      </c>
      <c r="J34" s="1" t="s">
        <v>170</v>
      </c>
      <c r="K34" s="1" t="s">
        <v>89</v>
      </c>
      <c r="L34" s="1" t="s">
        <v>21</v>
      </c>
      <c r="M34" s="1" t="s">
        <v>171</v>
      </c>
      <c r="N34" s="1" t="s">
        <v>23</v>
      </c>
      <c r="O34" s="1" t="s">
        <v>172</v>
      </c>
      <c r="P34" s="1" t="n">
        <f aca="false">IF(A34=O34, 1, 0)</f>
        <v>0</v>
      </c>
    </row>
    <row r="35" customFormat="false" ht="15" hidden="false" customHeight="false" outlineLevel="0" collapsed="false">
      <c r="A35" s="1" t="n">
        <v>235223</v>
      </c>
      <c r="B35" s="1" t="n">
        <v>1895</v>
      </c>
      <c r="C35" s="1" t="s">
        <v>173</v>
      </c>
      <c r="D35" s="1" t="n">
        <v>1466276</v>
      </c>
      <c r="E35" s="1" t="s">
        <v>174</v>
      </c>
      <c r="F35" s="1" t="s">
        <v>175</v>
      </c>
      <c r="G35" s="1" t="n">
        <v>-112.4685</v>
      </c>
      <c r="H35" s="1" t="n">
        <v>34.54002</v>
      </c>
      <c r="I35" s="1" t="s">
        <v>63</v>
      </c>
      <c r="J35" s="1" t="s">
        <v>135</v>
      </c>
      <c r="K35" s="1" t="s">
        <v>20</v>
      </c>
      <c r="L35" s="1" t="s">
        <v>21</v>
      </c>
      <c r="M35" s="1" t="s">
        <v>46</v>
      </c>
      <c r="N35" s="2" t="s">
        <v>47</v>
      </c>
      <c r="O35" s="1" t="s">
        <v>136</v>
      </c>
      <c r="P35" s="1" t="n">
        <f aca="false">IF(A35=O35, 1, 0)</f>
        <v>0</v>
      </c>
    </row>
    <row r="36" customFormat="false" ht="15" hidden="false" customHeight="false" outlineLevel="0" collapsed="false">
      <c r="A36" s="1" t="n">
        <v>237359</v>
      </c>
      <c r="B36" s="1" t="n">
        <v>1895</v>
      </c>
      <c r="C36" s="1" t="s">
        <v>176</v>
      </c>
      <c r="D36" s="1" t="n">
        <v>977517.1</v>
      </c>
      <c r="E36" s="1" t="s">
        <v>177</v>
      </c>
      <c r="F36" s="1" t="s">
        <v>62</v>
      </c>
      <c r="G36" s="1" t="n">
        <v>-0.1277583</v>
      </c>
      <c r="H36" s="1" t="n">
        <v>51.50735</v>
      </c>
      <c r="I36" s="1" t="s">
        <v>18</v>
      </c>
      <c r="J36" s="1" t="s">
        <v>178</v>
      </c>
      <c r="K36" s="1" t="s">
        <v>45</v>
      </c>
      <c r="L36" s="1" t="s">
        <v>21</v>
      </c>
      <c r="M36" s="1" t="s">
        <v>46</v>
      </c>
      <c r="N36" s="1" t="s">
        <v>47</v>
      </c>
      <c r="O36" s="1" t="s">
        <v>179</v>
      </c>
      <c r="P36" s="1" t="n">
        <f aca="false">IF(A36=O36, 1, 0)</f>
        <v>0</v>
      </c>
    </row>
    <row r="37" customFormat="false" ht="15" hidden="false" customHeight="false" outlineLevel="0" collapsed="false">
      <c r="A37" s="1" t="n">
        <v>254544</v>
      </c>
      <c r="B37" s="1" t="n">
        <v>1903</v>
      </c>
      <c r="C37" s="1" t="s">
        <v>180</v>
      </c>
      <c r="D37" s="1" t="n">
        <v>875912.4</v>
      </c>
      <c r="E37" s="1" t="s">
        <v>181</v>
      </c>
      <c r="F37" s="1" t="s">
        <v>182</v>
      </c>
      <c r="G37" s="1" t="n">
        <v>-94.64745</v>
      </c>
      <c r="H37" s="1" t="n">
        <v>36.83507</v>
      </c>
      <c r="I37" s="1" t="s">
        <v>18</v>
      </c>
      <c r="J37" s="1" t="s">
        <v>183</v>
      </c>
      <c r="K37" s="1" t="s">
        <v>20</v>
      </c>
      <c r="L37" s="1" t="s">
        <v>21</v>
      </c>
      <c r="M37" s="1" t="s">
        <v>30</v>
      </c>
      <c r="N37" s="2" t="s">
        <v>31</v>
      </c>
      <c r="O37" s="1" t="s">
        <v>184</v>
      </c>
      <c r="P37" s="1" t="n">
        <f aca="false">IF(A37=O37, 1, 0)</f>
        <v>0</v>
      </c>
    </row>
    <row r="38" customFormat="false" ht="15" hidden="false" customHeight="false" outlineLevel="0" collapsed="false">
      <c r="A38" s="1" t="n">
        <v>256606</v>
      </c>
      <c r="B38" s="1" t="n">
        <v>1903</v>
      </c>
      <c r="C38" s="1" t="s">
        <v>185</v>
      </c>
      <c r="D38" s="1" t="n">
        <v>4863.813</v>
      </c>
      <c r="E38" s="1" t="s">
        <v>186</v>
      </c>
      <c r="F38" s="1" t="s">
        <v>187</v>
      </c>
      <c r="G38" s="1" t="n">
        <v>-110.3309</v>
      </c>
      <c r="H38" s="1" t="n">
        <v>29.29722</v>
      </c>
      <c r="I38" s="1" t="s">
        <v>18</v>
      </c>
      <c r="J38" s="1" t="s">
        <v>188</v>
      </c>
      <c r="K38" s="1" t="s">
        <v>189</v>
      </c>
      <c r="L38" s="1" t="s">
        <v>21</v>
      </c>
      <c r="M38" s="1" t="s">
        <v>46</v>
      </c>
      <c r="N38" s="2" t="s">
        <v>47</v>
      </c>
      <c r="O38" s="1" t="s">
        <v>190</v>
      </c>
      <c r="P38" s="1" t="n">
        <f aca="false">IF(A38=O38, 1, 0)</f>
        <v>0</v>
      </c>
    </row>
    <row r="39" customFormat="false" ht="15" hidden="false" customHeight="false" outlineLevel="0" collapsed="false">
      <c r="A39" s="1" t="n">
        <v>259082</v>
      </c>
      <c r="B39" s="1" t="n">
        <v>1903</v>
      </c>
      <c r="C39" s="1" t="s">
        <v>191</v>
      </c>
      <c r="D39" s="1" t="n">
        <v>145914.4</v>
      </c>
      <c r="E39" s="1" t="s">
        <v>192</v>
      </c>
      <c r="F39" s="1" t="s">
        <v>193</v>
      </c>
      <c r="G39" s="1" t="n">
        <v>-94.61742</v>
      </c>
      <c r="H39" s="1" t="n">
        <v>37.07903</v>
      </c>
      <c r="I39" s="1" t="s">
        <v>18</v>
      </c>
      <c r="J39" s="1" t="s">
        <v>194</v>
      </c>
      <c r="K39" s="1" t="s">
        <v>20</v>
      </c>
      <c r="L39" s="1" t="s">
        <v>21</v>
      </c>
      <c r="M39" s="1" t="s">
        <v>30</v>
      </c>
      <c r="N39" s="1" t="s">
        <v>53</v>
      </c>
      <c r="O39" s="1" t="s">
        <v>195</v>
      </c>
      <c r="P39" s="1" t="n">
        <f aca="false">IF(A39=O39, 1, 0)</f>
        <v>0</v>
      </c>
    </row>
    <row r="40" customFormat="false" ht="15" hidden="false" customHeight="false" outlineLevel="0" collapsed="false">
      <c r="A40" s="1" t="n">
        <v>259211</v>
      </c>
      <c r="B40" s="1" t="n">
        <v>1903</v>
      </c>
      <c r="C40" s="1" t="s">
        <v>196</v>
      </c>
      <c r="D40" s="1" t="n">
        <v>6079767</v>
      </c>
      <c r="E40" s="1" t="s">
        <v>197</v>
      </c>
      <c r="F40" s="1" t="s">
        <v>198</v>
      </c>
      <c r="G40" s="1" t="n">
        <v>-2.081112</v>
      </c>
      <c r="H40" s="1" t="n">
        <v>52.51226</v>
      </c>
      <c r="I40" s="1" t="s">
        <v>18</v>
      </c>
      <c r="J40" s="1" t="s">
        <v>199</v>
      </c>
      <c r="K40" s="1" t="s">
        <v>45</v>
      </c>
      <c r="L40" s="1" t="s">
        <v>21</v>
      </c>
      <c r="M40" s="1" t="s">
        <v>46</v>
      </c>
      <c r="N40" s="1" t="s">
        <v>47</v>
      </c>
      <c r="O40" s="1" t="s">
        <v>200</v>
      </c>
      <c r="P40" s="1" t="n">
        <f aca="false">IF(A40=O40, 1, 0)</f>
        <v>0</v>
      </c>
    </row>
    <row r="41" customFormat="false" ht="15" hidden="false" customHeight="false" outlineLevel="0" collapsed="false">
      <c r="A41" s="1" t="n">
        <v>266465</v>
      </c>
      <c r="B41" s="1" t="n">
        <v>1903</v>
      </c>
      <c r="C41" s="1" t="s">
        <v>201</v>
      </c>
      <c r="D41" s="1" t="n">
        <v>2279912</v>
      </c>
      <c r="E41" s="1" t="s">
        <v>202</v>
      </c>
      <c r="F41" s="1" t="s">
        <v>125</v>
      </c>
      <c r="G41" s="1" t="n">
        <v>151.2093</v>
      </c>
      <c r="H41" s="1" t="n">
        <v>-33.86882</v>
      </c>
      <c r="I41" s="1" t="s">
        <v>18</v>
      </c>
      <c r="J41" s="1" t="s">
        <v>203</v>
      </c>
      <c r="K41" s="1" t="s">
        <v>27</v>
      </c>
      <c r="L41" s="1" t="s">
        <v>21</v>
      </c>
      <c r="M41" s="1" t="s">
        <v>98</v>
      </c>
      <c r="N41" s="2" t="s">
        <v>47</v>
      </c>
      <c r="O41" s="1" t="s">
        <v>204</v>
      </c>
      <c r="P41" s="1" t="n">
        <f aca="false">IF(A41=O41, 1, 0)</f>
        <v>0</v>
      </c>
    </row>
    <row r="42" customFormat="false" ht="15" hidden="false" customHeight="false" outlineLevel="0" collapsed="false">
      <c r="A42" s="1" t="n">
        <v>267486</v>
      </c>
      <c r="B42" s="1" t="n">
        <v>1903</v>
      </c>
      <c r="C42" s="1" t="s">
        <v>205</v>
      </c>
      <c r="D42" s="1" t="n">
        <v>745356.8</v>
      </c>
      <c r="E42" s="1" t="s">
        <v>206</v>
      </c>
      <c r="F42" s="1" t="s">
        <v>207</v>
      </c>
      <c r="G42" s="1" t="n">
        <v>-72.28955</v>
      </c>
      <c r="H42" s="1" t="n">
        <v>43.70225</v>
      </c>
      <c r="I42" s="1" t="s">
        <v>18</v>
      </c>
      <c r="J42" s="1" t="s">
        <v>208</v>
      </c>
      <c r="K42" s="1" t="s">
        <v>20</v>
      </c>
      <c r="L42" s="1" t="s">
        <v>21</v>
      </c>
      <c r="M42" s="1" t="s">
        <v>46</v>
      </c>
      <c r="N42" s="2" t="s">
        <v>47</v>
      </c>
      <c r="O42" s="1" t="s">
        <v>209</v>
      </c>
      <c r="P42" s="1" t="n">
        <f aca="false">IF(A42=O42, 1, 0)</f>
        <v>0</v>
      </c>
    </row>
    <row r="43" customFormat="false" ht="15" hidden="false" customHeight="false" outlineLevel="0" collapsed="false">
      <c r="A43" s="1" t="n">
        <v>270898</v>
      </c>
      <c r="B43" s="1" t="n">
        <v>1903</v>
      </c>
      <c r="C43" s="1" t="s">
        <v>210</v>
      </c>
      <c r="D43" s="1" t="n">
        <v>1750973</v>
      </c>
      <c r="E43" s="1" t="s">
        <v>211</v>
      </c>
      <c r="F43" s="1" t="s">
        <v>212</v>
      </c>
      <c r="G43" s="1" t="n">
        <v>-94.55468</v>
      </c>
      <c r="H43" s="1" t="n">
        <v>39.20389</v>
      </c>
      <c r="I43" s="1" t="s">
        <v>18</v>
      </c>
      <c r="J43" s="2" t="s">
        <v>213</v>
      </c>
      <c r="K43" s="1" t="s">
        <v>20</v>
      </c>
      <c r="L43" s="1" t="s">
        <v>21</v>
      </c>
      <c r="M43" s="1" t="s">
        <v>30</v>
      </c>
      <c r="N43" s="1" t="s">
        <v>53</v>
      </c>
      <c r="O43" s="1" t="s">
        <v>214</v>
      </c>
      <c r="P43" s="1" t="n">
        <f aca="false">IF(A43=O43, 1, 0)</f>
        <v>0</v>
      </c>
    </row>
    <row r="44" customFormat="false" ht="15" hidden="false" customHeight="false" outlineLevel="0" collapsed="false">
      <c r="A44" s="1" t="n">
        <v>285095</v>
      </c>
      <c r="B44" s="1" t="n">
        <v>1908</v>
      </c>
      <c r="C44" s="1" t="s">
        <v>215</v>
      </c>
      <c r="D44" s="1" t="n">
        <v>486618</v>
      </c>
      <c r="E44" s="1" t="s">
        <v>216</v>
      </c>
      <c r="F44" s="1" t="s">
        <v>62</v>
      </c>
      <c r="G44" s="1" t="n">
        <v>-0.1277583</v>
      </c>
      <c r="H44" s="1" t="n">
        <v>51.50735</v>
      </c>
      <c r="I44" s="1" t="s">
        <v>63</v>
      </c>
      <c r="J44" s="1" t="s">
        <v>217</v>
      </c>
      <c r="K44" s="1" t="s">
        <v>45</v>
      </c>
      <c r="L44" s="1" t="s">
        <v>21</v>
      </c>
      <c r="M44" s="1" t="s">
        <v>30</v>
      </c>
      <c r="N44" s="2" t="s">
        <v>21</v>
      </c>
      <c r="O44" s="1" t="n">
        <v>436688</v>
      </c>
      <c r="P44" s="1" t="n">
        <f aca="false">IF(A44=O44, 1, 0)</f>
        <v>0</v>
      </c>
    </row>
    <row r="45" customFormat="false" ht="15" hidden="false" customHeight="false" outlineLevel="0" collapsed="false">
      <c r="A45" s="1" t="n">
        <v>286215</v>
      </c>
      <c r="B45" s="1" t="n">
        <v>1908</v>
      </c>
      <c r="C45" s="1" t="s">
        <v>218</v>
      </c>
      <c r="D45" s="1" t="n">
        <v>4866180</v>
      </c>
      <c r="E45" s="1" t="s">
        <v>219</v>
      </c>
      <c r="F45" s="1" t="s">
        <v>220</v>
      </c>
      <c r="G45" s="1" t="n">
        <v>4.469936</v>
      </c>
      <c r="H45" s="1" t="n">
        <v>50.50389</v>
      </c>
      <c r="I45" s="1" t="s">
        <v>18</v>
      </c>
      <c r="J45" s="1" t="s">
        <v>221</v>
      </c>
      <c r="K45" s="1" t="s">
        <v>220</v>
      </c>
      <c r="L45" s="1" t="s">
        <v>21</v>
      </c>
      <c r="M45" s="1" t="s">
        <v>222</v>
      </c>
      <c r="N45" s="2" t="s">
        <v>47</v>
      </c>
      <c r="O45" s="1" t="s">
        <v>223</v>
      </c>
      <c r="P45" s="1" t="n">
        <f aca="false">IF(A45=O45, 1, 0)</f>
        <v>0</v>
      </c>
    </row>
    <row r="46" customFormat="false" ht="15" hidden="false" customHeight="false" outlineLevel="0" collapsed="false">
      <c r="A46" s="1" t="n">
        <v>286607</v>
      </c>
      <c r="B46" s="1" t="n">
        <v>1908</v>
      </c>
      <c r="C46" s="1" t="s">
        <v>224</v>
      </c>
      <c r="D46" s="1" t="n">
        <v>364963.5</v>
      </c>
      <c r="E46" s="1" t="s">
        <v>225</v>
      </c>
      <c r="F46" s="1" t="s">
        <v>226</v>
      </c>
      <c r="G46" s="1" t="n">
        <v>-3.530875</v>
      </c>
      <c r="H46" s="1" t="n">
        <v>50.71556</v>
      </c>
      <c r="I46" s="1" t="s">
        <v>18</v>
      </c>
      <c r="J46" s="4" t="s">
        <v>227</v>
      </c>
      <c r="K46" s="1" t="s">
        <v>45</v>
      </c>
      <c r="L46" s="1" t="s">
        <v>21</v>
      </c>
      <c r="M46" s="1" t="s">
        <v>22</v>
      </c>
      <c r="N46" s="2" t="s">
        <v>121</v>
      </c>
      <c r="O46" s="1" t="s">
        <v>228</v>
      </c>
      <c r="P46" s="1" t="n">
        <f aca="false">IF(A46=O46, 1, 0)</f>
        <v>0</v>
      </c>
    </row>
    <row r="47" customFormat="false" ht="15" hidden="false" customHeight="false" outlineLevel="0" collapsed="false">
      <c r="A47" s="1" t="n">
        <v>287358</v>
      </c>
      <c r="B47" s="1" t="n">
        <v>1908</v>
      </c>
      <c r="C47" s="1" t="s">
        <v>229</v>
      </c>
      <c r="D47" s="1" t="n">
        <v>1703163</v>
      </c>
      <c r="E47" s="1" t="s">
        <v>230</v>
      </c>
      <c r="F47" s="1" t="s">
        <v>62</v>
      </c>
      <c r="G47" s="1" t="n">
        <v>-0.1277583</v>
      </c>
      <c r="H47" s="1" t="n">
        <v>51.50735</v>
      </c>
      <c r="I47" s="1" t="s">
        <v>18</v>
      </c>
      <c r="J47" s="1" t="s">
        <v>231</v>
      </c>
      <c r="K47" s="1" t="s">
        <v>45</v>
      </c>
      <c r="L47" s="1" t="s">
        <v>21</v>
      </c>
      <c r="M47" s="1" t="s">
        <v>232</v>
      </c>
      <c r="N47" s="2" t="s">
        <v>47</v>
      </c>
      <c r="O47" s="1" t="s">
        <v>233</v>
      </c>
      <c r="P47" s="1" t="n">
        <f aca="false">IF(A47=O47, 1, 0)</f>
        <v>0</v>
      </c>
    </row>
    <row r="48" customFormat="false" ht="15" hidden="false" customHeight="false" outlineLevel="0" collapsed="false">
      <c r="A48" s="1" t="n">
        <v>289504</v>
      </c>
      <c r="B48" s="1" t="n">
        <v>1908</v>
      </c>
      <c r="C48" s="1" t="s">
        <v>234</v>
      </c>
      <c r="D48" s="1" t="n">
        <v>4622871</v>
      </c>
      <c r="E48" s="1" t="s">
        <v>235</v>
      </c>
      <c r="F48" s="1" t="s">
        <v>236</v>
      </c>
      <c r="G48" s="1" t="n">
        <v>-78.67664</v>
      </c>
      <c r="H48" s="1" t="n">
        <v>35.78939</v>
      </c>
      <c r="I48" s="1" t="s">
        <v>18</v>
      </c>
      <c r="J48" s="1" t="s">
        <v>237</v>
      </c>
      <c r="K48" s="1" t="s">
        <v>20</v>
      </c>
      <c r="L48" s="1" t="s">
        <v>21</v>
      </c>
      <c r="M48" s="1" t="s">
        <v>22</v>
      </c>
      <c r="N48" s="1" t="s">
        <v>238</v>
      </c>
      <c r="O48" s="1" t="s">
        <v>239</v>
      </c>
      <c r="P48" s="1" t="n">
        <f aca="false">IF(A48=O48, 1, 0)</f>
        <v>0</v>
      </c>
    </row>
    <row r="49" customFormat="false" ht="15" hidden="false" customHeight="false" outlineLevel="0" collapsed="false">
      <c r="A49" s="1" t="n">
        <v>300420</v>
      </c>
      <c r="B49" s="1" t="n">
        <v>1908</v>
      </c>
      <c r="C49" s="1" t="s">
        <v>240</v>
      </c>
      <c r="D49" s="1" t="n">
        <v>487834.5</v>
      </c>
      <c r="E49" s="1" t="s">
        <v>241</v>
      </c>
      <c r="F49" s="1" t="s">
        <v>87</v>
      </c>
      <c r="G49" s="1" t="n">
        <v>28.04731</v>
      </c>
      <c r="H49" s="1" t="n">
        <v>-26.2041</v>
      </c>
      <c r="I49" s="1" t="s">
        <v>18</v>
      </c>
      <c r="J49" s="1" t="s">
        <v>242</v>
      </c>
      <c r="K49" s="1" t="s">
        <v>89</v>
      </c>
      <c r="L49" s="1" t="s">
        <v>21</v>
      </c>
      <c r="M49" s="1" t="s">
        <v>30</v>
      </c>
      <c r="N49" s="2" t="s">
        <v>31</v>
      </c>
      <c r="O49" s="1" t="s">
        <v>243</v>
      </c>
      <c r="P49" s="1" t="n">
        <f aca="false">IF(A49=O49, 1, 0)</f>
        <v>0</v>
      </c>
    </row>
    <row r="50" customFormat="false" ht="15" hidden="false" customHeight="false" outlineLevel="0" collapsed="false">
      <c r="A50" s="1" t="n">
        <v>308017</v>
      </c>
      <c r="B50" s="1" t="n">
        <v>1908</v>
      </c>
      <c r="C50" s="1" t="s">
        <v>244</v>
      </c>
      <c r="D50" s="1" t="n">
        <v>486618</v>
      </c>
      <c r="E50" s="1" t="s">
        <v>245</v>
      </c>
      <c r="F50" s="1" t="s">
        <v>39</v>
      </c>
      <c r="G50" s="1" t="n">
        <v>-71.80229</v>
      </c>
      <c r="H50" s="1" t="n">
        <v>42.26259</v>
      </c>
      <c r="I50" s="1" t="s">
        <v>18</v>
      </c>
      <c r="J50" s="1" t="s">
        <v>246</v>
      </c>
      <c r="K50" s="1" t="s">
        <v>20</v>
      </c>
      <c r="L50" s="1" t="s">
        <v>21</v>
      </c>
      <c r="M50" s="1" t="s">
        <v>247</v>
      </c>
      <c r="N50" s="1" t="s">
        <v>23</v>
      </c>
      <c r="O50" s="1" t="s">
        <v>248</v>
      </c>
      <c r="P50" s="1" t="n">
        <f aca="false">IF(A50=O50, 1, 0)</f>
        <v>0</v>
      </c>
    </row>
    <row r="51" customFormat="false" ht="15" hidden="false" customHeight="false" outlineLevel="0" collapsed="false">
      <c r="A51" s="1" t="n">
        <v>310137</v>
      </c>
      <c r="B51" s="1" t="n">
        <v>1908</v>
      </c>
      <c r="C51" s="1" t="s">
        <v>249</v>
      </c>
      <c r="D51" s="1" t="n">
        <v>340632.6</v>
      </c>
      <c r="E51" s="1" t="s">
        <v>250</v>
      </c>
      <c r="F51" s="1" t="s">
        <v>62</v>
      </c>
      <c r="G51" s="1" t="n">
        <v>-0.1277583</v>
      </c>
      <c r="H51" s="1" t="n">
        <v>51.50735</v>
      </c>
      <c r="I51" s="1" t="s">
        <v>18</v>
      </c>
      <c r="J51" s="1" t="s">
        <v>251</v>
      </c>
      <c r="K51" s="1" t="s">
        <v>45</v>
      </c>
      <c r="L51" s="1" t="s">
        <v>21</v>
      </c>
      <c r="M51" s="1" t="s">
        <v>30</v>
      </c>
      <c r="N51" s="2" t="s">
        <v>31</v>
      </c>
      <c r="O51" s="1" t="s">
        <v>252</v>
      </c>
      <c r="P51" s="1" t="n">
        <f aca="false">IF(A51=O51, 1, 0)</f>
        <v>0</v>
      </c>
    </row>
    <row r="52" customFormat="false" ht="15" hidden="false" customHeight="false" outlineLevel="0" collapsed="false">
      <c r="A52" s="1" t="n">
        <v>310303</v>
      </c>
      <c r="B52" s="1" t="n">
        <v>1908</v>
      </c>
      <c r="C52" s="1" t="s">
        <v>253</v>
      </c>
      <c r="D52" s="1" t="n">
        <v>243309</v>
      </c>
      <c r="E52" s="1" t="s">
        <v>254</v>
      </c>
      <c r="F52" s="1" t="s">
        <v>255</v>
      </c>
      <c r="G52" s="1" t="n">
        <v>-107.8801</v>
      </c>
      <c r="H52" s="1" t="n">
        <v>37.27528</v>
      </c>
      <c r="I52" s="1" t="s">
        <v>18</v>
      </c>
      <c r="J52" s="1" t="s">
        <v>256</v>
      </c>
      <c r="K52" s="1" t="s">
        <v>20</v>
      </c>
      <c r="L52" s="1" t="s">
        <v>21</v>
      </c>
      <c r="M52" s="1" t="s">
        <v>46</v>
      </c>
      <c r="N52" s="2" t="s">
        <v>47</v>
      </c>
      <c r="O52" s="1" t="s">
        <v>257</v>
      </c>
      <c r="P52" s="1" t="n">
        <f aca="false">IF(A52=O52, 1, 0)</f>
        <v>0</v>
      </c>
    </row>
    <row r="53" customFormat="false" ht="15" hidden="false" customHeight="false" outlineLevel="0" collapsed="false">
      <c r="A53" s="1" t="n">
        <v>315208</v>
      </c>
      <c r="B53" s="1" t="n">
        <v>1908</v>
      </c>
      <c r="C53" s="1" t="s">
        <v>258</v>
      </c>
      <c r="D53" s="1" t="n">
        <v>973236</v>
      </c>
      <c r="E53" s="1" t="s">
        <v>259</v>
      </c>
      <c r="F53" s="1" t="s">
        <v>43</v>
      </c>
      <c r="G53" s="1" t="n">
        <v>-4.251806</v>
      </c>
      <c r="H53" s="1" t="n">
        <v>55.86424</v>
      </c>
      <c r="I53" s="1" t="s">
        <v>18</v>
      </c>
      <c r="J53" s="1" t="s">
        <v>260</v>
      </c>
      <c r="K53" s="1" t="s">
        <v>45</v>
      </c>
      <c r="L53" s="1" t="s">
        <v>21</v>
      </c>
      <c r="M53" s="1" t="s">
        <v>46</v>
      </c>
      <c r="N53" s="2" t="s">
        <v>47</v>
      </c>
      <c r="O53" s="1" t="s">
        <v>261</v>
      </c>
      <c r="P53" s="1" t="n">
        <f aca="false">IF(A53=O53, 1, 0)</f>
        <v>0</v>
      </c>
    </row>
    <row r="54" customFormat="false" ht="15" hidden="false" customHeight="false" outlineLevel="0" collapsed="false">
      <c r="A54" s="1" t="n">
        <v>316998</v>
      </c>
      <c r="B54" s="1" t="n">
        <v>1908</v>
      </c>
      <c r="C54" s="1" t="s">
        <v>262</v>
      </c>
      <c r="D54" s="1" t="n">
        <v>1703163</v>
      </c>
      <c r="E54" s="1" t="s">
        <v>263</v>
      </c>
      <c r="F54" s="1" t="s">
        <v>264</v>
      </c>
      <c r="G54" s="1" t="n">
        <v>8.468946</v>
      </c>
      <c r="H54" s="1" t="n">
        <v>60.47202</v>
      </c>
      <c r="I54" s="1" t="s">
        <v>28</v>
      </c>
      <c r="J54" s="1" t="s">
        <v>265</v>
      </c>
      <c r="K54" s="1" t="s">
        <v>264</v>
      </c>
      <c r="L54" s="1" t="s">
        <v>21</v>
      </c>
      <c r="M54" s="1" t="s">
        <v>30</v>
      </c>
      <c r="N54" s="2" t="s">
        <v>31</v>
      </c>
      <c r="O54" s="1" t="s">
        <v>266</v>
      </c>
      <c r="P54" s="1" t="n">
        <f aca="false">IF(A54=O54, 1, 0)</f>
        <v>0</v>
      </c>
    </row>
    <row r="55" customFormat="false" ht="15" hidden="false" customHeight="false" outlineLevel="0" collapsed="false">
      <c r="A55" s="1" t="n">
        <v>320207</v>
      </c>
      <c r="B55" s="1" t="n">
        <v>1908</v>
      </c>
      <c r="C55" s="1" t="s">
        <v>267</v>
      </c>
      <c r="D55" s="1" t="n">
        <v>973236</v>
      </c>
      <c r="E55" s="1" t="s">
        <v>268</v>
      </c>
      <c r="F55" s="1" t="s">
        <v>264</v>
      </c>
      <c r="G55" s="1" t="n">
        <v>8.468946</v>
      </c>
      <c r="H55" s="1" t="n">
        <v>60.47202</v>
      </c>
      <c r="I55" s="1" t="s">
        <v>28</v>
      </c>
      <c r="J55" s="1" t="s">
        <v>265</v>
      </c>
      <c r="K55" s="1" t="s">
        <v>264</v>
      </c>
      <c r="L55" s="1" t="s">
        <v>21</v>
      </c>
      <c r="M55" s="1" t="s">
        <v>30</v>
      </c>
      <c r="N55" s="2" t="s">
        <v>31</v>
      </c>
      <c r="O55" s="1" t="s">
        <v>266</v>
      </c>
      <c r="P55" s="1" t="n">
        <f aca="false">IF(A55=O55, 1, 0)</f>
        <v>0</v>
      </c>
    </row>
    <row r="56" customFormat="false" ht="15" hidden="false" customHeight="false" outlineLevel="0" collapsed="false">
      <c r="A56" s="1" t="n">
        <v>324908</v>
      </c>
      <c r="B56" s="1" t="n">
        <v>1908</v>
      </c>
      <c r="C56" s="1" t="s">
        <v>269</v>
      </c>
      <c r="D56" s="1" t="n">
        <v>973236</v>
      </c>
      <c r="E56" s="1" t="s">
        <v>270</v>
      </c>
      <c r="F56" s="1" t="s">
        <v>271</v>
      </c>
      <c r="G56" s="1" t="n">
        <v>-95.77491</v>
      </c>
      <c r="H56" s="1" t="n">
        <v>36.06743</v>
      </c>
      <c r="I56" s="1" t="s">
        <v>18</v>
      </c>
      <c r="J56" s="1" t="s">
        <v>272</v>
      </c>
      <c r="K56" s="1" t="s">
        <v>20</v>
      </c>
      <c r="L56" s="1" t="s">
        <v>21</v>
      </c>
      <c r="M56" s="1" t="s">
        <v>30</v>
      </c>
      <c r="N56" s="2" t="s">
        <v>31</v>
      </c>
      <c r="O56" s="1" t="s">
        <v>273</v>
      </c>
      <c r="P56" s="1" t="n">
        <f aca="false">IF(A56=O56, 1, 0)</f>
        <v>0</v>
      </c>
    </row>
    <row r="57" customFormat="false" ht="15" hidden="false" customHeight="false" outlineLevel="0" collapsed="false">
      <c r="A57" s="1" t="n">
        <v>328875</v>
      </c>
      <c r="B57" s="1" t="n">
        <v>1908</v>
      </c>
      <c r="C57" s="1" t="s">
        <v>274</v>
      </c>
      <c r="D57" s="1" t="n">
        <v>729927</v>
      </c>
      <c r="E57" s="1" t="s">
        <v>275</v>
      </c>
      <c r="F57" s="1" t="s">
        <v>276</v>
      </c>
      <c r="G57" s="1" t="n">
        <v>-6.944722</v>
      </c>
      <c r="H57" s="1" t="n">
        <v>37.26142</v>
      </c>
      <c r="I57" s="1" t="s">
        <v>18</v>
      </c>
      <c r="J57" s="1" t="s">
        <v>277</v>
      </c>
      <c r="K57" s="1" t="s">
        <v>278</v>
      </c>
      <c r="L57" s="1" t="s">
        <v>21</v>
      </c>
      <c r="M57" s="1" t="s">
        <v>22</v>
      </c>
      <c r="N57" s="1" t="s">
        <v>279</v>
      </c>
      <c r="O57" s="1" t="s">
        <v>280</v>
      </c>
      <c r="P57" s="1" t="n">
        <f aca="false">IF(A57=O57, 1, 0)</f>
        <v>0</v>
      </c>
    </row>
    <row r="58" customFormat="false" ht="15" hidden="false" customHeight="false" outlineLevel="0" collapsed="false">
      <c r="A58" s="1" t="n">
        <v>335578</v>
      </c>
      <c r="B58" s="1" t="n">
        <v>1909</v>
      </c>
      <c r="C58" s="1" t="s">
        <v>281</v>
      </c>
      <c r="D58" s="1" t="n">
        <v>1461988</v>
      </c>
      <c r="E58" s="1" t="s">
        <v>282</v>
      </c>
      <c r="F58" s="1" t="s">
        <v>62</v>
      </c>
      <c r="G58" s="1" t="n">
        <v>-0.1277583</v>
      </c>
      <c r="H58" s="1" t="n">
        <v>51.50735</v>
      </c>
      <c r="I58" s="1" t="s">
        <v>18</v>
      </c>
      <c r="J58" s="1" t="s">
        <v>283</v>
      </c>
      <c r="K58" s="1" t="s">
        <v>45</v>
      </c>
      <c r="L58" s="1" t="s">
        <v>21</v>
      </c>
      <c r="M58" s="1" t="s">
        <v>22</v>
      </c>
      <c r="N58" s="1" t="s">
        <v>23</v>
      </c>
      <c r="O58" s="1" t="s">
        <v>284</v>
      </c>
      <c r="P58" s="1" t="n">
        <f aca="false">IF(A58=O58, 1, 0)</f>
        <v>0</v>
      </c>
    </row>
    <row r="59" customFormat="false" ht="15" hidden="false" customHeight="false" outlineLevel="0" collapsed="false">
      <c r="A59" s="1" t="n">
        <v>337925</v>
      </c>
      <c r="B59" s="1" t="n">
        <v>1909</v>
      </c>
      <c r="C59" s="1" t="s">
        <v>285</v>
      </c>
      <c r="D59" s="1" t="n">
        <v>1218324</v>
      </c>
      <c r="E59" s="1" t="s">
        <v>286</v>
      </c>
      <c r="F59" s="1" t="s">
        <v>287</v>
      </c>
      <c r="G59" s="1" t="n">
        <v>142.7028</v>
      </c>
      <c r="H59" s="1" t="n">
        <v>-20.91757</v>
      </c>
      <c r="I59" s="1" t="s">
        <v>18</v>
      </c>
      <c r="J59" s="1" t="s">
        <v>288</v>
      </c>
      <c r="K59" s="1" t="s">
        <v>27</v>
      </c>
      <c r="L59" s="1" t="s">
        <v>21</v>
      </c>
      <c r="M59" s="1" t="s">
        <v>46</v>
      </c>
      <c r="N59" s="2" t="s">
        <v>47</v>
      </c>
      <c r="O59" s="1" t="s">
        <v>289</v>
      </c>
      <c r="P59" s="1" t="n">
        <f aca="false">IF(A59=O59, 1, 0)</f>
        <v>0</v>
      </c>
    </row>
    <row r="60" customFormat="false" ht="15" hidden="false" customHeight="false" outlineLevel="0" collapsed="false">
      <c r="A60" s="1" t="n">
        <v>338107</v>
      </c>
      <c r="B60" s="1" t="n">
        <v>1909</v>
      </c>
      <c r="C60" s="1" t="s">
        <v>290</v>
      </c>
      <c r="D60" s="1" t="n">
        <v>1023392</v>
      </c>
      <c r="E60" s="1" t="s">
        <v>291</v>
      </c>
      <c r="F60" s="1" t="s">
        <v>198</v>
      </c>
      <c r="G60" s="1" t="n">
        <v>-2.081112</v>
      </c>
      <c r="H60" s="1" t="n">
        <v>52.51226</v>
      </c>
      <c r="I60" s="1" t="s">
        <v>18</v>
      </c>
      <c r="J60" s="1" t="s">
        <v>292</v>
      </c>
      <c r="K60" s="1" t="s">
        <v>45</v>
      </c>
      <c r="L60" s="1" t="s">
        <v>21</v>
      </c>
      <c r="M60" s="1" t="s">
        <v>293</v>
      </c>
      <c r="N60" s="1" t="s">
        <v>23</v>
      </c>
      <c r="O60" s="1" t="s">
        <v>294</v>
      </c>
      <c r="P60" s="1" t="n">
        <f aca="false">IF(A60=O60, 1, 0)</f>
        <v>0</v>
      </c>
    </row>
    <row r="61" customFormat="false" ht="15" hidden="false" customHeight="false" outlineLevel="0" collapsed="false">
      <c r="A61" s="1" t="n">
        <v>339876</v>
      </c>
      <c r="B61" s="1" t="n">
        <v>1909</v>
      </c>
      <c r="C61" s="1" t="s">
        <v>295</v>
      </c>
      <c r="D61" s="1" t="n">
        <v>97465.89</v>
      </c>
      <c r="E61" s="1" t="s">
        <v>296</v>
      </c>
      <c r="F61" s="1" t="s">
        <v>62</v>
      </c>
      <c r="G61" s="1" t="n">
        <v>-0.1277583</v>
      </c>
      <c r="H61" s="1" t="n">
        <v>51.50735</v>
      </c>
      <c r="I61" s="1" t="s">
        <v>28</v>
      </c>
      <c r="J61" s="1" t="s">
        <v>297</v>
      </c>
      <c r="K61" s="1" t="s">
        <v>45</v>
      </c>
      <c r="L61" s="1" t="s">
        <v>21</v>
      </c>
      <c r="M61" s="1" t="s">
        <v>30</v>
      </c>
      <c r="N61" s="2" t="s">
        <v>31</v>
      </c>
      <c r="O61" s="1" t="s">
        <v>298</v>
      </c>
      <c r="P61" s="1" t="n">
        <f aca="false">IF(A61=O61, 1, 0)</f>
        <v>0</v>
      </c>
    </row>
    <row r="62" customFormat="false" ht="15" hidden="false" customHeight="false" outlineLevel="0" collapsed="false">
      <c r="A62" s="1" t="n">
        <v>340216</v>
      </c>
      <c r="B62" s="1" t="n">
        <v>1909</v>
      </c>
      <c r="C62" s="1" t="s">
        <v>299</v>
      </c>
      <c r="D62" s="1" t="n">
        <v>487329.4</v>
      </c>
      <c r="E62" s="1" t="s">
        <v>300</v>
      </c>
      <c r="F62" s="1" t="s">
        <v>301</v>
      </c>
      <c r="G62" s="1" t="n">
        <v>145.338</v>
      </c>
      <c r="H62" s="1" t="n">
        <v>-41.88752</v>
      </c>
      <c r="I62" s="1" t="s">
        <v>18</v>
      </c>
      <c r="J62" s="1" t="s">
        <v>302</v>
      </c>
      <c r="K62" s="1" t="s">
        <v>27</v>
      </c>
      <c r="L62" s="1" t="s">
        <v>21</v>
      </c>
      <c r="M62" s="1" t="s">
        <v>30</v>
      </c>
      <c r="N62" s="2" t="s">
        <v>21</v>
      </c>
      <c r="O62" s="1" t="n">
        <v>315353</v>
      </c>
      <c r="P62" s="1" t="n">
        <f aca="false">IF(A62=O62, 1, 0)</f>
        <v>0</v>
      </c>
    </row>
    <row r="63" customFormat="false" ht="15" hidden="false" customHeight="false" outlineLevel="0" collapsed="false">
      <c r="A63" s="1" t="n">
        <v>353603</v>
      </c>
      <c r="B63" s="1" t="n">
        <v>1909</v>
      </c>
      <c r="C63" s="1" t="s">
        <v>303</v>
      </c>
      <c r="D63" s="1" t="n">
        <v>974658.9</v>
      </c>
      <c r="E63" s="1" t="s">
        <v>304</v>
      </c>
      <c r="F63" s="1" t="s">
        <v>167</v>
      </c>
      <c r="G63" s="1" t="n">
        <v>-81.1831</v>
      </c>
      <c r="H63" s="1" t="n">
        <v>43.23256</v>
      </c>
      <c r="I63" s="1" t="s">
        <v>18</v>
      </c>
      <c r="J63" s="1" t="s">
        <v>305</v>
      </c>
      <c r="K63" s="1" t="s">
        <v>57</v>
      </c>
      <c r="L63" s="1" t="s">
        <v>21</v>
      </c>
      <c r="M63" s="1" t="s">
        <v>30</v>
      </c>
      <c r="N63" s="2" t="s">
        <v>21</v>
      </c>
      <c r="O63" s="1" t="n">
        <v>306495</v>
      </c>
      <c r="P63" s="1" t="n">
        <f aca="false">IF(A63=O63, 1, 0)</f>
        <v>0</v>
      </c>
    </row>
    <row r="64" customFormat="false" ht="15" hidden="false" customHeight="false" outlineLevel="0" collapsed="false">
      <c r="A64" s="1" t="n">
        <v>357592</v>
      </c>
      <c r="B64" s="1" t="n">
        <v>1909</v>
      </c>
      <c r="C64" s="1" t="s">
        <v>306</v>
      </c>
      <c r="D64" s="1" t="n">
        <v>974658.9</v>
      </c>
      <c r="E64" s="1" t="s">
        <v>307</v>
      </c>
      <c r="F64" s="1" t="s">
        <v>62</v>
      </c>
      <c r="G64" s="1" t="n">
        <v>-0.1277583</v>
      </c>
      <c r="H64" s="1" t="n">
        <v>51.50735</v>
      </c>
      <c r="I64" s="1" t="s">
        <v>18</v>
      </c>
      <c r="J64" s="1" t="s">
        <v>308</v>
      </c>
      <c r="K64" s="1" t="s">
        <v>45</v>
      </c>
      <c r="L64" s="1" t="s">
        <v>21</v>
      </c>
      <c r="M64" s="1" t="s">
        <v>30</v>
      </c>
      <c r="N64" s="2" t="s">
        <v>31</v>
      </c>
      <c r="O64" s="1" t="s">
        <v>309</v>
      </c>
      <c r="P64" s="1" t="n">
        <f aca="false">IF(A64=O64, 1, 0)</f>
        <v>0</v>
      </c>
    </row>
    <row r="65" customFormat="false" ht="15" hidden="false" customHeight="false" outlineLevel="0" collapsed="false">
      <c r="A65" s="1" t="n">
        <v>359567</v>
      </c>
      <c r="B65" s="1" t="n">
        <v>1909</v>
      </c>
      <c r="C65" s="1" t="s">
        <v>310</v>
      </c>
      <c r="D65" s="1" t="n">
        <v>1218324</v>
      </c>
      <c r="E65" s="1" t="s">
        <v>311</v>
      </c>
      <c r="F65" s="1" t="s">
        <v>62</v>
      </c>
      <c r="G65" s="1" t="n">
        <v>-0.1277583</v>
      </c>
      <c r="H65" s="1" t="n">
        <v>51.50735</v>
      </c>
      <c r="I65" s="1" t="s">
        <v>28</v>
      </c>
      <c r="J65" s="1" t="s">
        <v>312</v>
      </c>
      <c r="K65" s="1" t="s">
        <v>45</v>
      </c>
      <c r="L65" s="1" t="s">
        <v>21</v>
      </c>
      <c r="M65" s="1" t="s">
        <v>30</v>
      </c>
      <c r="N65" s="2" t="s">
        <v>31</v>
      </c>
      <c r="O65" s="1" t="s">
        <v>313</v>
      </c>
      <c r="P65" s="1" t="n">
        <f aca="false">IF(A65=O65, 1, 0)</f>
        <v>0</v>
      </c>
    </row>
    <row r="66" customFormat="false" ht="15" hidden="false" customHeight="false" outlineLevel="0" collapsed="false">
      <c r="A66" s="1" t="n">
        <v>360738</v>
      </c>
      <c r="B66" s="1" t="n">
        <v>1909</v>
      </c>
      <c r="C66" s="1" t="s">
        <v>314</v>
      </c>
      <c r="D66" s="1" t="n">
        <v>730994.2</v>
      </c>
      <c r="E66" s="1" t="s">
        <v>315</v>
      </c>
      <c r="F66" s="1" t="s">
        <v>62</v>
      </c>
      <c r="G66" s="1" t="n">
        <v>-0.1277583</v>
      </c>
      <c r="H66" s="1" t="n">
        <v>51.50735</v>
      </c>
      <c r="I66" s="1" t="s">
        <v>63</v>
      </c>
      <c r="J66" s="1" t="s">
        <v>316</v>
      </c>
      <c r="K66" s="1" t="s">
        <v>45</v>
      </c>
      <c r="L66" s="1" t="s">
        <v>21</v>
      </c>
      <c r="M66" s="1" t="s">
        <v>171</v>
      </c>
      <c r="N66" s="1" t="s">
        <v>23</v>
      </c>
      <c r="O66" s="1" t="s">
        <v>317</v>
      </c>
      <c r="P66" s="1" t="n">
        <f aca="false">IF(A66=O66, 1, 0)</f>
        <v>0</v>
      </c>
    </row>
    <row r="67" customFormat="false" ht="15" hidden="false" customHeight="false" outlineLevel="0" collapsed="false">
      <c r="A67" s="1" t="n">
        <v>363596</v>
      </c>
      <c r="B67" s="1" t="n">
        <v>1909</v>
      </c>
      <c r="C67" s="1" t="s">
        <v>318</v>
      </c>
      <c r="D67" s="1" t="n">
        <v>2192982</v>
      </c>
      <c r="E67" s="1" t="s">
        <v>319</v>
      </c>
      <c r="F67" s="1" t="s">
        <v>62</v>
      </c>
      <c r="G67" s="1" t="n">
        <v>-0.1277583</v>
      </c>
      <c r="H67" s="1" t="n">
        <v>51.50735</v>
      </c>
      <c r="I67" s="1" t="s">
        <v>30</v>
      </c>
      <c r="J67" s="1" t="s">
        <v>320</v>
      </c>
      <c r="K67" s="1" t="s">
        <v>45</v>
      </c>
      <c r="L67" s="1" t="s">
        <v>21</v>
      </c>
      <c r="M67" s="1" t="s">
        <v>30</v>
      </c>
      <c r="N67" s="2" t="s">
        <v>21</v>
      </c>
      <c r="O67" s="1" t="n">
        <v>307115</v>
      </c>
      <c r="P67" s="1" t="n">
        <f aca="false">IF(A67=O67, 1, 0)</f>
        <v>0</v>
      </c>
    </row>
    <row r="68" customFormat="false" ht="15" hidden="false" customHeight="false" outlineLevel="0" collapsed="false">
      <c r="A68" s="1" t="n">
        <v>364560</v>
      </c>
      <c r="B68" s="1" t="n">
        <v>1909</v>
      </c>
      <c r="C68" s="1" t="s">
        <v>321</v>
      </c>
      <c r="D68" s="1" t="n">
        <v>2071150</v>
      </c>
      <c r="E68" s="1" t="s">
        <v>322</v>
      </c>
      <c r="F68" s="1" t="s">
        <v>87</v>
      </c>
      <c r="G68" s="1" t="n">
        <v>28.04731</v>
      </c>
      <c r="H68" s="1" t="n">
        <v>-26.2041</v>
      </c>
      <c r="I68" s="1" t="s">
        <v>30</v>
      </c>
      <c r="J68" s="1" t="s">
        <v>323</v>
      </c>
      <c r="K68" s="1" t="s">
        <v>89</v>
      </c>
      <c r="L68" s="1" t="s">
        <v>21</v>
      </c>
      <c r="M68" s="1" t="s">
        <v>22</v>
      </c>
      <c r="N68" s="1" t="s">
        <v>238</v>
      </c>
      <c r="O68" s="1" t="s">
        <v>324</v>
      </c>
      <c r="P68" s="1" t="n">
        <f aca="false">IF(A68=O68, 1, 0)</f>
        <v>0</v>
      </c>
    </row>
    <row r="69" customFormat="false" ht="15" hidden="false" customHeight="false" outlineLevel="0" collapsed="false">
      <c r="A69" s="1" t="n">
        <v>365292</v>
      </c>
      <c r="B69" s="1" t="n">
        <v>1909</v>
      </c>
      <c r="C69" s="1" t="s">
        <v>325</v>
      </c>
      <c r="D69" s="5" t="n">
        <v>5000000</v>
      </c>
      <c r="E69" s="1" t="s">
        <v>326</v>
      </c>
      <c r="F69" s="1" t="s">
        <v>327</v>
      </c>
      <c r="G69" s="1" t="n">
        <v>-122.4194</v>
      </c>
      <c r="H69" s="1" t="n">
        <v>37.77493</v>
      </c>
      <c r="I69" s="1" t="s">
        <v>30</v>
      </c>
      <c r="J69" s="1" t="s">
        <v>328</v>
      </c>
      <c r="K69" s="1" t="s">
        <v>20</v>
      </c>
      <c r="L69" s="1" t="s">
        <v>21</v>
      </c>
      <c r="M69" s="1" t="s">
        <v>30</v>
      </c>
      <c r="N69" s="2" t="s">
        <v>31</v>
      </c>
      <c r="O69" s="1" t="s">
        <v>329</v>
      </c>
      <c r="P69" s="1" t="n">
        <f aca="false">IF(A69=O69, 1, 0)</f>
        <v>0</v>
      </c>
    </row>
    <row r="70" customFormat="false" ht="15" hidden="false" customHeight="false" outlineLevel="0" collapsed="false">
      <c r="A70" s="1" t="n">
        <v>366671</v>
      </c>
      <c r="B70" s="1" t="n">
        <v>1909</v>
      </c>
      <c r="C70" s="1" t="s">
        <v>330</v>
      </c>
      <c r="D70" s="1" t="n">
        <v>4136253</v>
      </c>
      <c r="E70" s="1" t="s">
        <v>331</v>
      </c>
      <c r="F70" s="1" t="s">
        <v>62</v>
      </c>
      <c r="G70" s="1" t="n">
        <v>-0.1277583</v>
      </c>
      <c r="H70" s="1" t="n">
        <v>51.50735</v>
      </c>
      <c r="I70" s="1" t="s">
        <v>332</v>
      </c>
      <c r="J70" s="1" t="s">
        <v>333</v>
      </c>
      <c r="K70" s="1" t="s">
        <v>45</v>
      </c>
      <c r="L70" s="1" t="s">
        <v>21</v>
      </c>
      <c r="M70" s="1" t="s">
        <v>30</v>
      </c>
      <c r="N70" s="2" t="s">
        <v>31</v>
      </c>
      <c r="O70" s="1" t="s">
        <v>334</v>
      </c>
      <c r="P70" s="1" t="n">
        <f aca="false">IF(A70=O70, 1, 0)</f>
        <v>0</v>
      </c>
    </row>
    <row r="71" customFormat="false" ht="15" hidden="false" customHeight="false" outlineLevel="0" collapsed="false">
      <c r="A71" s="1" t="n">
        <v>368224</v>
      </c>
      <c r="B71" s="1" t="n">
        <v>1909</v>
      </c>
      <c r="C71" s="1" t="s">
        <v>335</v>
      </c>
      <c r="D71" s="1" t="n">
        <v>36549.71</v>
      </c>
      <c r="E71" s="1" t="s">
        <v>336</v>
      </c>
      <c r="F71" s="1" t="s">
        <v>337</v>
      </c>
      <c r="G71" s="1" t="n">
        <v>-94.65089</v>
      </c>
      <c r="H71" s="1" t="n">
        <v>39.04894</v>
      </c>
      <c r="I71" s="1" t="s">
        <v>18</v>
      </c>
      <c r="J71" s="1" t="s">
        <v>338</v>
      </c>
      <c r="K71" s="1" t="s">
        <v>20</v>
      </c>
      <c r="L71" s="1" t="s">
        <v>21</v>
      </c>
      <c r="M71" s="1" t="s">
        <v>98</v>
      </c>
      <c r="N71" s="1" t="s">
        <v>23</v>
      </c>
      <c r="O71" s="1" t="s">
        <v>339</v>
      </c>
      <c r="P71" s="1" t="n">
        <f aca="false">IF(A71=O71, 1, 0)</f>
        <v>0</v>
      </c>
    </row>
    <row r="72" customFormat="false" ht="15" hidden="false" customHeight="false" outlineLevel="0" collapsed="false">
      <c r="A72" s="1" t="n">
        <v>368730</v>
      </c>
      <c r="B72" s="1" t="n">
        <v>1909</v>
      </c>
      <c r="C72" s="1" t="s">
        <v>340</v>
      </c>
      <c r="D72" s="5" t="n">
        <v>11000000</v>
      </c>
      <c r="E72" s="1" t="s">
        <v>341</v>
      </c>
      <c r="F72" s="1" t="s">
        <v>342</v>
      </c>
      <c r="G72" s="1" t="n">
        <v>-110.3626</v>
      </c>
      <c r="H72" s="1" t="n">
        <v>46.87968</v>
      </c>
      <c r="I72" s="1" t="s">
        <v>18</v>
      </c>
      <c r="J72" s="1" t="s">
        <v>343</v>
      </c>
      <c r="K72" s="1" t="s">
        <v>20</v>
      </c>
      <c r="L72" s="1" t="s">
        <v>21</v>
      </c>
      <c r="M72" s="1" t="s">
        <v>46</v>
      </c>
      <c r="N72" s="2" t="s">
        <v>47</v>
      </c>
      <c r="O72" s="1" t="s">
        <v>344</v>
      </c>
      <c r="P72" s="1" t="n">
        <f aca="false">IF(A72=O72, 1, 0)</f>
        <v>0</v>
      </c>
    </row>
    <row r="73" customFormat="false" ht="15" hidden="false" customHeight="false" outlineLevel="0" collapsed="false">
      <c r="A73" s="1" t="n">
        <v>369711</v>
      </c>
      <c r="B73" s="1" t="n">
        <v>1909</v>
      </c>
      <c r="C73" s="1" t="s">
        <v>345</v>
      </c>
      <c r="D73" s="1" t="n">
        <v>1263977</v>
      </c>
      <c r="E73" s="1" t="s">
        <v>346</v>
      </c>
      <c r="F73" s="1" t="s">
        <v>62</v>
      </c>
      <c r="G73" s="1" t="n">
        <v>-0.1277583</v>
      </c>
      <c r="H73" s="1" t="n">
        <v>51.50735</v>
      </c>
      <c r="I73" s="1" t="s">
        <v>30</v>
      </c>
      <c r="J73" s="1" t="s">
        <v>347</v>
      </c>
      <c r="K73" s="1" t="s">
        <v>45</v>
      </c>
      <c r="L73" s="1" t="s">
        <v>21</v>
      </c>
      <c r="M73" s="1" t="s">
        <v>30</v>
      </c>
      <c r="N73" s="2" t="s">
        <v>31</v>
      </c>
      <c r="O73" s="1" t="s">
        <v>348</v>
      </c>
      <c r="P73" s="1" t="n">
        <f aca="false">IF(A73=O73, 1, 0)</f>
        <v>0</v>
      </c>
    </row>
    <row r="74" customFormat="false" ht="15" hidden="false" customHeight="false" outlineLevel="0" collapsed="false">
      <c r="A74" s="1" t="n">
        <v>374481</v>
      </c>
      <c r="B74" s="1" t="n">
        <v>1909</v>
      </c>
      <c r="C74" s="1" t="s">
        <v>349</v>
      </c>
      <c r="D74" s="1" t="n">
        <v>267509.7</v>
      </c>
      <c r="E74" s="1" t="s">
        <v>350</v>
      </c>
      <c r="F74" s="1" t="s">
        <v>351</v>
      </c>
      <c r="G74" s="1" t="n">
        <v>-95.61644</v>
      </c>
      <c r="H74" s="1" t="n">
        <v>37.03284</v>
      </c>
      <c r="I74" s="1" t="s">
        <v>18</v>
      </c>
      <c r="J74" s="1" t="s">
        <v>352</v>
      </c>
      <c r="K74" s="1" t="s">
        <v>20</v>
      </c>
      <c r="L74" s="1" t="s">
        <v>21</v>
      </c>
      <c r="M74" s="1" t="s">
        <v>30</v>
      </c>
      <c r="N74" s="2" t="s">
        <v>31</v>
      </c>
      <c r="O74" s="1" t="s">
        <v>353</v>
      </c>
      <c r="P74" s="1" t="n">
        <f aca="false">IF(A74=O74, 1, 0)</f>
        <v>0</v>
      </c>
    </row>
    <row r="75" customFormat="false" ht="15" hidden="false" customHeight="false" outlineLevel="0" collapsed="false">
      <c r="A75" s="1" t="n">
        <v>386046</v>
      </c>
      <c r="B75" s="1" t="n">
        <v>1909</v>
      </c>
      <c r="C75" s="1" t="s">
        <v>354</v>
      </c>
      <c r="D75" s="5" t="n">
        <v>5000000</v>
      </c>
      <c r="E75" s="1" t="s">
        <v>355</v>
      </c>
      <c r="F75" s="1" t="s">
        <v>356</v>
      </c>
      <c r="G75" s="1" t="n">
        <v>-73.64866</v>
      </c>
      <c r="H75" s="1" t="n">
        <v>40.75516</v>
      </c>
      <c r="I75" s="1" t="s">
        <v>18</v>
      </c>
      <c r="J75" s="1" t="s">
        <v>357</v>
      </c>
      <c r="K75" s="1" t="s">
        <v>20</v>
      </c>
      <c r="L75" s="1" t="s">
        <v>21</v>
      </c>
      <c r="M75" s="1" t="s">
        <v>46</v>
      </c>
      <c r="N75" s="2" t="s">
        <v>47</v>
      </c>
      <c r="O75" s="1" t="s">
        <v>358</v>
      </c>
      <c r="P75" s="1" t="n">
        <f aca="false">IF(A75=O75, 1, 0)</f>
        <v>0</v>
      </c>
    </row>
    <row r="76" customFormat="false" ht="15" hidden="false" customHeight="false" outlineLevel="0" collapsed="false">
      <c r="A76" s="1" t="n">
        <v>392606</v>
      </c>
      <c r="B76" s="1" t="n">
        <v>1910</v>
      </c>
      <c r="C76" s="1" t="s">
        <v>359</v>
      </c>
      <c r="D76" s="1" t="n">
        <v>972762.6</v>
      </c>
      <c r="E76" s="1" t="s">
        <v>360</v>
      </c>
      <c r="F76" s="1" t="s">
        <v>361</v>
      </c>
      <c r="G76" s="1" t="n">
        <v>121.466</v>
      </c>
      <c r="H76" s="1" t="n">
        <v>-30.749</v>
      </c>
      <c r="I76" s="1" t="s">
        <v>18</v>
      </c>
      <c r="J76" s="1" t="s">
        <v>362</v>
      </c>
      <c r="K76" s="1" t="s">
        <v>27</v>
      </c>
      <c r="L76" s="1" t="s">
        <v>21</v>
      </c>
      <c r="M76" s="1" t="s">
        <v>30</v>
      </c>
      <c r="N76" s="2" t="s">
        <v>21</v>
      </c>
      <c r="O76" s="1" t="n">
        <v>63247</v>
      </c>
      <c r="P76" s="1" t="n">
        <f aca="false">IF(A76=O76, 1, 0)</f>
        <v>0</v>
      </c>
    </row>
    <row r="77" customFormat="false" ht="15" hidden="false" customHeight="false" outlineLevel="0" collapsed="false">
      <c r="A77" s="1" t="n">
        <v>399015</v>
      </c>
      <c r="B77" s="1" t="n">
        <v>1910</v>
      </c>
      <c r="C77" s="1" t="s">
        <v>363</v>
      </c>
      <c r="D77" s="1" t="n">
        <v>1750973</v>
      </c>
      <c r="E77" s="1" t="s">
        <v>364</v>
      </c>
      <c r="F77" s="1" t="s">
        <v>62</v>
      </c>
      <c r="G77" s="1" t="n">
        <v>-0.1277583</v>
      </c>
      <c r="H77" s="1" t="n">
        <v>51.50735</v>
      </c>
      <c r="I77" s="1" t="s">
        <v>63</v>
      </c>
      <c r="J77" s="1" t="s">
        <v>365</v>
      </c>
      <c r="K77" s="1" t="s">
        <v>45</v>
      </c>
      <c r="L77" s="1" t="s">
        <v>21</v>
      </c>
      <c r="M77" s="1" t="s">
        <v>22</v>
      </c>
      <c r="N77" s="2" t="s">
        <v>47</v>
      </c>
      <c r="O77" s="1" t="s">
        <v>366</v>
      </c>
      <c r="P77" s="1" t="n">
        <f aca="false">IF(A77=O77, 1, 0)</f>
        <v>0</v>
      </c>
    </row>
    <row r="78" customFormat="false" ht="15" hidden="false" customHeight="false" outlineLevel="0" collapsed="false">
      <c r="A78" s="1" t="n">
        <v>400967</v>
      </c>
      <c r="B78" s="1" t="n">
        <v>1910</v>
      </c>
      <c r="C78" s="1" t="s">
        <v>367</v>
      </c>
      <c r="D78" s="1" t="n">
        <v>4620623</v>
      </c>
      <c r="E78" s="1" t="s">
        <v>368</v>
      </c>
      <c r="F78" s="1" t="s">
        <v>62</v>
      </c>
      <c r="G78" s="1" t="n">
        <v>-0.1277583</v>
      </c>
      <c r="H78" s="1" t="n">
        <v>51.50735</v>
      </c>
      <c r="I78" s="1" t="s">
        <v>18</v>
      </c>
      <c r="J78" s="1" t="s">
        <v>369</v>
      </c>
      <c r="K78" s="1" t="s">
        <v>45</v>
      </c>
      <c r="L78" s="1" t="s">
        <v>21</v>
      </c>
      <c r="M78" s="1" t="s">
        <v>98</v>
      </c>
      <c r="N78" s="1" t="s">
        <v>39</v>
      </c>
      <c r="O78" s="1" t="s">
        <v>370</v>
      </c>
      <c r="P78" s="1" t="n">
        <f aca="false">IF(A78=O78, 1, 0)</f>
        <v>0</v>
      </c>
    </row>
    <row r="79" customFormat="false" ht="15" hidden="false" customHeight="false" outlineLevel="0" collapsed="false">
      <c r="A79" s="1" t="n">
        <v>401596</v>
      </c>
      <c r="B79" s="1" t="n">
        <v>1910</v>
      </c>
      <c r="C79" s="1" t="s">
        <v>371</v>
      </c>
      <c r="D79" s="1" t="n">
        <v>486381.3</v>
      </c>
      <c r="E79" s="1" t="s">
        <v>372</v>
      </c>
      <c r="F79" s="1" t="s">
        <v>62</v>
      </c>
      <c r="G79" s="1" t="n">
        <v>-0.1277583</v>
      </c>
      <c r="H79" s="1" t="n">
        <v>51.50735</v>
      </c>
      <c r="I79" s="1" t="s">
        <v>28</v>
      </c>
      <c r="J79" s="1" t="s">
        <v>373</v>
      </c>
      <c r="K79" s="1" t="s">
        <v>45</v>
      </c>
      <c r="L79" s="1" t="s">
        <v>21</v>
      </c>
      <c r="M79" s="1" t="s">
        <v>30</v>
      </c>
      <c r="N79" s="2" t="s">
        <v>31</v>
      </c>
      <c r="O79" s="1" t="s">
        <v>374</v>
      </c>
      <c r="P79" s="1" t="n">
        <f aca="false">IF(A79=O79, 1, 0)</f>
        <v>0</v>
      </c>
    </row>
    <row r="80" customFormat="false" ht="15" hidden="false" customHeight="false" outlineLevel="0" collapsed="false">
      <c r="A80" s="1" t="n">
        <v>404097</v>
      </c>
      <c r="B80" s="1" t="n">
        <v>1910</v>
      </c>
      <c r="C80" s="1" t="s">
        <v>375</v>
      </c>
      <c r="D80" s="1" t="n">
        <v>1142996</v>
      </c>
      <c r="E80" s="1" t="s">
        <v>376</v>
      </c>
      <c r="F80" s="1" t="s">
        <v>87</v>
      </c>
      <c r="G80" s="1" t="n">
        <v>28.04731</v>
      </c>
      <c r="H80" s="1" t="n">
        <v>-26.2041</v>
      </c>
      <c r="I80" s="1" t="s">
        <v>28</v>
      </c>
      <c r="J80" s="1" t="s">
        <v>377</v>
      </c>
      <c r="K80" s="1" t="s">
        <v>89</v>
      </c>
      <c r="L80" s="1" t="s">
        <v>21</v>
      </c>
      <c r="M80" s="1" t="s">
        <v>30</v>
      </c>
      <c r="N80" s="2" t="s">
        <v>31</v>
      </c>
      <c r="O80" s="1" t="s">
        <v>378</v>
      </c>
      <c r="P80" s="1" t="n">
        <f aca="false">IF(A80=O80, 1, 0)</f>
        <v>0</v>
      </c>
    </row>
    <row r="81" customFormat="false" ht="15" hidden="false" customHeight="false" outlineLevel="0" collapsed="false">
      <c r="A81" s="1" t="n">
        <v>404296</v>
      </c>
      <c r="B81" s="1" t="n">
        <v>1910</v>
      </c>
      <c r="C81" s="1" t="s">
        <v>379</v>
      </c>
      <c r="D81" s="1" t="n">
        <v>972762.6</v>
      </c>
      <c r="E81" s="1" t="s">
        <v>380</v>
      </c>
      <c r="F81" s="1" t="s">
        <v>381</v>
      </c>
      <c r="G81" s="1" t="n">
        <v>-97.21348</v>
      </c>
      <c r="H81" s="1" t="n">
        <v>32.82943</v>
      </c>
      <c r="I81" s="1" t="s">
        <v>28</v>
      </c>
      <c r="J81" s="1" t="s">
        <v>382</v>
      </c>
      <c r="K81" s="1" t="s">
        <v>20</v>
      </c>
      <c r="L81" s="1" t="s">
        <v>21</v>
      </c>
      <c r="M81" s="1" t="s">
        <v>30</v>
      </c>
      <c r="N81" s="2" t="s">
        <v>31</v>
      </c>
      <c r="O81" s="1" t="s">
        <v>383</v>
      </c>
      <c r="P81" s="1" t="n">
        <f aca="false">IF(A81=O81, 1, 0)</f>
        <v>0</v>
      </c>
    </row>
    <row r="82" customFormat="false" ht="15" hidden="false" customHeight="false" outlineLevel="0" collapsed="false">
      <c r="A82" s="1" t="n">
        <v>412323</v>
      </c>
      <c r="B82" s="1" t="n">
        <v>1910</v>
      </c>
      <c r="C82" s="1" t="s">
        <v>384</v>
      </c>
      <c r="D82" s="1" t="n">
        <v>1653696</v>
      </c>
      <c r="E82" s="1" t="s">
        <v>385</v>
      </c>
      <c r="F82" s="1" t="s">
        <v>62</v>
      </c>
      <c r="G82" s="1" t="n">
        <v>-0.1277583</v>
      </c>
      <c r="H82" s="1" t="n">
        <v>51.50735</v>
      </c>
      <c r="I82" s="1" t="s">
        <v>28</v>
      </c>
      <c r="J82" s="1" t="s">
        <v>386</v>
      </c>
      <c r="K82" s="1" t="s">
        <v>45</v>
      </c>
      <c r="L82" s="1" t="s">
        <v>21</v>
      </c>
      <c r="M82" s="1" t="s">
        <v>30</v>
      </c>
      <c r="N82" s="2" t="s">
        <v>31</v>
      </c>
      <c r="O82" s="1" t="s">
        <v>387</v>
      </c>
      <c r="P82" s="1" t="n">
        <f aca="false">IF(A82=O82, 1, 0)</f>
        <v>0</v>
      </c>
    </row>
    <row r="83" customFormat="false" ht="15" hidden="false" customHeight="false" outlineLevel="0" collapsed="false">
      <c r="A83" s="1" t="n">
        <v>419592</v>
      </c>
      <c r="B83" s="1" t="n">
        <v>1910</v>
      </c>
      <c r="C83" s="1" t="s">
        <v>388</v>
      </c>
      <c r="D83" s="1" t="n">
        <v>1215953</v>
      </c>
      <c r="E83" s="1" t="s">
        <v>389</v>
      </c>
      <c r="F83" s="1" t="s">
        <v>87</v>
      </c>
      <c r="G83" s="1" t="n">
        <v>28.04731</v>
      </c>
      <c r="H83" s="1" t="n">
        <v>-26.2041</v>
      </c>
      <c r="I83" s="1" t="s">
        <v>63</v>
      </c>
      <c r="J83" s="1" t="s">
        <v>390</v>
      </c>
      <c r="K83" s="1" t="s">
        <v>89</v>
      </c>
      <c r="L83" s="1" t="s">
        <v>21</v>
      </c>
      <c r="M83" s="1" t="s">
        <v>30</v>
      </c>
      <c r="N83" s="2" t="s">
        <v>31</v>
      </c>
      <c r="O83" s="1" t="s">
        <v>391</v>
      </c>
      <c r="P83" s="1" t="n">
        <f aca="false">IF(A83=O83, 1, 0)</f>
        <v>0</v>
      </c>
    </row>
    <row r="84" customFormat="false" ht="15" hidden="false" customHeight="false" outlineLevel="0" collapsed="false">
      <c r="A84" s="1" t="n">
        <v>420051</v>
      </c>
      <c r="B84" s="1" t="n">
        <v>1910</v>
      </c>
      <c r="C84" s="1" t="s">
        <v>392</v>
      </c>
      <c r="D84" s="1" t="n">
        <v>4863.813</v>
      </c>
      <c r="E84" s="1" t="s">
        <v>393</v>
      </c>
      <c r="F84" s="1" t="s">
        <v>62</v>
      </c>
      <c r="G84" s="1" t="n">
        <v>-0.1277583</v>
      </c>
      <c r="H84" s="1" t="n">
        <v>51.50735</v>
      </c>
      <c r="I84" s="1" t="s">
        <v>30</v>
      </c>
      <c r="J84" s="1" t="s">
        <v>394</v>
      </c>
      <c r="K84" s="1" t="s">
        <v>45</v>
      </c>
      <c r="L84" s="1" t="s">
        <v>21</v>
      </c>
      <c r="M84" s="1" t="s">
        <v>30</v>
      </c>
      <c r="N84" s="2" t="s">
        <v>31</v>
      </c>
      <c r="O84" s="1" t="s">
        <v>395</v>
      </c>
      <c r="P84" s="1" t="n">
        <f aca="false">IF(A84=O84, 1, 0)</f>
        <v>0</v>
      </c>
    </row>
    <row r="85" customFormat="false" ht="15" hidden="false" customHeight="false" outlineLevel="0" collapsed="false">
      <c r="A85" s="1" t="n">
        <v>421747</v>
      </c>
      <c r="B85" s="1" t="n">
        <v>1910</v>
      </c>
      <c r="C85" s="1" t="s">
        <v>396</v>
      </c>
      <c r="D85" s="1" t="n">
        <v>30642.02</v>
      </c>
      <c r="E85" s="1" t="s">
        <v>397</v>
      </c>
      <c r="F85" s="1" t="s">
        <v>398</v>
      </c>
      <c r="G85" s="1" t="n">
        <v>-116.5765</v>
      </c>
      <c r="H85" s="1" t="n">
        <v>53.93327</v>
      </c>
      <c r="I85" s="1" t="s">
        <v>18</v>
      </c>
      <c r="J85" s="1" t="s">
        <v>399</v>
      </c>
      <c r="K85" s="1" t="s">
        <v>57</v>
      </c>
      <c r="L85" s="1" t="s">
        <v>21</v>
      </c>
      <c r="M85" s="1" t="s">
        <v>30</v>
      </c>
      <c r="N85" s="1" t="s">
        <v>21</v>
      </c>
      <c r="O85" s="1" t="n">
        <v>735959</v>
      </c>
      <c r="P85" s="1" t="n">
        <f aca="false">IF(A85=O85, 1, 0)</f>
        <v>0</v>
      </c>
    </row>
    <row r="86" customFormat="false" ht="15" hidden="false" customHeight="false" outlineLevel="0" collapsed="false">
      <c r="A86" s="1" t="n">
        <v>424124</v>
      </c>
      <c r="B86" s="1" t="n">
        <v>1910</v>
      </c>
      <c r="C86" s="1" t="s">
        <v>400</v>
      </c>
      <c r="D86" s="1" t="n">
        <v>1408818</v>
      </c>
      <c r="E86" s="1" t="s">
        <v>401</v>
      </c>
      <c r="F86" s="1" t="s">
        <v>402</v>
      </c>
      <c r="G86" s="1" t="n">
        <v>-76.2177</v>
      </c>
      <c r="H86" s="1" t="n">
        <v>43.10646</v>
      </c>
      <c r="I86" s="1" t="s">
        <v>30</v>
      </c>
      <c r="J86" s="1" t="s">
        <v>403</v>
      </c>
      <c r="K86" s="1" t="s">
        <v>20</v>
      </c>
      <c r="L86" s="1" t="s">
        <v>21</v>
      </c>
      <c r="M86" s="1" t="s">
        <v>30</v>
      </c>
      <c r="N86" s="2" t="s">
        <v>31</v>
      </c>
      <c r="O86" s="1" t="s">
        <v>404</v>
      </c>
      <c r="P86" s="1" t="n">
        <f aca="false">IF(A86=O86, 1, 0)</f>
        <v>0</v>
      </c>
    </row>
    <row r="87" customFormat="false" ht="15" hidden="false" customHeight="false" outlineLevel="0" collapsed="false">
      <c r="A87" s="1" t="n">
        <v>427156</v>
      </c>
      <c r="B87" s="1" t="n">
        <v>1910</v>
      </c>
      <c r="C87" s="1" t="s">
        <v>405</v>
      </c>
      <c r="D87" s="1" t="n">
        <v>680933.9</v>
      </c>
      <c r="E87" s="1" t="s">
        <v>406</v>
      </c>
      <c r="F87" s="1" t="s">
        <v>407</v>
      </c>
      <c r="G87" s="1" t="n">
        <v>2.352222</v>
      </c>
      <c r="H87" s="1" t="n">
        <v>48.85661</v>
      </c>
      <c r="I87" s="1" t="s">
        <v>30</v>
      </c>
      <c r="J87" s="1" t="s">
        <v>408</v>
      </c>
      <c r="K87" s="1" t="s">
        <v>409</v>
      </c>
      <c r="L87" s="1" t="s">
        <v>21</v>
      </c>
      <c r="M87" s="1" t="s">
        <v>30</v>
      </c>
      <c r="N87" s="2" t="s">
        <v>31</v>
      </c>
      <c r="O87" s="1" t="s">
        <v>410</v>
      </c>
      <c r="P87" s="1" t="n">
        <f aca="false">IF(A87=O87, 1, 0)</f>
        <v>0</v>
      </c>
    </row>
    <row r="88" customFormat="false" ht="15" hidden="false" customHeight="false" outlineLevel="0" collapsed="false">
      <c r="A88" s="1" t="n">
        <v>427983</v>
      </c>
      <c r="B88" s="1" t="n">
        <v>1910</v>
      </c>
      <c r="C88" s="1" t="s">
        <v>411</v>
      </c>
      <c r="D88" s="1" t="n">
        <v>729572</v>
      </c>
      <c r="E88" s="1" t="s">
        <v>412</v>
      </c>
      <c r="F88" s="1" t="s">
        <v>413</v>
      </c>
      <c r="G88" s="1" t="n">
        <v>-63.58865</v>
      </c>
      <c r="H88" s="1" t="n">
        <v>-16.29015</v>
      </c>
      <c r="I88" s="1" t="s">
        <v>28</v>
      </c>
      <c r="J88" s="1" t="s">
        <v>414</v>
      </c>
      <c r="K88" s="1" t="s">
        <v>413</v>
      </c>
      <c r="L88" s="1" t="s">
        <v>21</v>
      </c>
      <c r="M88" s="1" t="s">
        <v>30</v>
      </c>
      <c r="N88" s="2" t="s">
        <v>31</v>
      </c>
      <c r="O88" s="1" t="s">
        <v>415</v>
      </c>
      <c r="P88" s="1" t="n">
        <f aca="false">IF(A88=O88, 1, 0)</f>
        <v>0</v>
      </c>
    </row>
    <row r="89" customFormat="false" ht="15" hidden="false" customHeight="false" outlineLevel="0" collapsed="false">
      <c r="A89" s="1" t="n">
        <v>429446</v>
      </c>
      <c r="B89" s="1" t="n">
        <v>1910</v>
      </c>
      <c r="C89" s="1" t="s">
        <v>416</v>
      </c>
      <c r="D89" s="1" t="n">
        <v>1337549</v>
      </c>
      <c r="E89" s="1" t="s">
        <v>417</v>
      </c>
      <c r="F89" s="1" t="s">
        <v>418</v>
      </c>
      <c r="G89" s="1" t="n">
        <v>-1.158109</v>
      </c>
      <c r="H89" s="1" t="n">
        <v>52.95478</v>
      </c>
      <c r="I89" s="1" t="s">
        <v>18</v>
      </c>
      <c r="J89" s="1" t="s">
        <v>419</v>
      </c>
      <c r="K89" s="1" t="s">
        <v>45</v>
      </c>
      <c r="L89" s="1" t="s">
        <v>21</v>
      </c>
      <c r="M89" s="1" t="s">
        <v>98</v>
      </c>
      <c r="N89" s="1" t="s">
        <v>39</v>
      </c>
      <c r="O89" s="1" t="s">
        <v>420</v>
      </c>
      <c r="P89" s="1" t="n">
        <f aca="false">IF(A89=O89, 1, 0)</f>
        <v>0</v>
      </c>
    </row>
    <row r="90" customFormat="false" ht="15" hidden="false" customHeight="false" outlineLevel="0" collapsed="false">
      <c r="A90" s="1" t="n">
        <v>433272</v>
      </c>
      <c r="B90" s="1" t="n">
        <v>1910</v>
      </c>
      <c r="C90" s="1" t="s">
        <v>421</v>
      </c>
      <c r="D90" s="1" t="n">
        <v>48638.13</v>
      </c>
      <c r="E90" s="1" t="s">
        <v>422</v>
      </c>
      <c r="F90" s="1" t="s">
        <v>423</v>
      </c>
      <c r="G90" s="1" t="n">
        <v>-97.14307</v>
      </c>
      <c r="H90" s="1" t="n">
        <v>32.84402</v>
      </c>
      <c r="I90" s="1" t="s">
        <v>28</v>
      </c>
      <c r="J90" s="1" t="s">
        <v>424</v>
      </c>
      <c r="K90" s="1" t="s">
        <v>20</v>
      </c>
      <c r="L90" s="1" t="s">
        <v>21</v>
      </c>
      <c r="M90" s="1" t="s">
        <v>293</v>
      </c>
      <c r="N90" s="1" t="s">
        <v>23</v>
      </c>
      <c r="O90" s="1" t="s">
        <v>425</v>
      </c>
      <c r="P90" s="1" t="n">
        <f aca="false">IF(A90=O90, 1, 0)</f>
        <v>0</v>
      </c>
    </row>
    <row r="91" customFormat="false" ht="15" hidden="false" customHeight="false" outlineLevel="0" collapsed="false">
      <c r="A91" s="1" t="n">
        <v>442647</v>
      </c>
      <c r="B91" s="1" t="n">
        <v>1910</v>
      </c>
      <c r="C91" s="1" t="s">
        <v>426</v>
      </c>
      <c r="D91" s="1" t="n">
        <v>588.5214</v>
      </c>
      <c r="E91" s="1" t="s">
        <v>427</v>
      </c>
      <c r="F91" s="1" t="s">
        <v>428</v>
      </c>
      <c r="G91" s="1" t="n">
        <v>-95.92508</v>
      </c>
      <c r="H91" s="1" t="n">
        <v>36.03332</v>
      </c>
      <c r="I91" s="1" t="s">
        <v>18</v>
      </c>
      <c r="J91" s="1" t="s">
        <v>429</v>
      </c>
      <c r="K91" s="1" t="s">
        <v>20</v>
      </c>
      <c r="L91" s="1" t="s">
        <v>21</v>
      </c>
      <c r="M91" s="1" t="s">
        <v>98</v>
      </c>
      <c r="N91" s="1" t="s">
        <v>23</v>
      </c>
      <c r="O91" s="1" t="s">
        <v>430</v>
      </c>
      <c r="P91" s="1" t="n">
        <f aca="false">IF(A91=O91, 1, 0)</f>
        <v>0</v>
      </c>
    </row>
    <row r="92" customFormat="false" ht="15" hidden="false" customHeight="false" outlineLevel="0" collapsed="false">
      <c r="A92" s="1" t="n">
        <v>446920</v>
      </c>
      <c r="B92" s="1" t="n">
        <v>1910</v>
      </c>
      <c r="C92" s="1" t="s">
        <v>431</v>
      </c>
      <c r="D92" s="1" t="n">
        <v>985408.6</v>
      </c>
      <c r="E92" s="1" t="s">
        <v>432</v>
      </c>
      <c r="F92" s="1" t="s">
        <v>62</v>
      </c>
      <c r="G92" s="1" t="n">
        <v>-0.1277583</v>
      </c>
      <c r="H92" s="1" t="n">
        <v>51.50735</v>
      </c>
      <c r="I92" s="1" t="s">
        <v>63</v>
      </c>
      <c r="J92" s="1" t="s">
        <v>433</v>
      </c>
      <c r="K92" s="1" t="s">
        <v>45</v>
      </c>
      <c r="L92" s="1" t="s">
        <v>21</v>
      </c>
      <c r="M92" s="1" t="s">
        <v>30</v>
      </c>
      <c r="N92" s="2" t="s">
        <v>31</v>
      </c>
      <c r="O92" s="1" t="s">
        <v>434</v>
      </c>
      <c r="P92" s="1" t="n">
        <f aca="false">IF(A92=O92, 1, 0)</f>
        <v>0</v>
      </c>
    </row>
    <row r="93" customFormat="false" ht="15" hidden="false" customHeight="false" outlineLevel="0" collapsed="false">
      <c r="A93" s="1" t="n">
        <v>449029</v>
      </c>
      <c r="B93" s="1" t="n">
        <v>1910</v>
      </c>
      <c r="C93" s="1" t="s">
        <v>435</v>
      </c>
      <c r="D93" s="1" t="n">
        <v>243190.7</v>
      </c>
      <c r="E93" s="1" t="s">
        <v>436</v>
      </c>
      <c r="F93" s="1" t="s">
        <v>437</v>
      </c>
      <c r="G93" s="1" t="n">
        <v>-2.926231</v>
      </c>
      <c r="H93" s="1" t="n">
        <v>51.1051</v>
      </c>
      <c r="I93" s="1" t="s">
        <v>18</v>
      </c>
      <c r="J93" s="1" t="s">
        <v>438</v>
      </c>
      <c r="K93" s="1" t="s">
        <v>45</v>
      </c>
      <c r="L93" s="1" t="s">
        <v>21</v>
      </c>
      <c r="M93" s="1" t="s">
        <v>46</v>
      </c>
      <c r="N93" s="2" t="s">
        <v>47</v>
      </c>
      <c r="O93" s="1" t="s">
        <v>439</v>
      </c>
      <c r="P93" s="1" t="n">
        <f aca="false">IF(A93=O93, 1, 0)</f>
        <v>0</v>
      </c>
    </row>
    <row r="94" customFormat="false" ht="15" hidden="false" customHeight="false" outlineLevel="0" collapsed="false">
      <c r="A94" s="1" t="n">
        <v>463401</v>
      </c>
      <c r="B94" s="1" t="n">
        <v>1911</v>
      </c>
      <c r="C94" s="1" t="s">
        <v>440</v>
      </c>
      <c r="D94" s="1" t="n">
        <v>486144.9</v>
      </c>
      <c r="E94" s="1" t="s">
        <v>441</v>
      </c>
      <c r="F94" s="1" t="s">
        <v>62</v>
      </c>
      <c r="G94" s="1" t="n">
        <v>-0.1277583</v>
      </c>
      <c r="H94" s="1" t="n">
        <v>51.5073509</v>
      </c>
      <c r="I94" s="1" t="s">
        <v>28</v>
      </c>
      <c r="J94" s="1" t="s">
        <v>442</v>
      </c>
      <c r="K94" s="1" t="s">
        <v>45</v>
      </c>
      <c r="L94" s="1" t="s">
        <v>21</v>
      </c>
      <c r="M94" s="1" t="s">
        <v>30</v>
      </c>
      <c r="N94" s="2" t="s">
        <v>31</v>
      </c>
      <c r="O94" s="1" t="s">
        <v>443</v>
      </c>
      <c r="P94" s="1" t="n">
        <f aca="false">IF(A94=O94, 1, 0)</f>
        <v>0</v>
      </c>
    </row>
    <row r="95" customFormat="false" ht="15" hidden="false" customHeight="false" outlineLevel="0" collapsed="false">
      <c r="A95" s="1" t="n">
        <v>463820</v>
      </c>
      <c r="B95" s="1" t="n">
        <v>1911</v>
      </c>
      <c r="C95" s="1" t="s">
        <v>444</v>
      </c>
      <c r="D95" s="1" t="n">
        <v>1215362</v>
      </c>
      <c r="E95" s="1" t="s">
        <v>445</v>
      </c>
      <c r="F95" s="1" t="s">
        <v>446</v>
      </c>
      <c r="G95" s="1" t="n">
        <v>-71.542969</v>
      </c>
      <c r="H95" s="1" t="n">
        <v>-35.675147</v>
      </c>
      <c r="I95" s="1" t="s">
        <v>28</v>
      </c>
      <c r="J95" s="1" t="s">
        <v>447</v>
      </c>
      <c r="K95" s="1" t="s">
        <v>448</v>
      </c>
      <c r="L95" s="1" t="s">
        <v>21</v>
      </c>
      <c r="M95" s="1" t="s">
        <v>30</v>
      </c>
      <c r="N95" s="2" t="s">
        <v>31</v>
      </c>
      <c r="O95" s="1" t="s">
        <v>449</v>
      </c>
      <c r="P95" s="1" t="n">
        <f aca="false">IF(A95=O95, 1, 0)</f>
        <v>0</v>
      </c>
    </row>
    <row r="96" customFormat="false" ht="15" hidden="false" customHeight="false" outlineLevel="0" collapsed="false">
      <c r="A96" s="1" t="n">
        <v>465599</v>
      </c>
      <c r="B96" s="1" t="n">
        <v>1911</v>
      </c>
      <c r="C96" s="1" t="s">
        <v>450</v>
      </c>
      <c r="D96" s="1" t="n">
        <v>2430.724</v>
      </c>
      <c r="E96" s="1" t="s">
        <v>451</v>
      </c>
      <c r="F96" s="1" t="s">
        <v>452</v>
      </c>
      <c r="G96" s="1" t="n">
        <v>-121.9510491</v>
      </c>
      <c r="H96" s="1" t="n">
        <v>37.3183318</v>
      </c>
      <c r="I96" s="1" t="s">
        <v>28</v>
      </c>
      <c r="J96" s="1" t="s">
        <v>453</v>
      </c>
      <c r="K96" s="1" t="s">
        <v>20</v>
      </c>
      <c r="L96" s="1" t="s">
        <v>21</v>
      </c>
      <c r="M96" s="1" t="s">
        <v>30</v>
      </c>
      <c r="N96" s="2" t="s">
        <v>31</v>
      </c>
      <c r="O96" s="1" t="s">
        <v>454</v>
      </c>
      <c r="P96" s="1" t="n">
        <f aca="false">IF(A96=O96, 1, 0)</f>
        <v>0</v>
      </c>
    </row>
    <row r="97" customFormat="false" ht="15" hidden="false" customHeight="false" outlineLevel="0" collapsed="false">
      <c r="A97" s="1" t="n">
        <v>465941</v>
      </c>
      <c r="B97" s="1" t="n">
        <v>1911</v>
      </c>
      <c r="C97" s="1" t="s">
        <v>455</v>
      </c>
      <c r="D97" s="1" t="n">
        <v>972289.7</v>
      </c>
      <c r="E97" s="1" t="s">
        <v>456</v>
      </c>
      <c r="F97" s="1" t="s">
        <v>39</v>
      </c>
      <c r="G97" s="1" t="n">
        <v>-71.8022934</v>
      </c>
      <c r="H97" s="1" t="n">
        <v>42.2625932</v>
      </c>
      <c r="I97" s="1" t="s">
        <v>18</v>
      </c>
      <c r="J97" s="1" t="s">
        <v>457</v>
      </c>
      <c r="K97" s="1" t="s">
        <v>20</v>
      </c>
      <c r="L97" s="1" t="s">
        <v>21</v>
      </c>
      <c r="M97" s="1" t="s">
        <v>30</v>
      </c>
      <c r="N97" s="2" t="s">
        <v>31</v>
      </c>
      <c r="O97" s="1" t="s">
        <v>458</v>
      </c>
      <c r="P97" s="1" t="n">
        <f aca="false">IF(A97=O97, 1, 0)</f>
        <v>0</v>
      </c>
    </row>
    <row r="98" customFormat="false" ht="15" hidden="false" customHeight="false" outlineLevel="0" collapsed="false">
      <c r="A98" s="1" t="n">
        <v>485403</v>
      </c>
      <c r="B98" s="1" t="n">
        <v>1911</v>
      </c>
      <c r="C98" s="1" t="s">
        <v>459</v>
      </c>
      <c r="D98" s="1" t="n">
        <v>24307.24</v>
      </c>
      <c r="E98" s="1" t="s">
        <v>460</v>
      </c>
      <c r="F98" s="1" t="s">
        <v>409</v>
      </c>
      <c r="G98" s="1" t="n">
        <v>2.213749</v>
      </c>
      <c r="H98" s="1" t="n">
        <v>46.227638</v>
      </c>
      <c r="I98" s="1" t="s">
        <v>18</v>
      </c>
      <c r="J98" s="1" t="s">
        <v>461</v>
      </c>
      <c r="K98" s="1" t="s">
        <v>409</v>
      </c>
      <c r="L98" s="1" t="s">
        <v>21</v>
      </c>
      <c r="M98" s="1" t="s">
        <v>30</v>
      </c>
      <c r="N98" s="2" t="s">
        <v>21</v>
      </c>
      <c r="O98" s="1" t="n">
        <v>319031</v>
      </c>
      <c r="P98" s="1" t="n">
        <f aca="false">IF(A98=O98, 1, 0)</f>
        <v>0</v>
      </c>
    </row>
    <row r="99" customFormat="false" ht="15" hidden="false" customHeight="false" outlineLevel="0" collapsed="false">
      <c r="A99" s="1" t="n">
        <v>486607</v>
      </c>
      <c r="B99" s="1" t="n">
        <v>1911</v>
      </c>
      <c r="C99" s="1" t="s">
        <v>462</v>
      </c>
      <c r="D99" s="1" t="n">
        <v>729217.3</v>
      </c>
      <c r="E99" s="1" t="s">
        <v>463</v>
      </c>
      <c r="F99" s="1" t="s">
        <v>464</v>
      </c>
      <c r="G99" s="1" t="n">
        <v>-3.17909</v>
      </c>
      <c r="H99" s="1" t="n">
        <v>51.481581</v>
      </c>
      <c r="I99" s="1" t="s">
        <v>18</v>
      </c>
      <c r="J99" s="1" t="s">
        <v>465</v>
      </c>
      <c r="K99" s="1" t="s">
        <v>45</v>
      </c>
      <c r="L99" s="1" t="s">
        <v>21</v>
      </c>
      <c r="M99" s="1" t="s">
        <v>466</v>
      </c>
      <c r="N99" s="2" t="s">
        <v>47</v>
      </c>
      <c r="O99" s="1" t="s">
        <v>467</v>
      </c>
      <c r="P99" s="1" t="n">
        <f aca="false">IF(A99=O99, 1, 0)</f>
        <v>0</v>
      </c>
    </row>
    <row r="100" customFormat="false" ht="15" hidden="false" customHeight="false" outlineLevel="0" collapsed="false">
      <c r="A100" s="1" t="n">
        <v>489085</v>
      </c>
      <c r="B100" s="1" t="n">
        <v>1911</v>
      </c>
      <c r="C100" s="1" t="s">
        <v>468</v>
      </c>
      <c r="D100" s="5" t="n">
        <v>5000000</v>
      </c>
      <c r="E100" s="1" t="s">
        <v>469</v>
      </c>
      <c r="F100" s="1" t="s">
        <v>470</v>
      </c>
      <c r="G100" s="1" t="n">
        <v>-85.323214</v>
      </c>
      <c r="H100" s="1" t="n">
        <v>51.253775</v>
      </c>
      <c r="I100" s="1" t="s">
        <v>28</v>
      </c>
      <c r="J100" s="1" t="s">
        <v>471</v>
      </c>
      <c r="K100" s="1" t="s">
        <v>57</v>
      </c>
      <c r="L100" s="1" t="s">
        <v>21</v>
      </c>
      <c r="M100" s="1" t="s">
        <v>30</v>
      </c>
      <c r="N100" s="2" t="s">
        <v>31</v>
      </c>
      <c r="O100" s="1" t="s">
        <v>472</v>
      </c>
      <c r="P100" s="1" t="n">
        <f aca="false">IF(A100=O100, 1, 0)</f>
        <v>0</v>
      </c>
    </row>
    <row r="101" customFormat="false" ht="15" hidden="false" customHeight="false" outlineLevel="0" collapsed="false">
      <c r="A101" s="1" t="n">
        <v>490913</v>
      </c>
      <c r="B101" s="1" t="n">
        <v>1911</v>
      </c>
      <c r="C101" s="1" t="s">
        <v>473</v>
      </c>
      <c r="D101" s="1" t="n">
        <v>1215362</v>
      </c>
      <c r="E101" s="1" t="s">
        <v>474</v>
      </c>
      <c r="F101" s="1" t="s">
        <v>106</v>
      </c>
      <c r="G101" s="1" t="n">
        <v>-97.7430608</v>
      </c>
      <c r="H101" s="1" t="n">
        <v>30.267153</v>
      </c>
      <c r="I101" s="1" t="s">
        <v>30</v>
      </c>
      <c r="J101" s="1" t="s">
        <v>475</v>
      </c>
      <c r="K101" s="1" t="s">
        <v>20</v>
      </c>
      <c r="L101" s="1" t="s">
        <v>21</v>
      </c>
      <c r="M101" s="1" t="s">
        <v>30</v>
      </c>
      <c r="N101" s="2" t="s">
        <v>21</v>
      </c>
      <c r="O101" s="1" t="n">
        <v>371863</v>
      </c>
      <c r="P101" s="1" t="n">
        <f aca="false">IF(A101=O101, 1, 0)</f>
        <v>0</v>
      </c>
    </row>
    <row r="102" customFormat="false" ht="15" hidden="false" customHeight="false" outlineLevel="0" collapsed="false">
      <c r="A102" s="1" t="n">
        <v>492121</v>
      </c>
      <c r="B102" s="1" t="n">
        <v>1911</v>
      </c>
      <c r="C102" s="1" t="s">
        <v>476</v>
      </c>
      <c r="D102" s="1" t="n">
        <v>291686.9</v>
      </c>
      <c r="E102" s="1" t="s">
        <v>477</v>
      </c>
      <c r="F102" s="1" t="s">
        <v>478</v>
      </c>
      <c r="G102" s="1" t="n">
        <v>-2.0571868</v>
      </c>
      <c r="H102" s="1" t="n">
        <v>52.8792745</v>
      </c>
      <c r="I102" s="1" t="s">
        <v>18</v>
      </c>
      <c r="J102" s="1" t="s">
        <v>479</v>
      </c>
      <c r="K102" s="1" t="s">
        <v>45</v>
      </c>
      <c r="L102" s="1" t="s">
        <v>21</v>
      </c>
      <c r="M102" s="1" t="s">
        <v>30</v>
      </c>
      <c r="N102" s="2" t="s">
        <v>31</v>
      </c>
      <c r="O102" s="1" t="s">
        <v>480</v>
      </c>
      <c r="P102" s="1" t="n">
        <f aca="false">IF(A102=O102, 1, 0)</f>
        <v>0</v>
      </c>
    </row>
    <row r="103" customFormat="false" ht="15" hidden="false" customHeight="false" outlineLevel="0" collapsed="false">
      <c r="A103" s="1" t="n">
        <v>492560</v>
      </c>
      <c r="B103" s="1" t="n">
        <v>1911</v>
      </c>
      <c r="C103" s="1" t="s">
        <v>481</v>
      </c>
      <c r="D103" s="1" t="n">
        <v>729217.3</v>
      </c>
      <c r="E103" s="1" t="s">
        <v>482</v>
      </c>
      <c r="F103" s="1" t="s">
        <v>198</v>
      </c>
      <c r="G103" s="1" t="n">
        <v>-2.081112</v>
      </c>
      <c r="H103" s="1" t="n">
        <v>52.512255</v>
      </c>
      <c r="I103" s="1" t="s">
        <v>18</v>
      </c>
      <c r="J103" s="1" t="s">
        <v>483</v>
      </c>
      <c r="K103" s="1" t="s">
        <v>45</v>
      </c>
      <c r="L103" s="1" t="s">
        <v>21</v>
      </c>
      <c r="M103" s="1" t="s">
        <v>98</v>
      </c>
      <c r="N103" s="1" t="s">
        <v>23</v>
      </c>
      <c r="O103" s="1" t="s">
        <v>484</v>
      </c>
      <c r="P103" s="1" t="n">
        <f aca="false">IF(A103=O103, 1, 0)</f>
        <v>0</v>
      </c>
    </row>
    <row r="104" customFormat="false" ht="15" hidden="false" customHeight="false" outlineLevel="0" collapsed="false">
      <c r="A104" s="1" t="n">
        <v>494735</v>
      </c>
      <c r="B104" s="1" t="n">
        <v>1911</v>
      </c>
      <c r="C104" s="1" t="s">
        <v>485</v>
      </c>
      <c r="D104" s="1" t="n">
        <v>486144.9</v>
      </c>
      <c r="E104" s="1" t="s">
        <v>486</v>
      </c>
      <c r="F104" s="1" t="s">
        <v>106</v>
      </c>
      <c r="G104" s="1" t="n">
        <v>-97.7430608</v>
      </c>
      <c r="H104" s="1" t="n">
        <v>30.267153</v>
      </c>
      <c r="I104" s="1" t="s">
        <v>28</v>
      </c>
      <c r="J104" s="1" t="s">
        <v>487</v>
      </c>
      <c r="K104" s="1" t="s">
        <v>20</v>
      </c>
      <c r="L104" s="1" t="s">
        <v>21</v>
      </c>
      <c r="M104" s="1" t="s">
        <v>30</v>
      </c>
      <c r="N104" s="2" t="s">
        <v>31</v>
      </c>
      <c r="O104" s="1" t="s">
        <v>488</v>
      </c>
      <c r="P104" s="1" t="n">
        <f aca="false">IF(A104=O104, 1, 0)</f>
        <v>0</v>
      </c>
    </row>
    <row r="105" customFormat="false" ht="15" hidden="false" customHeight="false" outlineLevel="0" collapsed="false">
      <c r="A105" s="1" t="n">
        <v>496554</v>
      </c>
      <c r="B105" s="1" t="n">
        <v>1911</v>
      </c>
      <c r="C105" s="1" t="s">
        <v>489</v>
      </c>
      <c r="D105" s="1" t="n">
        <v>24330.9</v>
      </c>
      <c r="E105" s="1" t="s">
        <v>490</v>
      </c>
      <c r="F105" s="1" t="s">
        <v>491</v>
      </c>
      <c r="G105" s="1" t="n">
        <v>-0.1887443</v>
      </c>
      <c r="H105" s="1" t="n">
        <v>51.6096508</v>
      </c>
      <c r="I105" s="1" t="s">
        <v>18</v>
      </c>
      <c r="J105" s="1" t="s">
        <v>58</v>
      </c>
      <c r="K105" s="1" t="s">
        <v>45</v>
      </c>
      <c r="L105" s="1" t="s">
        <v>21</v>
      </c>
      <c r="M105" s="1" t="s">
        <v>46</v>
      </c>
      <c r="N105" s="2" t="s">
        <v>47</v>
      </c>
      <c r="O105" s="1" t="s">
        <v>59</v>
      </c>
      <c r="P105" s="1" t="n">
        <f aca="false">IF(A105=O105, 1, 0)</f>
        <v>0</v>
      </c>
    </row>
    <row r="106" customFormat="false" ht="15" hidden="false" customHeight="false" outlineLevel="0" collapsed="false">
      <c r="A106" s="1" t="n">
        <v>496841</v>
      </c>
      <c r="B106" s="1" t="n">
        <v>1911</v>
      </c>
      <c r="C106" s="1" t="s">
        <v>492</v>
      </c>
      <c r="D106" s="1" t="n">
        <v>2187652</v>
      </c>
      <c r="E106" s="1" t="s">
        <v>493</v>
      </c>
      <c r="F106" s="1" t="s">
        <v>464</v>
      </c>
      <c r="G106" s="1" t="n">
        <v>-3.17909</v>
      </c>
      <c r="H106" s="1" t="n">
        <v>51.481581</v>
      </c>
      <c r="I106" s="1" t="s">
        <v>18</v>
      </c>
      <c r="J106" s="1" t="s">
        <v>494</v>
      </c>
      <c r="K106" s="1" t="s">
        <v>45</v>
      </c>
      <c r="L106" s="1" t="s">
        <v>21</v>
      </c>
      <c r="M106" s="1" t="s">
        <v>46</v>
      </c>
      <c r="N106" s="2" t="s">
        <v>47</v>
      </c>
      <c r="O106" s="1" t="s">
        <v>495</v>
      </c>
      <c r="P106" s="1" t="n">
        <f aca="false">IF(A106=O106, 1, 0)</f>
        <v>0</v>
      </c>
    </row>
    <row r="107" customFormat="false" ht="15" hidden="false" customHeight="false" outlineLevel="0" collapsed="false">
      <c r="A107" s="1" t="n">
        <v>499137</v>
      </c>
      <c r="B107" s="1" t="n">
        <v>1911</v>
      </c>
      <c r="C107" s="1" t="s">
        <v>496</v>
      </c>
      <c r="D107" s="1" t="n">
        <v>1215362</v>
      </c>
      <c r="E107" s="1" t="s">
        <v>497</v>
      </c>
      <c r="F107" s="1" t="s">
        <v>327</v>
      </c>
      <c r="G107" s="1" t="n">
        <v>-122.4194155</v>
      </c>
      <c r="H107" s="1" t="n">
        <v>37.7749295</v>
      </c>
      <c r="I107" s="1" t="s">
        <v>18</v>
      </c>
      <c r="J107" s="1" t="s">
        <v>498</v>
      </c>
      <c r="K107" s="1" t="s">
        <v>20</v>
      </c>
      <c r="L107" s="1" t="s">
        <v>21</v>
      </c>
      <c r="M107" s="1" t="s">
        <v>46</v>
      </c>
      <c r="N107" s="2" t="s">
        <v>47</v>
      </c>
      <c r="O107" s="1" t="s">
        <v>499</v>
      </c>
      <c r="P107" s="1" t="n">
        <f aca="false">IF(A107=O107, 1, 0)</f>
        <v>0</v>
      </c>
    </row>
    <row r="108" customFormat="false" ht="15" hidden="false" customHeight="false" outlineLevel="0" collapsed="false">
      <c r="A108" s="1" t="n">
        <v>499730</v>
      </c>
      <c r="B108" s="1" t="n">
        <v>1911</v>
      </c>
      <c r="C108" s="1" t="s">
        <v>500</v>
      </c>
      <c r="D108" s="1" t="n">
        <v>126397.7</v>
      </c>
      <c r="E108" s="1" t="s">
        <v>501</v>
      </c>
      <c r="F108" s="1" t="s">
        <v>62</v>
      </c>
      <c r="G108" s="1" t="n">
        <v>-0.1277583</v>
      </c>
      <c r="H108" s="1" t="n">
        <v>51.5073509</v>
      </c>
      <c r="I108" s="1" t="s">
        <v>28</v>
      </c>
      <c r="J108" s="1" t="s">
        <v>502</v>
      </c>
      <c r="K108" s="1" t="s">
        <v>45</v>
      </c>
      <c r="L108" s="1" t="s">
        <v>21</v>
      </c>
      <c r="M108" s="1" t="s">
        <v>30</v>
      </c>
      <c r="N108" s="2" t="s">
        <v>31</v>
      </c>
      <c r="O108" s="1" t="s">
        <v>503</v>
      </c>
      <c r="P108" s="1" t="n">
        <f aca="false">IF(A108=O108, 1, 0)</f>
        <v>0</v>
      </c>
    </row>
    <row r="109" customFormat="false" ht="15" hidden="false" customHeight="false" outlineLevel="0" collapsed="false">
      <c r="A109" s="1" t="n">
        <v>503267</v>
      </c>
      <c r="B109" s="1" t="n">
        <v>1911</v>
      </c>
      <c r="C109" s="1" t="s">
        <v>504</v>
      </c>
      <c r="D109" s="1" t="n">
        <v>486144.9</v>
      </c>
      <c r="E109" s="1" t="s">
        <v>505</v>
      </c>
      <c r="F109" s="1" t="s">
        <v>62</v>
      </c>
      <c r="G109" s="1" t="n">
        <v>-0.1277583</v>
      </c>
      <c r="H109" s="1" t="n">
        <v>51.5073509</v>
      </c>
      <c r="I109" s="1" t="s">
        <v>28</v>
      </c>
      <c r="J109" s="1" t="s">
        <v>506</v>
      </c>
      <c r="K109" s="1" t="s">
        <v>45</v>
      </c>
      <c r="L109" s="1" t="s">
        <v>21</v>
      </c>
      <c r="M109" s="1" t="s">
        <v>30</v>
      </c>
      <c r="N109" s="2" t="s">
        <v>31</v>
      </c>
      <c r="O109" s="1" t="s">
        <v>507</v>
      </c>
      <c r="P109" s="1" t="n">
        <f aca="false">IF(A109=O109, 1, 0)</f>
        <v>0</v>
      </c>
    </row>
    <row r="110" customFormat="false" ht="15" hidden="false" customHeight="false" outlineLevel="0" collapsed="false">
      <c r="A110" s="1" t="n">
        <v>503296</v>
      </c>
      <c r="B110" s="1" t="n">
        <v>1911</v>
      </c>
      <c r="C110" s="1" t="s">
        <v>508</v>
      </c>
      <c r="D110" s="1" t="n">
        <v>583373.8</v>
      </c>
      <c r="E110" s="1" t="s">
        <v>509</v>
      </c>
      <c r="F110" s="1" t="s">
        <v>62</v>
      </c>
      <c r="G110" s="1" t="n">
        <v>-0.1277583</v>
      </c>
      <c r="H110" s="1" t="n">
        <v>51.5073509</v>
      </c>
      <c r="I110" s="1" t="s">
        <v>28</v>
      </c>
      <c r="J110" s="1" t="s">
        <v>506</v>
      </c>
      <c r="K110" s="1" t="s">
        <v>45</v>
      </c>
      <c r="L110" s="1" t="s">
        <v>21</v>
      </c>
      <c r="M110" s="1" t="s">
        <v>30</v>
      </c>
      <c r="N110" s="2" t="s">
        <v>31</v>
      </c>
      <c r="O110" s="1" t="s">
        <v>507</v>
      </c>
      <c r="P110" s="1" t="n">
        <f aca="false">IF(A110=O110, 1, 0)</f>
        <v>0</v>
      </c>
    </row>
    <row r="111" customFormat="false" ht="15" hidden="false" customHeight="false" outlineLevel="0" collapsed="false">
      <c r="A111" s="1" t="n">
        <v>508538</v>
      </c>
      <c r="B111" s="1" t="n">
        <v>1911</v>
      </c>
      <c r="C111" s="1" t="s">
        <v>510</v>
      </c>
      <c r="D111" s="5" t="n">
        <v>25000000</v>
      </c>
      <c r="E111" s="1" t="s">
        <v>511</v>
      </c>
      <c r="F111" s="1" t="s">
        <v>512</v>
      </c>
      <c r="G111" s="1" t="n">
        <v>-94.7053013</v>
      </c>
      <c r="H111" s="1" t="n">
        <v>37.3961631</v>
      </c>
      <c r="I111" s="1" t="s">
        <v>332</v>
      </c>
      <c r="J111" s="1" t="s">
        <v>513</v>
      </c>
      <c r="K111" s="1" t="s">
        <v>20</v>
      </c>
      <c r="L111" s="1" t="s">
        <v>21</v>
      </c>
      <c r="M111" s="1" t="s">
        <v>46</v>
      </c>
      <c r="N111" s="2" t="s">
        <v>47</v>
      </c>
      <c r="O111" s="1" t="s">
        <v>514</v>
      </c>
      <c r="P111" s="1" t="n">
        <f aca="false">IF(A111=O111, 1, 0)</f>
        <v>0</v>
      </c>
    </row>
    <row r="112" customFormat="false" ht="15" hidden="false" customHeight="false" outlineLevel="0" collapsed="false">
      <c r="A112" s="1" t="n">
        <v>511263</v>
      </c>
      <c r="B112" s="1" t="n">
        <v>1912</v>
      </c>
      <c r="C112" s="1" t="s">
        <v>515</v>
      </c>
      <c r="D112" s="1" t="n">
        <v>486618</v>
      </c>
      <c r="E112" s="1" t="s">
        <v>516</v>
      </c>
      <c r="F112" s="1" t="s">
        <v>62</v>
      </c>
      <c r="G112" s="1" t="n">
        <v>-0.1277583</v>
      </c>
      <c r="H112" s="1" t="n">
        <v>51.5073509</v>
      </c>
      <c r="I112" s="1" t="s">
        <v>18</v>
      </c>
      <c r="J112" s="1" t="s">
        <v>517</v>
      </c>
      <c r="K112" s="1" t="s">
        <v>45</v>
      </c>
      <c r="L112" s="1" t="s">
        <v>21</v>
      </c>
      <c r="M112" s="1" t="s">
        <v>46</v>
      </c>
      <c r="N112" s="2" t="s">
        <v>47</v>
      </c>
      <c r="O112" s="1" t="s">
        <v>518</v>
      </c>
      <c r="P112" s="1" t="n">
        <f aca="false">IF(A112=O112, 1, 0)</f>
        <v>0</v>
      </c>
    </row>
    <row r="113" customFormat="false" ht="15" hidden="false" customHeight="false" outlineLevel="0" collapsed="false">
      <c r="A113" s="1" t="n">
        <v>513255</v>
      </c>
      <c r="B113" s="1" t="n">
        <v>1912</v>
      </c>
      <c r="C113" s="1" t="s">
        <v>519</v>
      </c>
      <c r="D113" s="1" t="n">
        <v>291970.8</v>
      </c>
      <c r="E113" s="1" t="s">
        <v>520</v>
      </c>
      <c r="F113" s="1" t="s">
        <v>62</v>
      </c>
      <c r="G113" s="1" t="n">
        <v>-0.1277583</v>
      </c>
      <c r="H113" s="1" t="n">
        <v>51.5073509</v>
      </c>
      <c r="I113" s="1" t="s">
        <v>18</v>
      </c>
      <c r="J113" s="1" t="s">
        <v>521</v>
      </c>
      <c r="K113" s="1" t="s">
        <v>45</v>
      </c>
      <c r="L113" s="1" t="s">
        <v>21</v>
      </c>
      <c r="M113" s="1" t="s">
        <v>30</v>
      </c>
      <c r="N113" s="2" t="s">
        <v>31</v>
      </c>
      <c r="O113" s="1" t="s">
        <v>522</v>
      </c>
      <c r="P113" s="1" t="n">
        <f aca="false">IF(A113=O113, 1, 0)</f>
        <v>0</v>
      </c>
    </row>
    <row r="114" customFormat="false" ht="15" hidden="false" customHeight="false" outlineLevel="0" collapsed="false">
      <c r="A114" s="1" t="n">
        <v>515445</v>
      </c>
      <c r="B114" s="1" t="n">
        <v>1912</v>
      </c>
      <c r="C114" s="1" t="s">
        <v>523</v>
      </c>
      <c r="D114" s="1" t="n">
        <v>608272.5</v>
      </c>
      <c r="E114" s="1" t="s">
        <v>524</v>
      </c>
      <c r="F114" s="1" t="s">
        <v>62</v>
      </c>
      <c r="G114" s="1" t="n">
        <v>-0.1277583</v>
      </c>
      <c r="H114" s="1" t="n">
        <v>51.5073509</v>
      </c>
      <c r="I114" s="1" t="s">
        <v>28</v>
      </c>
      <c r="J114" s="1" t="s">
        <v>525</v>
      </c>
      <c r="K114" s="1" t="s">
        <v>45</v>
      </c>
      <c r="L114" s="1" t="s">
        <v>21</v>
      </c>
      <c r="M114" s="1" t="s">
        <v>30</v>
      </c>
      <c r="N114" s="2" t="s">
        <v>31</v>
      </c>
      <c r="O114" s="1" t="s">
        <v>526</v>
      </c>
      <c r="P114" s="1" t="n">
        <f aca="false">IF(A114=O114, 1, 0)</f>
        <v>0</v>
      </c>
    </row>
    <row r="115" customFormat="false" ht="15" hidden="false" customHeight="false" outlineLevel="0" collapsed="false">
      <c r="A115" s="1" t="n">
        <v>516474</v>
      </c>
      <c r="B115" s="1" t="n">
        <v>1912</v>
      </c>
      <c r="C115" s="1" t="s">
        <v>527</v>
      </c>
      <c r="D115" s="1" t="n">
        <v>1356015.779</v>
      </c>
      <c r="E115" s="1" t="s">
        <v>528</v>
      </c>
      <c r="F115" s="1" t="s">
        <v>529</v>
      </c>
      <c r="G115" s="1" t="n">
        <v>174.885971</v>
      </c>
      <c r="H115" s="1" t="n">
        <v>-40.900557</v>
      </c>
      <c r="I115" s="1" t="s">
        <v>28</v>
      </c>
      <c r="J115" s="1" t="s">
        <v>530</v>
      </c>
      <c r="K115" s="1" t="s">
        <v>46</v>
      </c>
      <c r="L115" s="1" t="s">
        <v>21</v>
      </c>
      <c r="M115" s="1" t="s">
        <v>30</v>
      </c>
      <c r="N115" s="2" t="s">
        <v>31</v>
      </c>
      <c r="O115" s="1" t="s">
        <v>531</v>
      </c>
      <c r="P115" s="1" t="n">
        <f aca="false">IF(A115=O115, 1, 0)</f>
        <v>0</v>
      </c>
    </row>
    <row r="116" customFormat="false" ht="15" hidden="false" customHeight="false" outlineLevel="0" collapsed="false">
      <c r="A116" s="1" t="n">
        <v>520062</v>
      </c>
      <c r="B116" s="1" t="n">
        <v>1912</v>
      </c>
      <c r="C116" s="1" t="s">
        <v>532</v>
      </c>
      <c r="D116" s="1" t="n">
        <v>1459854</v>
      </c>
      <c r="E116" s="1" t="s">
        <v>533</v>
      </c>
      <c r="F116" s="1" t="s">
        <v>534</v>
      </c>
      <c r="G116" s="1" t="n">
        <v>-75.5993692</v>
      </c>
      <c r="H116" s="1" t="n">
        <v>38.3606736</v>
      </c>
      <c r="I116" s="1" t="s">
        <v>18</v>
      </c>
      <c r="J116" s="1" t="s">
        <v>535</v>
      </c>
      <c r="K116" s="1" t="s">
        <v>20</v>
      </c>
      <c r="L116" s="1" t="s">
        <v>21</v>
      </c>
      <c r="M116" s="1" t="s">
        <v>22</v>
      </c>
      <c r="N116" s="1" t="s">
        <v>536</v>
      </c>
      <c r="O116" s="1" t="s">
        <v>537</v>
      </c>
      <c r="P116" s="1" t="n">
        <f aca="false">IF(A116=O116, 1, 0)</f>
        <v>0</v>
      </c>
    </row>
    <row r="117" customFormat="false" ht="15" hidden="false" customHeight="false" outlineLevel="0" collapsed="false">
      <c r="A117" s="1" t="n">
        <v>520654</v>
      </c>
      <c r="B117" s="1" t="n">
        <v>1912</v>
      </c>
      <c r="C117" s="1" t="s">
        <v>538</v>
      </c>
      <c r="D117" s="1" t="n">
        <v>1216545</v>
      </c>
      <c r="E117" s="1" t="s">
        <v>539</v>
      </c>
      <c r="F117" s="1" t="s">
        <v>381</v>
      </c>
      <c r="G117" s="1" t="n">
        <v>-97.2134822</v>
      </c>
      <c r="H117" s="1" t="n">
        <v>32.8294337</v>
      </c>
      <c r="I117" s="1" t="s">
        <v>63</v>
      </c>
      <c r="J117" s="1" t="s">
        <v>178</v>
      </c>
      <c r="K117" s="1" t="s">
        <v>20</v>
      </c>
      <c r="L117" s="1" t="s">
        <v>21</v>
      </c>
      <c r="M117" s="1" t="s">
        <v>46</v>
      </c>
      <c r="N117" s="1" t="s">
        <v>47</v>
      </c>
      <c r="O117" s="1" t="s">
        <v>179</v>
      </c>
      <c r="P117" s="1" t="n">
        <f aca="false">IF(A117=O117, 1, 0)</f>
        <v>0</v>
      </c>
    </row>
    <row r="118" customFormat="false" ht="15" hidden="false" customHeight="false" outlineLevel="0" collapsed="false">
      <c r="A118" s="1" t="n">
        <v>530769</v>
      </c>
      <c r="B118" s="1" t="n">
        <v>1912</v>
      </c>
      <c r="C118" s="1" t="s">
        <v>540</v>
      </c>
      <c r="D118" s="1" t="n">
        <v>1946472</v>
      </c>
      <c r="E118" s="1" t="s">
        <v>541</v>
      </c>
      <c r="F118" s="1" t="s">
        <v>381</v>
      </c>
      <c r="G118" s="1" t="n">
        <v>-97.2134822</v>
      </c>
      <c r="H118" s="1" t="n">
        <v>32.8294337</v>
      </c>
      <c r="I118" s="1" t="s">
        <v>30</v>
      </c>
      <c r="J118" s="1" t="s">
        <v>542</v>
      </c>
      <c r="K118" s="1" t="s">
        <v>20</v>
      </c>
      <c r="L118" s="1" t="s">
        <v>21</v>
      </c>
      <c r="M118" s="1" t="s">
        <v>30</v>
      </c>
      <c r="N118" s="2" t="s">
        <v>31</v>
      </c>
      <c r="O118" s="1" t="s">
        <v>543</v>
      </c>
      <c r="P118" s="1" t="n">
        <f aca="false">IF(A118=O118, 1, 0)</f>
        <v>0</v>
      </c>
    </row>
    <row r="119" customFormat="false" ht="15" hidden="false" customHeight="false" outlineLevel="0" collapsed="false">
      <c r="A119" s="1" t="n">
        <v>531126</v>
      </c>
      <c r="B119" s="1" t="n">
        <v>1912</v>
      </c>
      <c r="C119" s="1" t="s">
        <v>544</v>
      </c>
      <c r="D119" s="1" t="n">
        <v>1216545</v>
      </c>
      <c r="E119" s="1" t="s">
        <v>545</v>
      </c>
      <c r="F119" s="1" t="s">
        <v>167</v>
      </c>
      <c r="G119" s="1" t="n">
        <v>-81.1830974</v>
      </c>
      <c r="H119" s="1" t="n">
        <v>43.2325617</v>
      </c>
      <c r="I119" s="1" t="s">
        <v>18</v>
      </c>
      <c r="J119" s="1" t="s">
        <v>217</v>
      </c>
      <c r="K119" s="1" t="s">
        <v>57</v>
      </c>
      <c r="L119" s="1" t="s">
        <v>21</v>
      </c>
      <c r="M119" s="1" t="s">
        <v>30</v>
      </c>
      <c r="N119" s="2" t="s">
        <v>21</v>
      </c>
      <c r="O119" s="1" t="n">
        <v>436688</v>
      </c>
      <c r="P119" s="1" t="n">
        <f aca="false">IF(A119=O119, 1, 0)</f>
        <v>0</v>
      </c>
    </row>
    <row r="120" customFormat="false" ht="15" hidden="false" customHeight="false" outlineLevel="0" collapsed="false">
      <c r="A120" s="1" t="n">
        <v>533457</v>
      </c>
      <c r="B120" s="1" t="n">
        <v>1912</v>
      </c>
      <c r="C120" s="1" t="s">
        <v>546</v>
      </c>
      <c r="D120" s="1" t="n">
        <v>973236</v>
      </c>
      <c r="E120" s="1" t="s">
        <v>547</v>
      </c>
      <c r="F120" s="1" t="s">
        <v>87</v>
      </c>
      <c r="G120" s="1" t="n">
        <v>28.0473051</v>
      </c>
      <c r="H120" s="1" t="n">
        <v>-26.2041028</v>
      </c>
      <c r="I120" s="1" t="s">
        <v>30</v>
      </c>
      <c r="J120" s="1" t="s">
        <v>548</v>
      </c>
      <c r="K120" s="1" t="s">
        <v>89</v>
      </c>
      <c r="L120" s="1" t="s">
        <v>21</v>
      </c>
      <c r="M120" s="1" t="s">
        <v>98</v>
      </c>
      <c r="N120" s="1" t="s">
        <v>23</v>
      </c>
      <c r="O120" s="1" t="s">
        <v>549</v>
      </c>
      <c r="P120" s="1" t="n">
        <f aca="false">IF(A120=O120, 1, 0)</f>
        <v>0</v>
      </c>
    </row>
    <row r="121" customFormat="false" ht="15" hidden="false" customHeight="false" outlineLevel="0" collapsed="false">
      <c r="A121" s="1" t="n">
        <v>533604</v>
      </c>
      <c r="B121" s="1" t="n">
        <v>1912</v>
      </c>
      <c r="C121" s="1" t="s">
        <v>550</v>
      </c>
      <c r="D121" s="1" t="n">
        <v>243649.6</v>
      </c>
      <c r="E121" s="1" t="s">
        <v>551</v>
      </c>
      <c r="F121" s="1" t="s">
        <v>381</v>
      </c>
      <c r="G121" s="1" t="n">
        <v>-97.2134822</v>
      </c>
      <c r="H121" s="1" t="n">
        <v>32.8294337</v>
      </c>
      <c r="I121" s="1" t="s">
        <v>30</v>
      </c>
      <c r="J121" s="1" t="s">
        <v>542</v>
      </c>
      <c r="K121" s="1" t="s">
        <v>20</v>
      </c>
      <c r="L121" s="1" t="s">
        <v>21</v>
      </c>
      <c r="M121" s="1" t="s">
        <v>30</v>
      </c>
      <c r="N121" s="2" t="s">
        <v>31</v>
      </c>
      <c r="O121" s="1" t="s">
        <v>543</v>
      </c>
      <c r="P121" s="1" t="n">
        <f aca="false">IF(A121=O121, 1, 0)</f>
        <v>0</v>
      </c>
    </row>
    <row r="122" customFormat="false" ht="15" hidden="false" customHeight="false" outlineLevel="0" collapsed="false">
      <c r="A122" s="1" t="n">
        <v>534631</v>
      </c>
      <c r="B122" s="1" t="n">
        <v>1912</v>
      </c>
      <c r="C122" s="1" t="s">
        <v>552</v>
      </c>
      <c r="D122" s="1" t="n">
        <v>26666.67</v>
      </c>
      <c r="E122" s="1" t="s">
        <v>553</v>
      </c>
      <c r="F122" s="1" t="s">
        <v>554</v>
      </c>
      <c r="G122" s="1" t="n">
        <v>-70.9161551</v>
      </c>
      <c r="H122" s="1" t="n">
        <v>42.1306563</v>
      </c>
      <c r="I122" s="1" t="s">
        <v>18</v>
      </c>
      <c r="J122" s="1" t="s">
        <v>555</v>
      </c>
      <c r="K122" s="1" t="s">
        <v>20</v>
      </c>
      <c r="L122" s="1" t="s">
        <v>21</v>
      </c>
      <c r="M122" s="1" t="s">
        <v>30</v>
      </c>
      <c r="N122" s="2" t="s">
        <v>31</v>
      </c>
      <c r="O122" s="1" t="s">
        <v>556</v>
      </c>
      <c r="P122" s="1" t="n">
        <f aca="false">IF(A122=O122, 1, 0)</f>
        <v>0</v>
      </c>
    </row>
    <row r="123" customFormat="false" ht="15" hidden="false" customHeight="false" outlineLevel="0" collapsed="false">
      <c r="A123" s="1" t="n">
        <v>535616</v>
      </c>
      <c r="B123" s="1" t="n">
        <v>1912</v>
      </c>
      <c r="C123" s="1" t="s">
        <v>557</v>
      </c>
      <c r="D123" s="1" t="n">
        <v>1459854</v>
      </c>
      <c r="E123" s="1" t="s">
        <v>558</v>
      </c>
      <c r="F123" s="1" t="s">
        <v>62</v>
      </c>
      <c r="G123" s="1" t="n">
        <v>-0.1277583</v>
      </c>
      <c r="H123" s="1" t="n">
        <v>51.5073509</v>
      </c>
      <c r="I123" s="1" t="s">
        <v>18</v>
      </c>
      <c r="J123" s="1" t="s">
        <v>221</v>
      </c>
      <c r="K123" s="1" t="s">
        <v>45</v>
      </c>
      <c r="L123" s="1" t="s">
        <v>21</v>
      </c>
      <c r="M123" s="1" t="s">
        <v>222</v>
      </c>
      <c r="N123" s="2" t="s">
        <v>47</v>
      </c>
      <c r="O123" s="1" t="s">
        <v>223</v>
      </c>
      <c r="P123" s="1" t="n">
        <f aca="false">IF(A123=O123, 1, 0)</f>
        <v>0</v>
      </c>
    </row>
    <row r="124" customFormat="false" ht="15" hidden="false" customHeight="false" outlineLevel="0" collapsed="false">
      <c r="A124" s="1" t="n">
        <v>537276</v>
      </c>
      <c r="B124" s="1" t="n">
        <v>1912</v>
      </c>
      <c r="C124" s="1" t="s">
        <v>559</v>
      </c>
      <c r="D124" s="1" t="n">
        <v>1459854</v>
      </c>
      <c r="E124" s="1" t="s">
        <v>560</v>
      </c>
      <c r="F124" s="1" t="s">
        <v>561</v>
      </c>
      <c r="G124" s="1" t="n">
        <v>-73.9973608</v>
      </c>
      <c r="H124" s="1" t="n">
        <v>41.9270367</v>
      </c>
      <c r="I124" s="1" t="s">
        <v>30</v>
      </c>
      <c r="J124" s="1" t="s">
        <v>562</v>
      </c>
      <c r="K124" s="1" t="s">
        <v>20</v>
      </c>
      <c r="L124" s="1" t="s">
        <v>21</v>
      </c>
      <c r="M124" s="1" t="s">
        <v>30</v>
      </c>
      <c r="N124" s="2" t="s">
        <v>31</v>
      </c>
      <c r="O124" s="1" t="s">
        <v>563</v>
      </c>
      <c r="P124" s="1" t="n">
        <f aca="false">IF(A124=O124, 1, 0)</f>
        <v>0</v>
      </c>
    </row>
    <row r="125" customFormat="false" ht="15" hidden="false" customHeight="false" outlineLevel="0" collapsed="false">
      <c r="A125" s="1" t="n">
        <v>541456</v>
      </c>
      <c r="B125" s="1" t="n">
        <v>1912</v>
      </c>
      <c r="C125" s="1" t="s">
        <v>564</v>
      </c>
      <c r="D125" s="1" t="n">
        <v>4866180</v>
      </c>
      <c r="E125" s="1" t="s">
        <v>565</v>
      </c>
      <c r="F125" s="1" t="s">
        <v>87</v>
      </c>
      <c r="G125" s="1" t="n">
        <v>28.0473051</v>
      </c>
      <c r="H125" s="1" t="n">
        <v>-26.2041028</v>
      </c>
      <c r="I125" s="1" t="s">
        <v>30</v>
      </c>
      <c r="J125" s="1" t="s">
        <v>566</v>
      </c>
      <c r="K125" s="1" t="s">
        <v>89</v>
      </c>
      <c r="L125" s="1" t="s">
        <v>21</v>
      </c>
      <c r="M125" s="1" t="s">
        <v>30</v>
      </c>
      <c r="N125" s="2" t="s">
        <v>21</v>
      </c>
      <c r="O125" s="1" t="n">
        <v>417988</v>
      </c>
      <c r="P125" s="1" t="n">
        <f aca="false">IF(A125=O125, 1, 0)</f>
        <v>0</v>
      </c>
    </row>
    <row r="126" customFormat="false" ht="15" hidden="false" customHeight="false" outlineLevel="0" collapsed="false">
      <c r="A126" s="1" t="n">
        <v>542885</v>
      </c>
      <c r="B126" s="1" t="n">
        <v>1912</v>
      </c>
      <c r="C126" s="1" t="s">
        <v>567</v>
      </c>
      <c r="D126" s="1" t="n">
        <v>5161416</v>
      </c>
      <c r="E126" s="1" t="s">
        <v>568</v>
      </c>
      <c r="F126" s="1" t="s">
        <v>62</v>
      </c>
      <c r="G126" s="1" t="n">
        <v>-0.1277583</v>
      </c>
      <c r="H126" s="1" t="n">
        <v>51.5073509</v>
      </c>
      <c r="I126" s="1" t="s">
        <v>30</v>
      </c>
      <c r="J126" s="1" t="s">
        <v>569</v>
      </c>
      <c r="K126" s="1" t="s">
        <v>45</v>
      </c>
      <c r="L126" s="1" t="s">
        <v>21</v>
      </c>
      <c r="M126" s="1" t="s">
        <v>30</v>
      </c>
      <c r="N126" s="2" t="s">
        <v>21</v>
      </c>
      <c r="O126" s="1" t="n">
        <v>461922</v>
      </c>
      <c r="P126" s="1" t="n">
        <f aca="false">IF(A126=O126, 1, 0)</f>
        <v>0</v>
      </c>
    </row>
    <row r="127" customFormat="false" ht="15" hidden="false" customHeight="false" outlineLevel="0" collapsed="false">
      <c r="A127" s="1" t="n">
        <v>545271</v>
      </c>
      <c r="B127" s="1" t="n">
        <v>1912</v>
      </c>
      <c r="C127" s="1" t="s">
        <v>570</v>
      </c>
      <c r="D127" s="1" t="n">
        <v>583941.6</v>
      </c>
      <c r="E127" s="1" t="s">
        <v>571</v>
      </c>
      <c r="F127" s="1" t="s">
        <v>62</v>
      </c>
      <c r="G127" s="1" t="n">
        <v>-0.1277583</v>
      </c>
      <c r="H127" s="1" t="n">
        <v>51.5073509</v>
      </c>
      <c r="I127" s="1" t="s">
        <v>18</v>
      </c>
      <c r="J127" s="1" t="s">
        <v>572</v>
      </c>
      <c r="K127" s="1" t="s">
        <v>45</v>
      </c>
      <c r="L127" s="1" t="s">
        <v>21</v>
      </c>
      <c r="M127" s="1" t="s">
        <v>98</v>
      </c>
      <c r="N127" s="1" t="s">
        <v>23</v>
      </c>
      <c r="O127" s="1" t="s">
        <v>573</v>
      </c>
      <c r="P127" s="1" t="n">
        <f aca="false">IF(A127=O127, 1, 0)</f>
        <v>0</v>
      </c>
    </row>
    <row r="128" customFormat="false" ht="15" hidden="false" customHeight="false" outlineLevel="0" collapsed="false">
      <c r="A128" s="1" t="n">
        <v>546948</v>
      </c>
      <c r="B128" s="1" t="n">
        <v>1912</v>
      </c>
      <c r="C128" s="1" t="s">
        <v>574</v>
      </c>
      <c r="D128" s="1" t="n">
        <v>389294.4</v>
      </c>
      <c r="E128" s="1" t="s">
        <v>575</v>
      </c>
      <c r="F128" s="1" t="s">
        <v>62</v>
      </c>
      <c r="G128" s="1" t="n">
        <v>-0.1277583</v>
      </c>
      <c r="H128" s="1" t="n">
        <v>51.5073509</v>
      </c>
      <c r="I128" s="1" t="s">
        <v>30</v>
      </c>
      <c r="J128" s="1" t="s">
        <v>576</v>
      </c>
      <c r="K128" s="1" t="s">
        <v>45</v>
      </c>
      <c r="L128" s="1" t="s">
        <v>21</v>
      </c>
      <c r="M128" s="1" t="s">
        <v>30</v>
      </c>
      <c r="N128" s="2" t="s">
        <v>31</v>
      </c>
      <c r="O128" s="1" t="s">
        <v>577</v>
      </c>
      <c r="P128" s="1" t="n">
        <f aca="false">IF(A128=O128, 1, 0)</f>
        <v>0</v>
      </c>
    </row>
    <row r="129" customFormat="false" ht="15" hidden="false" customHeight="false" outlineLevel="0" collapsed="false">
      <c r="A129" s="1" t="n">
        <v>551225</v>
      </c>
      <c r="B129" s="1" t="n">
        <v>1912</v>
      </c>
      <c r="C129" s="1" t="s">
        <v>578</v>
      </c>
      <c r="D129" s="1" t="n">
        <v>194647.2</v>
      </c>
      <c r="E129" s="1" t="s">
        <v>579</v>
      </c>
      <c r="F129" s="1" t="s">
        <v>464</v>
      </c>
      <c r="G129" s="1" t="n">
        <v>-3.17909</v>
      </c>
      <c r="H129" s="1" t="n">
        <v>51.481581</v>
      </c>
      <c r="I129" s="1" t="s">
        <v>30</v>
      </c>
      <c r="J129" s="1" t="s">
        <v>580</v>
      </c>
      <c r="K129" s="1" t="s">
        <v>45</v>
      </c>
      <c r="L129" s="1" t="s">
        <v>21</v>
      </c>
      <c r="M129" s="1" t="s">
        <v>30</v>
      </c>
      <c r="N129" s="2" t="s">
        <v>31</v>
      </c>
      <c r="O129" s="1" t="s">
        <v>581</v>
      </c>
      <c r="P129" s="1" t="n">
        <f aca="false">IF(A129=O129, 1, 0)</f>
        <v>0</v>
      </c>
    </row>
    <row r="130" customFormat="false" ht="15" hidden="false" customHeight="false" outlineLevel="0" collapsed="false">
      <c r="A130" s="1" t="n">
        <v>552880</v>
      </c>
      <c r="B130" s="1" t="n">
        <v>1912</v>
      </c>
      <c r="C130" s="1" t="s">
        <v>582</v>
      </c>
      <c r="D130" s="1" t="n">
        <v>973260.3</v>
      </c>
      <c r="E130" s="1" t="s">
        <v>583</v>
      </c>
      <c r="F130" s="1" t="s">
        <v>62</v>
      </c>
      <c r="G130" s="1" t="n">
        <v>-0.1277583</v>
      </c>
      <c r="H130" s="1" t="n">
        <v>51.5073509</v>
      </c>
      <c r="I130" s="1" t="s">
        <v>18</v>
      </c>
      <c r="J130" s="1" t="s">
        <v>584</v>
      </c>
      <c r="K130" s="1" t="s">
        <v>45</v>
      </c>
      <c r="L130" s="1" t="s">
        <v>21</v>
      </c>
      <c r="M130" s="1" t="s">
        <v>46</v>
      </c>
      <c r="N130" s="2" t="s">
        <v>47</v>
      </c>
      <c r="O130" s="1" t="s">
        <v>585</v>
      </c>
      <c r="P130" s="1" t="n">
        <f aca="false">IF(A130=O130, 1, 0)</f>
        <v>0</v>
      </c>
    </row>
    <row r="131" customFormat="false" ht="15" hidden="false" customHeight="false" outlineLevel="0" collapsed="false">
      <c r="A131" s="1" t="n">
        <v>553199</v>
      </c>
      <c r="B131" s="1" t="n">
        <v>1912</v>
      </c>
      <c r="C131" s="1" t="s">
        <v>196</v>
      </c>
      <c r="D131" s="1" t="n">
        <v>1216545</v>
      </c>
      <c r="E131" s="1" t="s">
        <v>586</v>
      </c>
      <c r="F131" s="1" t="s">
        <v>62</v>
      </c>
      <c r="G131" s="1" t="n">
        <v>-0.1277583</v>
      </c>
      <c r="H131" s="1" t="n">
        <v>51.5073509</v>
      </c>
      <c r="I131" s="1" t="s">
        <v>18</v>
      </c>
      <c r="J131" s="1" t="s">
        <v>199</v>
      </c>
      <c r="K131" s="1" t="s">
        <v>45</v>
      </c>
      <c r="L131" s="1" t="s">
        <v>21</v>
      </c>
      <c r="M131" s="1" t="s">
        <v>46</v>
      </c>
      <c r="N131" s="1" t="s">
        <v>47</v>
      </c>
      <c r="O131" s="1" t="s">
        <v>200</v>
      </c>
      <c r="P131" s="1" t="n">
        <f aca="false">IF(A131=O131, 1, 0)</f>
        <v>0</v>
      </c>
    </row>
    <row r="132" customFormat="false" ht="15" hidden="false" customHeight="false" outlineLevel="0" collapsed="false">
      <c r="A132" s="1" t="n">
        <v>557404</v>
      </c>
      <c r="B132" s="1" t="n">
        <v>1912</v>
      </c>
      <c r="C132" s="1" t="s">
        <v>587</v>
      </c>
      <c r="D132" s="1" t="n">
        <v>97323.6</v>
      </c>
      <c r="E132" s="1" t="s">
        <v>588</v>
      </c>
      <c r="F132" s="1" t="s">
        <v>351</v>
      </c>
      <c r="G132" s="1" t="n">
        <v>-95.6164438</v>
      </c>
      <c r="H132" s="1" t="n">
        <v>37.0328377</v>
      </c>
      <c r="I132" s="1" t="s">
        <v>30</v>
      </c>
      <c r="J132" s="1" t="s">
        <v>589</v>
      </c>
      <c r="K132" s="1" t="s">
        <v>20</v>
      </c>
      <c r="L132" s="1" t="s">
        <v>21</v>
      </c>
      <c r="M132" s="1" t="s">
        <v>30</v>
      </c>
      <c r="N132" s="2" t="s">
        <v>31</v>
      </c>
      <c r="O132" s="1" t="s">
        <v>590</v>
      </c>
      <c r="P132" s="1" t="n">
        <f aca="false">IF(A132=O132, 1, 0)</f>
        <v>0</v>
      </c>
    </row>
    <row r="133" customFormat="false" ht="15" hidden="false" customHeight="false" outlineLevel="0" collapsed="false">
      <c r="A133" s="1" t="n">
        <v>559408</v>
      </c>
      <c r="B133" s="1" t="n">
        <v>1912</v>
      </c>
      <c r="C133" s="1" t="s">
        <v>591</v>
      </c>
      <c r="D133" s="1" t="n">
        <v>326034.1</v>
      </c>
      <c r="E133" s="1" t="s">
        <v>592</v>
      </c>
      <c r="F133" s="1" t="s">
        <v>43</v>
      </c>
      <c r="G133" s="1" t="n">
        <v>-4.251806</v>
      </c>
      <c r="H133" s="1" t="n">
        <v>55.864237</v>
      </c>
      <c r="I133" s="1" t="s">
        <v>18</v>
      </c>
      <c r="J133" s="1" t="s">
        <v>593</v>
      </c>
      <c r="K133" s="1" t="s">
        <v>45</v>
      </c>
      <c r="L133" s="1" t="s">
        <v>21</v>
      </c>
      <c r="M133" s="1" t="s">
        <v>143</v>
      </c>
      <c r="N133" s="1" t="s">
        <v>23</v>
      </c>
      <c r="O133" s="1" t="s">
        <v>594</v>
      </c>
      <c r="P133" s="1" t="n">
        <f aca="false">IF(A133=O133, 1, 0)</f>
        <v>0</v>
      </c>
    </row>
    <row r="134" customFormat="false" ht="15" hidden="false" customHeight="false" outlineLevel="0" collapsed="false">
      <c r="A134" s="1" t="n">
        <v>571949</v>
      </c>
      <c r="B134" s="1" t="n">
        <v>1912</v>
      </c>
      <c r="C134" s="1" t="s">
        <v>595</v>
      </c>
      <c r="D134" s="1" t="n">
        <v>364963.5</v>
      </c>
      <c r="E134" s="1" t="s">
        <v>596</v>
      </c>
      <c r="F134" s="1" t="s">
        <v>62</v>
      </c>
      <c r="G134" s="1" t="n">
        <v>-0.1277583</v>
      </c>
      <c r="H134" s="1" t="n">
        <v>51.5073509</v>
      </c>
      <c r="I134" s="1" t="s">
        <v>18</v>
      </c>
      <c r="J134" s="1" t="s">
        <v>36</v>
      </c>
      <c r="K134" s="1" t="s">
        <v>45</v>
      </c>
      <c r="L134" s="1" t="s">
        <v>21</v>
      </c>
      <c r="M134" s="1" t="s">
        <v>38</v>
      </c>
      <c r="N134" s="1" t="s">
        <v>39</v>
      </c>
      <c r="O134" s="1" t="s">
        <v>40</v>
      </c>
      <c r="P134" s="1" t="n">
        <f aca="false">IF(A134=O134, 1, 0)</f>
        <v>0</v>
      </c>
    </row>
    <row r="135" customFormat="false" ht="15" hidden="false" customHeight="false" outlineLevel="0" collapsed="false">
      <c r="A135" s="2" t="n">
        <v>576455</v>
      </c>
      <c r="B135" s="2" t="n">
        <v>1913</v>
      </c>
      <c r="C135" s="2" t="s">
        <v>597</v>
      </c>
      <c r="D135" s="2" t="n">
        <v>1947420</v>
      </c>
      <c r="E135" s="2" t="s">
        <v>598</v>
      </c>
      <c r="F135" s="2" t="s">
        <v>62</v>
      </c>
      <c r="G135" s="2" t="n">
        <v>-0.1277583</v>
      </c>
      <c r="H135" s="2" t="n">
        <v>51.5073509</v>
      </c>
      <c r="I135" s="2" t="s">
        <v>18</v>
      </c>
      <c r="J135" s="2" t="s">
        <v>599</v>
      </c>
      <c r="K135" s="2" t="s">
        <v>45</v>
      </c>
      <c r="L135" s="2" t="s">
        <v>21</v>
      </c>
      <c r="M135" s="2" t="s">
        <v>22</v>
      </c>
      <c r="N135" s="2" t="s">
        <v>121</v>
      </c>
      <c r="O135" s="2" t="s">
        <v>600</v>
      </c>
      <c r="P135" s="2" t="n">
        <f aca="false">IF(A135=O135, 1, 0)</f>
        <v>0</v>
      </c>
    </row>
    <row r="136" customFormat="false" ht="15" hidden="false" customHeight="false" outlineLevel="0" collapsed="false">
      <c r="A136" s="1" t="n">
        <v>581230</v>
      </c>
      <c r="B136" s="1" t="n">
        <v>1913</v>
      </c>
      <c r="C136" s="1" t="s">
        <v>601</v>
      </c>
      <c r="D136" s="1" t="n">
        <v>656295.6</v>
      </c>
      <c r="E136" s="1" t="s">
        <v>602</v>
      </c>
      <c r="F136" s="1" t="s">
        <v>167</v>
      </c>
      <c r="G136" s="1" t="n">
        <v>-81.1830974</v>
      </c>
      <c r="H136" s="1" t="n">
        <v>43.2325617</v>
      </c>
      <c r="I136" s="1" t="s">
        <v>30</v>
      </c>
      <c r="J136" s="1" t="s">
        <v>603</v>
      </c>
      <c r="K136" s="1" t="s">
        <v>57</v>
      </c>
      <c r="L136" s="1" t="s">
        <v>21</v>
      </c>
      <c r="M136" s="1" t="s">
        <v>30</v>
      </c>
      <c r="N136" s="2" t="s">
        <v>31</v>
      </c>
      <c r="O136" s="1" t="s">
        <v>604</v>
      </c>
      <c r="P136" s="1" t="n">
        <f aca="false">IF(A136=O136, 1, 0)</f>
        <v>0</v>
      </c>
    </row>
    <row r="137" customFormat="false" ht="15" hidden="false" customHeight="false" outlineLevel="0" collapsed="false">
      <c r="A137" s="1" t="n">
        <v>583959</v>
      </c>
      <c r="B137" s="1" t="n">
        <v>1913</v>
      </c>
      <c r="C137" s="1" t="s">
        <v>375</v>
      </c>
      <c r="D137" s="1" t="n">
        <v>730.2824</v>
      </c>
      <c r="E137" s="1" t="s">
        <v>605</v>
      </c>
      <c r="F137" s="1" t="s">
        <v>87</v>
      </c>
      <c r="G137" s="1" t="n">
        <v>28.0473051</v>
      </c>
      <c r="H137" s="1" t="n">
        <v>-26.2041028</v>
      </c>
      <c r="I137" s="1" t="s">
        <v>30</v>
      </c>
      <c r="J137" s="1" t="s">
        <v>606</v>
      </c>
      <c r="K137" s="1" t="s">
        <v>89</v>
      </c>
      <c r="L137" s="1" t="s">
        <v>21</v>
      </c>
      <c r="M137" s="1" t="s">
        <v>30</v>
      </c>
      <c r="N137" s="2" t="s">
        <v>31</v>
      </c>
      <c r="O137" s="1" t="s">
        <v>607</v>
      </c>
      <c r="P137" s="1" t="n">
        <f aca="false">IF(A137=O137, 1, 0)</f>
        <v>0</v>
      </c>
    </row>
    <row r="138" customFormat="false" ht="15" hidden="false" customHeight="false" outlineLevel="0" collapsed="false">
      <c r="A138" s="1" t="n">
        <v>586337</v>
      </c>
      <c r="B138" s="1" t="n">
        <v>1913</v>
      </c>
      <c r="C138" s="1" t="s">
        <v>608</v>
      </c>
      <c r="D138" s="1" t="n">
        <v>5024343</v>
      </c>
      <c r="E138" s="1" t="s">
        <v>609</v>
      </c>
      <c r="F138" s="1" t="s">
        <v>62</v>
      </c>
      <c r="G138" s="1" t="n">
        <v>-0.1277583</v>
      </c>
      <c r="H138" s="1" t="n">
        <v>51.5073509</v>
      </c>
      <c r="I138" s="1" t="s">
        <v>18</v>
      </c>
      <c r="J138" s="1" t="s">
        <v>610</v>
      </c>
      <c r="K138" s="1" t="s">
        <v>45</v>
      </c>
      <c r="L138" s="1" t="s">
        <v>21</v>
      </c>
      <c r="M138" s="1" t="s">
        <v>30</v>
      </c>
      <c r="N138" s="2" t="s">
        <v>31</v>
      </c>
      <c r="O138" s="1" t="s">
        <v>611</v>
      </c>
      <c r="P138" s="1" t="n">
        <f aca="false">IF(A138=O138, 1, 0)</f>
        <v>0</v>
      </c>
    </row>
    <row r="139" customFormat="false" ht="15" hidden="false" customHeight="false" outlineLevel="0" collapsed="false">
      <c r="A139" s="1" t="n">
        <v>590933</v>
      </c>
      <c r="B139" s="1" t="n">
        <v>1913</v>
      </c>
      <c r="C139" s="1" t="s">
        <v>612</v>
      </c>
      <c r="D139" s="1" t="n">
        <v>2749392</v>
      </c>
      <c r="E139" s="1" t="s">
        <v>613</v>
      </c>
      <c r="F139" s="1" t="s">
        <v>62</v>
      </c>
      <c r="G139" s="1" t="n">
        <v>-0.1277583</v>
      </c>
      <c r="H139" s="1" t="n">
        <v>51.5073509</v>
      </c>
      <c r="I139" s="1" t="s">
        <v>18</v>
      </c>
      <c r="J139" s="1" t="s">
        <v>231</v>
      </c>
      <c r="K139" s="1" t="s">
        <v>45</v>
      </c>
      <c r="L139" s="1" t="s">
        <v>21</v>
      </c>
      <c r="M139" s="1" t="s">
        <v>232</v>
      </c>
      <c r="N139" s="2" t="s">
        <v>47</v>
      </c>
      <c r="O139" s="1" t="s">
        <v>233</v>
      </c>
      <c r="P139" s="1" t="n">
        <f aca="false">IF(A139=O139, 1, 0)</f>
        <v>0</v>
      </c>
    </row>
    <row r="140" customFormat="false" ht="15" hidden="false" customHeight="false" outlineLevel="0" collapsed="false">
      <c r="A140" s="1" t="n">
        <v>603327</v>
      </c>
      <c r="B140" s="1" t="n">
        <v>1913</v>
      </c>
      <c r="C140" s="1" t="s">
        <v>614</v>
      </c>
      <c r="D140" s="1" t="n">
        <v>1509250</v>
      </c>
      <c r="E140" s="1" t="s">
        <v>615</v>
      </c>
      <c r="F140" s="1" t="s">
        <v>62</v>
      </c>
      <c r="G140" s="1" t="n">
        <v>-0.1277583</v>
      </c>
      <c r="H140" s="1" t="n">
        <v>51.5073509</v>
      </c>
      <c r="I140" s="1" t="s">
        <v>18</v>
      </c>
      <c r="J140" s="1" t="s">
        <v>616</v>
      </c>
      <c r="K140" s="1" t="s">
        <v>45</v>
      </c>
      <c r="L140" s="1" t="s">
        <v>21</v>
      </c>
      <c r="M140" s="1" t="s">
        <v>46</v>
      </c>
      <c r="N140" s="2" t="s">
        <v>47</v>
      </c>
      <c r="O140" s="1" t="s">
        <v>617</v>
      </c>
      <c r="P140" s="1" t="n">
        <f aca="false">IF(A140=O140, 1, 0)</f>
        <v>0</v>
      </c>
    </row>
    <row r="141" customFormat="false" ht="15" hidden="false" customHeight="false" outlineLevel="0" collapsed="false">
      <c r="A141" s="1" t="n">
        <v>608810</v>
      </c>
      <c r="B141" s="1" t="n">
        <v>1913</v>
      </c>
      <c r="C141" s="1" t="s">
        <v>618</v>
      </c>
      <c r="D141" s="1" t="n">
        <v>97370.98</v>
      </c>
      <c r="E141" s="1" t="s">
        <v>619</v>
      </c>
      <c r="F141" s="1" t="s">
        <v>413</v>
      </c>
      <c r="G141" s="1" t="n">
        <v>-63.588653</v>
      </c>
      <c r="H141" s="1" t="n">
        <v>-16.290154</v>
      </c>
      <c r="I141" s="1" t="s">
        <v>28</v>
      </c>
      <c r="J141" s="1" t="s">
        <v>620</v>
      </c>
      <c r="K141" s="1" t="s">
        <v>413</v>
      </c>
      <c r="L141" s="1" t="s">
        <v>21</v>
      </c>
      <c r="M141" s="1" t="s">
        <v>30</v>
      </c>
      <c r="N141" s="2" t="s">
        <v>31</v>
      </c>
      <c r="O141" s="1" t="s">
        <v>621</v>
      </c>
      <c r="P141" s="1" t="n">
        <f aca="false">IF(A141=O141, 1, 0)</f>
        <v>0</v>
      </c>
    </row>
    <row r="142" customFormat="false" ht="15" hidden="false" customHeight="false" outlineLevel="0" collapsed="false">
      <c r="A142" s="1" t="n">
        <v>613249</v>
      </c>
      <c r="B142" s="1" t="n">
        <v>1913</v>
      </c>
      <c r="C142" s="1" t="s">
        <v>405</v>
      </c>
      <c r="D142" s="1" t="n">
        <v>681596.9</v>
      </c>
      <c r="E142" s="1" t="s">
        <v>622</v>
      </c>
      <c r="F142" s="1" t="s">
        <v>407</v>
      </c>
      <c r="G142" s="1" t="n">
        <v>2.3522219</v>
      </c>
      <c r="H142" s="1" t="n">
        <v>48.856614</v>
      </c>
      <c r="I142" s="1" t="s">
        <v>30</v>
      </c>
      <c r="J142" s="1" t="s">
        <v>408</v>
      </c>
      <c r="K142" s="1" t="s">
        <v>409</v>
      </c>
      <c r="L142" s="1" t="s">
        <v>21</v>
      </c>
      <c r="M142" s="1" t="s">
        <v>30</v>
      </c>
      <c r="N142" s="2" t="s">
        <v>31</v>
      </c>
      <c r="O142" s="1" t="s">
        <v>410</v>
      </c>
      <c r="P142" s="1" t="n">
        <f aca="false">IF(A142=O142, 1, 0)</f>
        <v>0</v>
      </c>
    </row>
    <row r="143" customFormat="false" ht="15" hidden="false" customHeight="false" outlineLevel="0" collapsed="false">
      <c r="A143" s="1" t="n">
        <v>613775</v>
      </c>
      <c r="B143" s="1" t="n">
        <v>1913</v>
      </c>
      <c r="C143" s="1" t="s">
        <v>623</v>
      </c>
      <c r="D143" s="1" t="n">
        <v>4866180</v>
      </c>
      <c r="E143" s="1" t="s">
        <v>624</v>
      </c>
      <c r="F143" s="1" t="s">
        <v>62</v>
      </c>
      <c r="G143" s="1" t="n">
        <v>-0.1277583</v>
      </c>
      <c r="H143" s="1" t="n">
        <v>51.5073509</v>
      </c>
      <c r="I143" s="1" t="s">
        <v>28</v>
      </c>
      <c r="J143" s="2" t="s">
        <v>625</v>
      </c>
      <c r="K143" s="1" t="s">
        <v>45</v>
      </c>
      <c r="L143" s="1" t="s">
        <v>21</v>
      </c>
      <c r="M143" s="1" t="s">
        <v>30</v>
      </c>
      <c r="N143" s="2" t="s">
        <v>31</v>
      </c>
      <c r="O143" s="1" t="s">
        <v>626</v>
      </c>
      <c r="P143" s="1" t="n">
        <f aca="false">IF(A143=O143, 1, 0)</f>
        <v>0</v>
      </c>
    </row>
    <row r="144" customFormat="false" ht="15" hidden="false" customHeight="false" outlineLevel="0" collapsed="false">
      <c r="A144" s="1" t="n">
        <v>626731</v>
      </c>
      <c r="B144" s="1" t="n">
        <v>1913</v>
      </c>
      <c r="C144" s="1" t="s">
        <v>627</v>
      </c>
      <c r="D144" s="1" t="n">
        <v>11893.43483</v>
      </c>
      <c r="E144" s="1" t="s">
        <v>628</v>
      </c>
      <c r="F144" s="1" t="s">
        <v>62</v>
      </c>
      <c r="G144" s="1" t="n">
        <v>-0.1277583</v>
      </c>
      <c r="H144" s="1" t="n">
        <v>51.5073509</v>
      </c>
      <c r="I144" s="1" t="s">
        <v>18</v>
      </c>
      <c r="J144" s="1" t="s">
        <v>629</v>
      </c>
      <c r="K144" s="1" t="s">
        <v>45</v>
      </c>
      <c r="L144" s="1" t="s">
        <v>21</v>
      </c>
      <c r="M144" s="1" t="s">
        <v>46</v>
      </c>
      <c r="N144" s="2" t="s">
        <v>47</v>
      </c>
      <c r="O144" s="1" t="s">
        <v>630</v>
      </c>
      <c r="P144" s="1" t="n">
        <f aca="false">IF(A144=O144, 1, 0)</f>
        <v>0</v>
      </c>
    </row>
    <row r="145" customFormat="false" ht="15" hidden="false" customHeight="false" outlineLevel="0" collapsed="false">
      <c r="A145" s="1" t="n">
        <v>629317</v>
      </c>
      <c r="B145" s="1" t="n">
        <v>1913</v>
      </c>
      <c r="C145" s="1" t="s">
        <v>631</v>
      </c>
      <c r="D145" s="1" t="n">
        <v>75000</v>
      </c>
      <c r="E145" s="1" t="s">
        <v>632</v>
      </c>
      <c r="F145" s="1" t="s">
        <v>512</v>
      </c>
      <c r="G145" s="1" t="n">
        <v>-94.7053013</v>
      </c>
      <c r="H145" s="1" t="n">
        <v>37.3961631</v>
      </c>
      <c r="I145" s="1" t="s">
        <v>28</v>
      </c>
      <c r="J145" s="1" t="s">
        <v>633</v>
      </c>
      <c r="K145" s="1" t="s">
        <v>20</v>
      </c>
      <c r="L145" s="1" t="s">
        <v>21</v>
      </c>
      <c r="M145" s="1" t="s">
        <v>30</v>
      </c>
      <c r="N145" s="2" t="s">
        <v>31</v>
      </c>
      <c r="O145" s="1" t="s">
        <v>634</v>
      </c>
      <c r="P145" s="1" t="n">
        <f aca="false">IF(A145=O145, 1, 0)</f>
        <v>0</v>
      </c>
    </row>
    <row r="146" customFormat="false" ht="15" hidden="false" customHeight="false" outlineLevel="0" collapsed="false">
      <c r="A146" s="1" t="n">
        <v>630565</v>
      </c>
      <c r="B146" s="1" t="n">
        <v>1913</v>
      </c>
      <c r="C146" s="1" t="s">
        <v>635</v>
      </c>
      <c r="D146" s="1" t="n">
        <v>973709.8</v>
      </c>
      <c r="E146" s="1" t="s">
        <v>636</v>
      </c>
      <c r="F146" s="1" t="s">
        <v>637</v>
      </c>
      <c r="G146" s="1" t="n">
        <v>-0.0851738</v>
      </c>
      <c r="H146" s="1" t="n">
        <v>51.517155</v>
      </c>
      <c r="I146" s="1" t="s">
        <v>332</v>
      </c>
      <c r="J146" s="1" t="s">
        <v>638</v>
      </c>
      <c r="K146" s="1" t="s">
        <v>45</v>
      </c>
      <c r="L146" s="1" t="s">
        <v>21</v>
      </c>
      <c r="M146" s="1" t="s">
        <v>30</v>
      </c>
      <c r="N146" s="2" t="s">
        <v>31</v>
      </c>
      <c r="O146" s="1" t="s">
        <v>639</v>
      </c>
      <c r="P146" s="1" t="n">
        <f aca="false">IF(A146=O146, 1, 0)</f>
        <v>0</v>
      </c>
    </row>
    <row r="147" customFormat="false" ht="15" hidden="false" customHeight="false" outlineLevel="0" collapsed="false">
      <c r="A147" s="1" t="n">
        <v>636709</v>
      </c>
      <c r="B147" s="1" t="n">
        <v>1913</v>
      </c>
      <c r="C147" s="1" t="s">
        <v>640</v>
      </c>
      <c r="D147" s="1" t="n">
        <v>2430.724</v>
      </c>
      <c r="E147" s="1" t="s">
        <v>641</v>
      </c>
      <c r="F147" s="1" t="s">
        <v>642</v>
      </c>
      <c r="G147" s="1" t="n">
        <v>-0.1385248</v>
      </c>
      <c r="H147" s="1" t="n">
        <v>51.506909</v>
      </c>
      <c r="I147" s="1" t="s">
        <v>18</v>
      </c>
      <c r="J147" s="1" t="s">
        <v>75</v>
      </c>
      <c r="K147" s="1" t="s">
        <v>45</v>
      </c>
      <c r="L147" s="1" t="s">
        <v>21</v>
      </c>
      <c r="M147" s="1" t="s">
        <v>46</v>
      </c>
      <c r="N147" s="2" t="s">
        <v>47</v>
      </c>
      <c r="O147" s="1" t="s">
        <v>76</v>
      </c>
      <c r="P147" s="1" t="n">
        <f aca="false">IF(A147=O147, 1, 0)</f>
        <v>0</v>
      </c>
    </row>
    <row r="148" customFormat="false" ht="15" hidden="false" customHeight="false" outlineLevel="0" collapsed="false">
      <c r="A148" s="1" t="n">
        <v>653274</v>
      </c>
      <c r="B148" s="1" t="n">
        <v>1914</v>
      </c>
      <c r="C148" s="1" t="s">
        <v>643</v>
      </c>
      <c r="D148" s="1" t="n">
        <v>2958580</v>
      </c>
      <c r="E148" s="1" t="s">
        <v>644</v>
      </c>
      <c r="F148" s="1" t="s">
        <v>87</v>
      </c>
      <c r="G148" s="1" t="n">
        <v>28.0473051</v>
      </c>
      <c r="H148" s="1" t="n">
        <v>-26.2041028</v>
      </c>
      <c r="I148" s="1" t="s">
        <v>63</v>
      </c>
      <c r="J148" s="1" t="s">
        <v>645</v>
      </c>
      <c r="K148" s="1" t="s">
        <v>89</v>
      </c>
      <c r="L148" s="1" t="s">
        <v>21</v>
      </c>
      <c r="M148" s="1" t="s">
        <v>22</v>
      </c>
      <c r="N148" s="2" t="s">
        <v>47</v>
      </c>
      <c r="O148" s="1" t="s">
        <v>646</v>
      </c>
      <c r="P148" s="1" t="n">
        <f aca="false">IF(A148=O148, 1, 0)</f>
        <v>0</v>
      </c>
    </row>
    <row r="149" customFormat="false" ht="15" hidden="false" customHeight="false" outlineLevel="0" collapsed="false">
      <c r="A149" s="1" t="n">
        <v>655194</v>
      </c>
      <c r="B149" s="1" t="n">
        <v>1914</v>
      </c>
      <c r="C149" s="1" t="s">
        <v>647</v>
      </c>
      <c r="D149" s="1" t="n">
        <v>110947239</v>
      </c>
      <c r="E149" s="1" t="s">
        <v>648</v>
      </c>
      <c r="F149" s="1" t="s">
        <v>62</v>
      </c>
      <c r="G149" s="1" t="n">
        <v>-0.1277583</v>
      </c>
      <c r="H149" s="1" t="n">
        <v>51.5073509</v>
      </c>
      <c r="I149" s="1" t="s">
        <v>18</v>
      </c>
      <c r="J149" s="1" t="s">
        <v>649</v>
      </c>
      <c r="K149" s="1" t="s">
        <v>45</v>
      </c>
      <c r="L149" s="1" t="s">
        <v>21</v>
      </c>
      <c r="M149" s="1" t="s">
        <v>30</v>
      </c>
      <c r="N149" s="2" t="s">
        <v>21</v>
      </c>
      <c r="O149" s="1" t="n">
        <v>402715</v>
      </c>
      <c r="P149" s="1" t="n">
        <f aca="false">IF(A149=O149, 1, 0)</f>
        <v>0</v>
      </c>
    </row>
    <row r="150" customFormat="false" ht="15" hidden="false" customHeight="false" outlineLevel="0" collapsed="false">
      <c r="A150" s="1" t="n">
        <v>661814</v>
      </c>
      <c r="B150" s="1" t="n">
        <v>1914</v>
      </c>
      <c r="C150" s="1" t="s">
        <v>650</v>
      </c>
      <c r="D150" s="1" t="n">
        <v>1109467</v>
      </c>
      <c r="E150" s="1" t="s">
        <v>651</v>
      </c>
      <c r="F150" s="1" t="s">
        <v>62</v>
      </c>
      <c r="G150" s="1" t="n">
        <v>-0.1277583</v>
      </c>
      <c r="H150" s="1" t="n">
        <v>51.5073509</v>
      </c>
      <c r="I150" s="1" t="s">
        <v>18</v>
      </c>
      <c r="J150" s="1" t="s">
        <v>652</v>
      </c>
      <c r="K150" s="1" t="s">
        <v>45</v>
      </c>
      <c r="L150" s="1" t="s">
        <v>21</v>
      </c>
      <c r="M150" s="1" t="s">
        <v>30</v>
      </c>
      <c r="N150" s="1" t="s">
        <v>53</v>
      </c>
      <c r="O150" s="1" t="s">
        <v>653</v>
      </c>
      <c r="P150" s="1" t="n">
        <f aca="false">IF(A150=O150, 1, 0)</f>
        <v>0</v>
      </c>
    </row>
    <row r="151" customFormat="false" ht="15" hidden="false" customHeight="false" outlineLevel="0" collapsed="false">
      <c r="A151" s="1" t="n">
        <v>666512</v>
      </c>
      <c r="B151" s="1" t="n">
        <v>1914</v>
      </c>
      <c r="C151" s="1" t="s">
        <v>654</v>
      </c>
      <c r="D151" s="1" t="n">
        <v>295858</v>
      </c>
      <c r="E151" s="1" t="s">
        <v>655</v>
      </c>
      <c r="F151" s="1" t="s">
        <v>534</v>
      </c>
      <c r="G151" s="1" t="n">
        <v>-75.5993692</v>
      </c>
      <c r="H151" s="1" t="n">
        <v>38.3606736</v>
      </c>
      <c r="I151" s="1" t="s">
        <v>18</v>
      </c>
      <c r="J151" s="1" t="s">
        <v>178</v>
      </c>
      <c r="K151" s="1" t="s">
        <v>20</v>
      </c>
      <c r="L151" s="1" t="s">
        <v>21</v>
      </c>
      <c r="M151" s="1" t="s">
        <v>46</v>
      </c>
      <c r="N151" s="1" t="s">
        <v>47</v>
      </c>
      <c r="O151" s="1" t="s">
        <v>179</v>
      </c>
      <c r="P151" s="1" t="n">
        <f aca="false">IF(A151=O151, 1, 0)</f>
        <v>0</v>
      </c>
    </row>
    <row r="152" customFormat="false" ht="15" hidden="false" customHeight="false" outlineLevel="0" collapsed="false">
      <c r="A152" s="1" t="n">
        <v>671711</v>
      </c>
      <c r="B152" s="1" t="n">
        <v>1914</v>
      </c>
      <c r="C152" s="1" t="s">
        <v>656</v>
      </c>
      <c r="D152" s="1" t="n">
        <v>5901834</v>
      </c>
      <c r="E152" s="1" t="s">
        <v>657</v>
      </c>
      <c r="F152" s="1" t="s">
        <v>62</v>
      </c>
      <c r="G152" s="1" t="n">
        <v>-0.1277583</v>
      </c>
      <c r="H152" s="1" t="n">
        <v>51.5073509</v>
      </c>
      <c r="I152" s="1" t="s">
        <v>28</v>
      </c>
      <c r="J152" s="1" t="s">
        <v>658</v>
      </c>
      <c r="K152" s="1" t="s">
        <v>45</v>
      </c>
      <c r="L152" s="1" t="s">
        <v>21</v>
      </c>
      <c r="M152" s="1" t="s">
        <v>30</v>
      </c>
      <c r="N152" s="2" t="s">
        <v>31</v>
      </c>
      <c r="O152" s="1" t="s">
        <v>659</v>
      </c>
      <c r="P152" s="1" t="n">
        <f aca="false">IF(A152=O152, 1, 0)</f>
        <v>0</v>
      </c>
    </row>
    <row r="153" customFormat="false" ht="15" hidden="false" customHeight="false" outlineLevel="0" collapsed="false">
      <c r="A153" s="1" t="n">
        <v>672178</v>
      </c>
      <c r="B153" s="1" t="n">
        <v>1914</v>
      </c>
      <c r="C153" s="1" t="s">
        <v>388</v>
      </c>
      <c r="D153" s="1" t="n">
        <v>1478797</v>
      </c>
      <c r="E153" s="1" t="s">
        <v>660</v>
      </c>
      <c r="F153" s="1" t="s">
        <v>87</v>
      </c>
      <c r="G153" s="1" t="n">
        <v>28.0473051</v>
      </c>
      <c r="H153" s="1" t="n">
        <v>-26.2041028</v>
      </c>
      <c r="I153" s="1" t="s">
        <v>18</v>
      </c>
      <c r="J153" s="1" t="s">
        <v>661</v>
      </c>
      <c r="K153" s="1" t="s">
        <v>89</v>
      </c>
      <c r="L153" s="1" t="s">
        <v>21</v>
      </c>
      <c r="M153" s="1" t="s">
        <v>30</v>
      </c>
      <c r="N153" s="2" t="s">
        <v>31</v>
      </c>
      <c r="O153" s="1" t="s">
        <v>662</v>
      </c>
      <c r="P153" s="1" t="n">
        <f aca="false">IF(A153=O153, 1, 0)</f>
        <v>0</v>
      </c>
    </row>
    <row r="154" customFormat="false" ht="15" hidden="false" customHeight="false" outlineLevel="0" collapsed="false">
      <c r="A154" s="1" t="n">
        <v>680655</v>
      </c>
      <c r="B154" s="1" t="n">
        <v>1914</v>
      </c>
      <c r="C154" s="1" t="s">
        <v>663</v>
      </c>
      <c r="D154" s="1" t="n">
        <v>875912.4</v>
      </c>
      <c r="E154" s="1" t="s">
        <v>664</v>
      </c>
      <c r="F154" s="1" t="s">
        <v>62</v>
      </c>
      <c r="G154" s="1" t="n">
        <v>-0.1277583</v>
      </c>
      <c r="H154" s="1" t="n">
        <v>51.5073509</v>
      </c>
      <c r="I154" s="1" t="s">
        <v>30</v>
      </c>
      <c r="J154" s="1" t="s">
        <v>665</v>
      </c>
      <c r="K154" s="1" t="s">
        <v>45</v>
      </c>
      <c r="L154" s="1" t="s">
        <v>21</v>
      </c>
      <c r="M154" s="1" t="s">
        <v>30</v>
      </c>
      <c r="N154" s="2" t="s">
        <v>31</v>
      </c>
      <c r="O154" s="1" t="s">
        <v>666</v>
      </c>
      <c r="P154" s="1" t="n">
        <f aca="false">IF(A154=O154, 1, 0)</f>
        <v>0</v>
      </c>
    </row>
    <row r="155" customFormat="false" ht="15" hidden="false" customHeight="false" outlineLevel="0" collapsed="false">
      <c r="A155" s="1" t="n">
        <v>687641</v>
      </c>
      <c r="B155" s="1" t="n">
        <v>1914</v>
      </c>
      <c r="C155" s="1" t="s">
        <v>667</v>
      </c>
      <c r="D155" s="1" t="n">
        <v>805670.6</v>
      </c>
      <c r="E155" s="1" t="s">
        <v>668</v>
      </c>
      <c r="F155" s="1" t="s">
        <v>62</v>
      </c>
      <c r="G155" s="1" t="n">
        <v>-0.1277583</v>
      </c>
      <c r="H155" s="1" t="n">
        <v>51.5073509</v>
      </c>
      <c r="I155" s="1" t="s">
        <v>18</v>
      </c>
      <c r="J155" s="1" t="s">
        <v>669</v>
      </c>
      <c r="K155" s="1" t="s">
        <v>45</v>
      </c>
      <c r="L155" s="1" t="s">
        <v>21</v>
      </c>
      <c r="M155" s="1" t="s">
        <v>38</v>
      </c>
      <c r="N155" s="1" t="s">
        <v>23</v>
      </c>
      <c r="O155" s="1" t="s">
        <v>670</v>
      </c>
      <c r="P155" s="1" t="n">
        <f aca="false">IF(A155=O155, 1, 0)</f>
        <v>0</v>
      </c>
    </row>
    <row r="156" customFormat="false" ht="15" hidden="false" customHeight="false" outlineLevel="0" collapsed="false">
      <c r="A156" s="1" t="n">
        <v>687805</v>
      </c>
      <c r="B156" s="1" t="n">
        <v>1914</v>
      </c>
      <c r="C156" s="1" t="s">
        <v>671</v>
      </c>
      <c r="D156" s="1" t="n">
        <v>486854.9</v>
      </c>
      <c r="E156" s="1" t="s">
        <v>672</v>
      </c>
      <c r="F156" s="1" t="s">
        <v>673</v>
      </c>
      <c r="G156" s="1" t="n">
        <v>-3.943646</v>
      </c>
      <c r="H156" s="1" t="n">
        <v>51.62144</v>
      </c>
      <c r="I156" s="1" t="s">
        <v>18</v>
      </c>
      <c r="J156" s="2" t="s">
        <v>674</v>
      </c>
      <c r="K156" s="1" t="s">
        <v>45</v>
      </c>
      <c r="L156" s="1" t="s">
        <v>21</v>
      </c>
      <c r="M156" s="1" t="s">
        <v>30</v>
      </c>
      <c r="N156" s="2" t="s">
        <v>31</v>
      </c>
      <c r="O156" s="1" t="s">
        <v>675</v>
      </c>
      <c r="P156" s="1" t="n">
        <f aca="false">IF(A156=O156, 1, 0)</f>
        <v>0</v>
      </c>
    </row>
    <row r="157" customFormat="false" ht="15" hidden="false" customHeight="false" outlineLevel="0" collapsed="false">
      <c r="A157" s="1" t="n">
        <v>691075</v>
      </c>
      <c r="B157" s="1" t="n">
        <v>1914</v>
      </c>
      <c r="C157" s="1" t="s">
        <v>676</v>
      </c>
      <c r="D157" s="1" t="n">
        <v>123274.2</v>
      </c>
      <c r="E157" s="1" t="s">
        <v>677</v>
      </c>
      <c r="F157" s="1" t="s">
        <v>62</v>
      </c>
      <c r="G157" s="1" t="n">
        <v>-0.1277583</v>
      </c>
      <c r="H157" s="1" t="n">
        <v>51.5073509</v>
      </c>
      <c r="I157" s="1" t="s">
        <v>30</v>
      </c>
      <c r="J157" s="1" t="s">
        <v>678</v>
      </c>
      <c r="K157" s="1" t="s">
        <v>45</v>
      </c>
      <c r="L157" s="1" t="s">
        <v>21</v>
      </c>
      <c r="M157" s="1" t="s">
        <v>30</v>
      </c>
      <c r="N157" s="2" t="s">
        <v>21</v>
      </c>
      <c r="O157" s="1" t="n">
        <v>421555</v>
      </c>
      <c r="P157" s="1" t="n">
        <f aca="false">IF(A157=O157, 1, 0)</f>
        <v>0</v>
      </c>
    </row>
    <row r="158" customFormat="false" ht="15" hidden="false" customHeight="false" outlineLevel="0" collapsed="false">
      <c r="A158" s="1" t="n">
        <v>693546</v>
      </c>
      <c r="B158" s="1" t="n">
        <v>1914</v>
      </c>
      <c r="C158" s="1" t="s">
        <v>679</v>
      </c>
      <c r="D158" s="1" t="n">
        <v>246548.3</v>
      </c>
      <c r="E158" s="1" t="s">
        <v>680</v>
      </c>
      <c r="F158" s="1" t="s">
        <v>62</v>
      </c>
      <c r="G158" s="1" t="n">
        <v>-0.1277583</v>
      </c>
      <c r="H158" s="1" t="n">
        <v>51.5073509</v>
      </c>
      <c r="I158" s="1" t="s">
        <v>18</v>
      </c>
      <c r="J158" s="1" t="s">
        <v>681</v>
      </c>
      <c r="K158" s="1" t="s">
        <v>45</v>
      </c>
      <c r="L158" s="1" t="s">
        <v>21</v>
      </c>
      <c r="M158" s="1" t="s">
        <v>22</v>
      </c>
      <c r="N158" s="2" t="s">
        <v>342</v>
      </c>
      <c r="O158" s="1" t="s">
        <v>682</v>
      </c>
      <c r="P158" s="1" t="n">
        <f aca="false">IF(A158=O158, 1, 0)</f>
        <v>0</v>
      </c>
    </row>
    <row r="159" customFormat="false" ht="15" hidden="false" customHeight="false" outlineLevel="0" collapsed="false">
      <c r="A159" s="1" t="n">
        <v>694819</v>
      </c>
      <c r="B159" s="1" t="n">
        <v>1914</v>
      </c>
      <c r="C159" s="1" t="s">
        <v>683</v>
      </c>
      <c r="D159" s="1" t="n">
        <v>4235638</v>
      </c>
      <c r="E159" s="1" t="s">
        <v>684</v>
      </c>
      <c r="F159" s="1" t="s">
        <v>62</v>
      </c>
      <c r="G159" s="1" t="n">
        <v>-0.1277583</v>
      </c>
      <c r="H159" s="1" t="n">
        <v>51.5073509</v>
      </c>
      <c r="I159" s="1" t="s">
        <v>28</v>
      </c>
      <c r="J159" s="1" t="s">
        <v>685</v>
      </c>
      <c r="K159" s="1" t="s">
        <v>45</v>
      </c>
      <c r="L159" s="1" t="s">
        <v>21</v>
      </c>
      <c r="M159" s="1" t="s">
        <v>30</v>
      </c>
      <c r="N159" s="2" t="s">
        <v>31</v>
      </c>
      <c r="O159" s="1" t="s">
        <v>686</v>
      </c>
      <c r="P159" s="1" t="n">
        <f aca="false">IF(A159=O159, 1, 0)</f>
        <v>0</v>
      </c>
    </row>
    <row r="160" customFormat="false" ht="15" hidden="false" customHeight="false" outlineLevel="0" collapsed="false">
      <c r="A160" s="1" t="n">
        <v>699336</v>
      </c>
      <c r="B160" s="1" t="n">
        <v>1914</v>
      </c>
      <c r="C160" s="1" t="s">
        <v>687</v>
      </c>
      <c r="D160" s="1" t="n">
        <v>369640</v>
      </c>
      <c r="E160" s="1" t="s">
        <v>688</v>
      </c>
      <c r="F160" s="1" t="s">
        <v>62</v>
      </c>
      <c r="G160" s="1" t="n">
        <v>-0.1277583</v>
      </c>
      <c r="H160" s="1" t="n">
        <v>51.5073509</v>
      </c>
      <c r="I160" s="1" t="s">
        <v>63</v>
      </c>
      <c r="J160" s="1" t="s">
        <v>208</v>
      </c>
      <c r="K160" s="1" t="s">
        <v>45</v>
      </c>
      <c r="L160" s="1" t="s">
        <v>21</v>
      </c>
      <c r="M160" s="1" t="s">
        <v>46</v>
      </c>
      <c r="N160" s="2" t="s">
        <v>47</v>
      </c>
      <c r="O160" s="1" t="s">
        <v>209</v>
      </c>
      <c r="P160" s="1" t="n">
        <f aca="false">IF(A160=O160, 1, 0)</f>
        <v>0</v>
      </c>
    </row>
    <row r="161" customFormat="false" ht="15" hidden="false" customHeight="false" outlineLevel="0" collapsed="false">
      <c r="A161" s="1" t="n">
        <v>703223</v>
      </c>
      <c r="B161" s="1" t="n">
        <v>1914</v>
      </c>
      <c r="C161" s="1" t="s">
        <v>689</v>
      </c>
      <c r="D161" s="1" t="n">
        <v>59171.59763</v>
      </c>
      <c r="E161" s="1" t="s">
        <v>690</v>
      </c>
      <c r="F161" s="1" t="s">
        <v>287</v>
      </c>
      <c r="G161" s="1" t="n">
        <v>142.7027956</v>
      </c>
      <c r="H161" s="1" t="n">
        <v>-20.9175738</v>
      </c>
      <c r="I161" s="1" t="s">
        <v>18</v>
      </c>
      <c r="J161" s="1" t="s">
        <v>691</v>
      </c>
      <c r="K161" s="1" t="s">
        <v>27</v>
      </c>
      <c r="L161" s="1" t="s">
        <v>21</v>
      </c>
      <c r="M161" s="1" t="s">
        <v>46</v>
      </c>
      <c r="N161" s="2" t="s">
        <v>47</v>
      </c>
      <c r="O161" s="1" t="s">
        <v>692</v>
      </c>
      <c r="P161" s="1" t="n">
        <f aca="false">IF(A161=O161, 1, 0)</f>
        <v>0</v>
      </c>
    </row>
    <row r="162" customFormat="false" ht="15" hidden="false" customHeight="false" outlineLevel="0" collapsed="false">
      <c r="A162" s="1" t="n">
        <v>706473</v>
      </c>
      <c r="B162" s="1" t="n">
        <v>1914</v>
      </c>
      <c r="C162" s="1" t="s">
        <v>693</v>
      </c>
      <c r="D162" s="1" t="n">
        <v>197238.6588</v>
      </c>
      <c r="E162" s="1" t="s">
        <v>694</v>
      </c>
      <c r="F162" s="1" t="s">
        <v>695</v>
      </c>
      <c r="G162" s="1" t="n">
        <v>-107.6645057</v>
      </c>
      <c r="H162" s="1" t="n">
        <v>37.811941</v>
      </c>
      <c r="I162" s="1" t="s">
        <v>18</v>
      </c>
      <c r="J162" s="1" t="s">
        <v>696</v>
      </c>
      <c r="K162" s="1" t="s">
        <v>20</v>
      </c>
      <c r="L162" s="1" t="s">
        <v>21</v>
      </c>
      <c r="M162" s="1" t="s">
        <v>30</v>
      </c>
      <c r="N162" s="2" t="s">
        <v>31</v>
      </c>
      <c r="O162" s="1" t="s">
        <v>697</v>
      </c>
      <c r="P162" s="1" t="n">
        <f aca="false">IF(A162=O162, 1, 0)</f>
        <v>0</v>
      </c>
    </row>
    <row r="163" customFormat="false" ht="15" hidden="false" customHeight="false" outlineLevel="0" collapsed="false">
      <c r="A163" s="1" t="n">
        <v>716526</v>
      </c>
      <c r="B163" s="1" t="n">
        <v>1915</v>
      </c>
      <c r="C163" s="1" t="s">
        <v>698</v>
      </c>
      <c r="D163" s="1" t="n">
        <v>1503330.162</v>
      </c>
      <c r="E163" s="1" t="s">
        <v>699</v>
      </c>
      <c r="F163" s="1" t="s">
        <v>147</v>
      </c>
      <c r="G163" s="1" t="n">
        <v>-1.61778</v>
      </c>
      <c r="H163" s="1" t="n">
        <v>54.978252</v>
      </c>
      <c r="I163" s="1" t="s">
        <v>28</v>
      </c>
      <c r="J163" s="1" t="s">
        <v>700</v>
      </c>
      <c r="K163" s="1" t="s">
        <v>45</v>
      </c>
      <c r="L163" s="1" t="s">
        <v>21</v>
      </c>
      <c r="M163" s="1" t="s">
        <v>22</v>
      </c>
      <c r="N163" s="1" t="s">
        <v>23</v>
      </c>
      <c r="O163" s="1" t="s">
        <v>701</v>
      </c>
      <c r="P163" s="1" t="n">
        <f aca="false">IF(A163=O163, 1, 0)</f>
        <v>0</v>
      </c>
    </row>
    <row r="164" customFormat="false" ht="15" hidden="false" customHeight="false" outlineLevel="0" collapsed="false">
      <c r="A164" s="1" t="n">
        <v>719472</v>
      </c>
      <c r="B164" s="1" t="n">
        <v>1915</v>
      </c>
      <c r="C164" s="1" t="s">
        <v>702</v>
      </c>
      <c r="D164" s="1" t="n">
        <v>2854424.358</v>
      </c>
      <c r="E164" s="1" t="s">
        <v>703</v>
      </c>
      <c r="F164" s="1" t="s">
        <v>704</v>
      </c>
      <c r="G164" s="1" t="n">
        <v>-75.1652215</v>
      </c>
      <c r="H164" s="1" t="n">
        <v>39.9525839</v>
      </c>
      <c r="I164" s="1" t="s">
        <v>28</v>
      </c>
      <c r="J164" s="1" t="s">
        <v>705</v>
      </c>
      <c r="K164" s="1" t="s">
        <v>20</v>
      </c>
      <c r="L164" s="1" t="s">
        <v>21</v>
      </c>
      <c r="M164" s="1" t="s">
        <v>30</v>
      </c>
      <c r="N164" s="1" t="s">
        <v>21</v>
      </c>
      <c r="O164" s="1" t="n">
        <v>1080201</v>
      </c>
      <c r="P164" s="1" t="n">
        <f aca="false">IF(A164=O164, 1, 0)</f>
        <v>0</v>
      </c>
    </row>
    <row r="165" customFormat="false" ht="15" hidden="false" customHeight="false" outlineLevel="0" collapsed="false">
      <c r="A165" s="1" t="n">
        <v>728926</v>
      </c>
      <c r="B165" s="1" t="n">
        <v>1915</v>
      </c>
      <c r="C165" s="1" t="s">
        <v>706</v>
      </c>
      <c r="D165" s="1" t="n">
        <v>4757373.93</v>
      </c>
      <c r="E165" s="1" t="s">
        <v>707</v>
      </c>
      <c r="F165" s="1" t="s">
        <v>62</v>
      </c>
      <c r="G165" s="1" t="n">
        <v>-0.1277583</v>
      </c>
      <c r="H165" s="1" t="n">
        <v>51.5073509</v>
      </c>
      <c r="I165" s="1" t="s">
        <v>18</v>
      </c>
      <c r="J165" s="1" t="s">
        <v>661</v>
      </c>
      <c r="K165" s="1" t="s">
        <v>45</v>
      </c>
      <c r="L165" s="1" t="s">
        <v>21</v>
      </c>
      <c r="M165" s="1" t="s">
        <v>30</v>
      </c>
      <c r="N165" s="2" t="s">
        <v>31</v>
      </c>
      <c r="O165" s="1" t="s">
        <v>662</v>
      </c>
      <c r="P165" s="1" t="n">
        <f aca="false">IF(A165=O165, 1, 0)</f>
        <v>0</v>
      </c>
    </row>
    <row r="166" customFormat="false" ht="15" hidden="false" customHeight="false" outlineLevel="0" collapsed="false">
      <c r="A166" s="1" t="n">
        <v>729417</v>
      </c>
      <c r="B166" s="1" t="n">
        <v>1915</v>
      </c>
      <c r="C166" s="1" t="s">
        <v>708</v>
      </c>
      <c r="D166" s="1" t="n">
        <v>356803.0448</v>
      </c>
      <c r="E166" s="1" t="s">
        <v>709</v>
      </c>
      <c r="F166" s="1" t="s">
        <v>27</v>
      </c>
      <c r="G166" s="1" t="n">
        <v>133.775136</v>
      </c>
      <c r="H166" s="1" t="n">
        <v>-25.274398</v>
      </c>
      <c r="I166" s="1" t="s">
        <v>28</v>
      </c>
      <c r="J166" s="1" t="s">
        <v>710</v>
      </c>
      <c r="K166" s="1" t="s">
        <v>27</v>
      </c>
      <c r="L166" s="1" t="s">
        <v>21</v>
      </c>
      <c r="M166" s="1" t="s">
        <v>30</v>
      </c>
      <c r="N166" s="2" t="s">
        <v>31</v>
      </c>
      <c r="O166" s="1" t="s">
        <v>711</v>
      </c>
      <c r="P166" s="1" t="n">
        <f aca="false">IF(A166=O166, 1, 0)</f>
        <v>0</v>
      </c>
    </row>
    <row r="167" customFormat="false" ht="15" hidden="false" customHeight="false" outlineLevel="0" collapsed="false">
      <c r="A167" s="1" t="n">
        <v>732911</v>
      </c>
      <c r="B167" s="1" t="n">
        <v>1915</v>
      </c>
      <c r="C167" s="1" t="s">
        <v>712</v>
      </c>
      <c r="D167" s="1" t="n">
        <v>737392.9592</v>
      </c>
      <c r="E167" s="1" t="s">
        <v>713</v>
      </c>
      <c r="F167" s="1" t="s">
        <v>62</v>
      </c>
      <c r="G167" s="1" t="n">
        <v>-0.1277583</v>
      </c>
      <c r="H167" s="1" t="n">
        <v>51.5073509</v>
      </c>
      <c r="I167" s="1" t="s">
        <v>18</v>
      </c>
      <c r="J167" s="1" t="s">
        <v>714</v>
      </c>
      <c r="K167" s="1" t="s">
        <v>45</v>
      </c>
      <c r="L167" s="1" t="s">
        <v>21</v>
      </c>
      <c r="M167" s="1" t="s">
        <v>22</v>
      </c>
      <c r="N167" s="1" t="s">
        <v>715</v>
      </c>
      <c r="O167" s="1" t="s">
        <v>716</v>
      </c>
      <c r="P167" s="1" t="n">
        <f aca="false">IF(A167=O167, 1, 0)</f>
        <v>0</v>
      </c>
    </row>
    <row r="168" customFormat="false" ht="15" hidden="false" customHeight="false" outlineLevel="0" collapsed="false">
      <c r="A168" s="1" t="n">
        <v>736062</v>
      </c>
      <c r="B168" s="1" t="n">
        <v>1915</v>
      </c>
      <c r="C168" s="1" t="s">
        <v>717</v>
      </c>
      <c r="D168" s="1" t="n">
        <v>475737.393</v>
      </c>
      <c r="E168" s="1" t="s">
        <v>718</v>
      </c>
      <c r="F168" s="1" t="s">
        <v>62</v>
      </c>
      <c r="G168" s="1" t="n">
        <v>-0.1277583</v>
      </c>
      <c r="H168" s="1" t="n">
        <v>51.5073509</v>
      </c>
      <c r="I168" s="1" t="s">
        <v>18</v>
      </c>
      <c r="J168" s="1" t="s">
        <v>231</v>
      </c>
      <c r="K168" s="1" t="s">
        <v>45</v>
      </c>
      <c r="L168" s="1" t="s">
        <v>21</v>
      </c>
      <c r="M168" s="1" t="s">
        <v>232</v>
      </c>
      <c r="N168" s="2" t="s">
        <v>47</v>
      </c>
      <c r="O168" s="1" t="s">
        <v>233</v>
      </c>
      <c r="P168" s="1" t="n">
        <f aca="false">IF(A168=O168, 1, 0)</f>
        <v>0</v>
      </c>
    </row>
    <row r="169" customFormat="false" ht="15" hidden="false" customHeight="false" outlineLevel="0" collapsed="false">
      <c r="A169" s="1" t="n">
        <v>737341</v>
      </c>
      <c r="B169" s="1" t="n">
        <v>1915</v>
      </c>
      <c r="C169" s="1" t="s">
        <v>719</v>
      </c>
      <c r="D169" s="1" t="n">
        <v>71360.60895</v>
      </c>
      <c r="E169" s="1" t="s">
        <v>720</v>
      </c>
      <c r="F169" s="1" t="s">
        <v>43</v>
      </c>
      <c r="G169" s="1" t="n">
        <v>-4.251806</v>
      </c>
      <c r="H169" s="1" t="n">
        <v>55.864237</v>
      </c>
      <c r="I169" s="1" t="s">
        <v>18</v>
      </c>
      <c r="J169" s="1" t="s">
        <v>208</v>
      </c>
      <c r="K169" s="1" t="s">
        <v>45</v>
      </c>
      <c r="L169" s="1" t="s">
        <v>21</v>
      </c>
      <c r="M169" s="1" t="s">
        <v>46</v>
      </c>
      <c r="N169" s="2" t="s">
        <v>47</v>
      </c>
      <c r="O169" s="1" t="s">
        <v>209</v>
      </c>
      <c r="P169" s="1" t="n">
        <f aca="false">IF(A169=O169, 1, 0)</f>
        <v>0</v>
      </c>
    </row>
    <row r="170" customFormat="false" ht="15" hidden="false" customHeight="false" outlineLevel="0" collapsed="false">
      <c r="A170" s="1" t="n">
        <v>737546</v>
      </c>
      <c r="B170" s="1" t="n">
        <v>1915</v>
      </c>
      <c r="C170" s="1" t="s">
        <v>721</v>
      </c>
      <c r="D170" s="1" t="n">
        <v>6684110.372</v>
      </c>
      <c r="E170" s="1" t="s">
        <v>722</v>
      </c>
      <c r="F170" s="1" t="s">
        <v>62</v>
      </c>
      <c r="G170" s="1" t="n">
        <v>-0.1277583</v>
      </c>
      <c r="H170" s="1" t="n">
        <v>51.5073509</v>
      </c>
      <c r="I170" s="1" t="s">
        <v>30</v>
      </c>
      <c r="J170" s="1" t="s">
        <v>723</v>
      </c>
      <c r="K170" s="1" t="s">
        <v>45</v>
      </c>
      <c r="L170" s="1" t="s">
        <v>21</v>
      </c>
      <c r="M170" s="1" t="s">
        <v>30</v>
      </c>
      <c r="N170" s="2" t="s">
        <v>31</v>
      </c>
      <c r="O170" s="1" t="s">
        <v>724</v>
      </c>
      <c r="P170" s="1" t="n">
        <f aca="false">IF(A170=O170, 1, 0)</f>
        <v>0</v>
      </c>
    </row>
    <row r="171" customFormat="false" ht="15" hidden="false" customHeight="false" outlineLevel="0" collapsed="false">
      <c r="A171" s="1" t="n">
        <v>738859</v>
      </c>
      <c r="B171" s="1" t="n">
        <v>1915</v>
      </c>
      <c r="C171" s="1" t="s">
        <v>725</v>
      </c>
      <c r="D171" s="1" t="n">
        <v>594671.7413</v>
      </c>
      <c r="E171" s="1" t="s">
        <v>726</v>
      </c>
      <c r="F171" s="1" t="s">
        <v>62</v>
      </c>
      <c r="G171" s="1" t="n">
        <v>-0.1277583</v>
      </c>
      <c r="H171" s="1" t="n">
        <v>51.5073509</v>
      </c>
      <c r="I171" s="1" t="s">
        <v>18</v>
      </c>
      <c r="J171" s="1" t="s">
        <v>727</v>
      </c>
      <c r="K171" s="1" t="s">
        <v>45</v>
      </c>
      <c r="L171" s="1" t="s">
        <v>21</v>
      </c>
      <c r="M171" s="1" t="s">
        <v>46</v>
      </c>
      <c r="N171" s="2" t="s">
        <v>47</v>
      </c>
      <c r="O171" s="1" t="s">
        <v>728</v>
      </c>
      <c r="P171" s="1" t="n">
        <f aca="false">IF(A171=O171, 1, 0)</f>
        <v>0</v>
      </c>
    </row>
    <row r="172" customFormat="false" ht="15" hidden="false" customHeight="false" outlineLevel="0" collapsed="false">
      <c r="A172" s="1" t="n">
        <v>743611</v>
      </c>
      <c r="B172" s="1" t="n">
        <v>1915</v>
      </c>
      <c r="C172" s="1" t="s">
        <v>729</v>
      </c>
      <c r="D172" s="1" t="n">
        <v>1189343.483</v>
      </c>
      <c r="E172" s="1" t="s">
        <v>730</v>
      </c>
      <c r="F172" s="1" t="s">
        <v>87</v>
      </c>
      <c r="G172" s="1" t="n">
        <v>28.0473051</v>
      </c>
      <c r="H172" s="1" t="n">
        <v>-26.2041028</v>
      </c>
      <c r="I172" s="1" t="s">
        <v>30</v>
      </c>
      <c r="J172" s="1" t="s">
        <v>731</v>
      </c>
      <c r="K172" s="1" t="s">
        <v>89</v>
      </c>
      <c r="L172" s="1" t="s">
        <v>21</v>
      </c>
      <c r="M172" s="1" t="s">
        <v>30</v>
      </c>
      <c r="N172" s="2" t="s">
        <v>31</v>
      </c>
      <c r="O172" s="1" t="s">
        <v>732</v>
      </c>
      <c r="P172" s="1" t="n">
        <f aca="false">IF(A172=O172, 1, 0)</f>
        <v>0</v>
      </c>
    </row>
    <row r="173" customFormat="false" ht="15" hidden="false" customHeight="false" outlineLevel="0" collapsed="false">
      <c r="A173" s="1" t="n">
        <v>747423</v>
      </c>
      <c r="B173" s="1" t="n">
        <v>1915</v>
      </c>
      <c r="C173" s="1" t="s">
        <v>733</v>
      </c>
      <c r="D173" s="1" t="n">
        <v>380589.9144</v>
      </c>
      <c r="E173" s="1" t="s">
        <v>734</v>
      </c>
      <c r="F173" s="1" t="s">
        <v>62</v>
      </c>
      <c r="G173" s="1" t="n">
        <v>-0.1277583</v>
      </c>
      <c r="H173" s="1" t="n">
        <v>51.5073509</v>
      </c>
      <c r="I173" s="1" t="s">
        <v>28</v>
      </c>
      <c r="J173" s="1" t="s">
        <v>735</v>
      </c>
      <c r="K173" s="1" t="s">
        <v>45</v>
      </c>
      <c r="L173" s="1" t="s">
        <v>21</v>
      </c>
      <c r="M173" s="1" t="s">
        <v>30</v>
      </c>
      <c r="N173" s="2" t="s">
        <v>31</v>
      </c>
      <c r="O173" s="1" t="s">
        <v>736</v>
      </c>
      <c r="P173" s="1" t="n">
        <f aca="false">IF(A173=O173, 1, 0)</f>
        <v>0</v>
      </c>
    </row>
    <row r="174" customFormat="false" ht="15" hidden="false" customHeight="false" outlineLevel="0" collapsed="false">
      <c r="A174" s="1" t="n">
        <v>748266</v>
      </c>
      <c r="B174" s="1" t="n">
        <v>1915</v>
      </c>
      <c r="C174" s="1" t="s">
        <v>737</v>
      </c>
      <c r="D174" s="1" t="n">
        <v>1308277.831</v>
      </c>
      <c r="E174" s="1" t="s">
        <v>738</v>
      </c>
      <c r="F174" s="1" t="s">
        <v>529</v>
      </c>
      <c r="G174" s="1" t="n">
        <v>174.885971</v>
      </c>
      <c r="H174" s="1" t="n">
        <v>-40.900557</v>
      </c>
      <c r="I174" s="1" t="s">
        <v>28</v>
      </c>
      <c r="J174" s="1" t="s">
        <v>739</v>
      </c>
      <c r="K174" s="1" t="s">
        <v>46</v>
      </c>
      <c r="L174" s="1" t="s">
        <v>21</v>
      </c>
      <c r="M174" s="1" t="s">
        <v>30</v>
      </c>
      <c r="N174" s="2" t="s">
        <v>31</v>
      </c>
      <c r="O174" s="1" t="s">
        <v>740</v>
      </c>
      <c r="P174" s="1" t="n">
        <f aca="false">IF(A174=O174, 1, 0)</f>
        <v>0</v>
      </c>
    </row>
    <row r="175" customFormat="false" ht="15" hidden="false" customHeight="false" outlineLevel="0" collapsed="false">
      <c r="A175" s="1" t="n">
        <v>749550</v>
      </c>
      <c r="B175" s="1" t="n">
        <v>1915</v>
      </c>
      <c r="C175" s="1" t="s">
        <v>654</v>
      </c>
      <c r="D175" s="1" t="n">
        <v>3330161.751</v>
      </c>
      <c r="E175" s="1" t="s">
        <v>741</v>
      </c>
      <c r="F175" s="1" t="s">
        <v>534</v>
      </c>
      <c r="G175" s="1" t="n">
        <v>-75.5993692</v>
      </c>
      <c r="H175" s="1" t="n">
        <v>38.3606736</v>
      </c>
      <c r="I175" s="1" t="s">
        <v>18</v>
      </c>
      <c r="J175" s="1" t="s">
        <v>178</v>
      </c>
      <c r="K175" s="1" t="s">
        <v>20</v>
      </c>
      <c r="L175" s="1" t="s">
        <v>21</v>
      </c>
      <c r="M175" s="1" t="s">
        <v>46</v>
      </c>
      <c r="N175" s="1" t="s">
        <v>47</v>
      </c>
      <c r="O175" s="1" t="s">
        <v>179</v>
      </c>
      <c r="P175" s="1" t="n">
        <f aca="false">IF(A175=O175, 1, 0)</f>
        <v>0</v>
      </c>
    </row>
    <row r="176" customFormat="false" ht="15" hidden="false" customHeight="false" outlineLevel="0" collapsed="false">
      <c r="A176" s="1" t="n">
        <v>750048</v>
      </c>
      <c r="B176" s="1" t="n">
        <v>1915</v>
      </c>
      <c r="C176" s="1" t="s">
        <v>742</v>
      </c>
      <c r="D176" s="5" t="n">
        <v>2000000</v>
      </c>
      <c r="E176" s="1" t="s">
        <v>743</v>
      </c>
      <c r="F176" s="1" t="s">
        <v>62</v>
      </c>
      <c r="G176" s="1" t="n">
        <v>-0.1277583</v>
      </c>
      <c r="H176" s="1" t="n">
        <v>51.5073509</v>
      </c>
      <c r="I176" s="1" t="s">
        <v>63</v>
      </c>
      <c r="J176" s="1" t="s">
        <v>498</v>
      </c>
      <c r="K176" s="1" t="s">
        <v>45</v>
      </c>
      <c r="L176" s="1" t="s">
        <v>21</v>
      </c>
      <c r="M176" s="1" t="s">
        <v>46</v>
      </c>
      <c r="N176" s="2" t="s">
        <v>47</v>
      </c>
      <c r="O176" s="1" t="s">
        <v>499</v>
      </c>
      <c r="P176" s="1" t="n">
        <f aca="false">IF(A176=O176, 1, 0)</f>
        <v>0</v>
      </c>
    </row>
    <row r="177" customFormat="false" ht="15" hidden="false" customHeight="false" outlineLevel="0" collapsed="false">
      <c r="A177" s="1" t="n">
        <v>758303</v>
      </c>
      <c r="B177" s="1" t="n">
        <v>1915</v>
      </c>
      <c r="C177" s="1" t="s">
        <v>744</v>
      </c>
      <c r="D177" s="1" t="n">
        <v>3092293.055</v>
      </c>
      <c r="E177" s="1" t="s">
        <v>745</v>
      </c>
      <c r="F177" s="1" t="s">
        <v>62</v>
      </c>
      <c r="G177" s="1" t="n">
        <v>-0.1277583</v>
      </c>
      <c r="H177" s="1" t="n">
        <v>51.5073509</v>
      </c>
      <c r="I177" s="1" t="s">
        <v>63</v>
      </c>
      <c r="J177" s="1" t="s">
        <v>746</v>
      </c>
      <c r="K177" s="1" t="s">
        <v>45</v>
      </c>
      <c r="L177" s="1" t="s">
        <v>21</v>
      </c>
      <c r="M177" s="1" t="s">
        <v>22</v>
      </c>
      <c r="N177" s="2" t="s">
        <v>747</v>
      </c>
      <c r="O177" s="1" t="s">
        <v>748</v>
      </c>
      <c r="P177" s="1" t="n">
        <f aca="false">IF(A177=O177, 1, 0)</f>
        <v>0</v>
      </c>
    </row>
    <row r="178" customFormat="false" ht="15" hidden="false" customHeight="false" outlineLevel="0" collapsed="false">
      <c r="A178" s="1" t="n">
        <v>759098</v>
      </c>
      <c r="B178" s="1" t="n">
        <v>1915</v>
      </c>
      <c r="C178" s="1" t="s">
        <v>749</v>
      </c>
      <c r="D178" s="1" t="n">
        <v>2378686.965</v>
      </c>
      <c r="E178" s="1" t="s">
        <v>750</v>
      </c>
      <c r="F178" s="1" t="s">
        <v>62</v>
      </c>
      <c r="G178" s="1" t="n">
        <v>-0.1277583</v>
      </c>
      <c r="H178" s="1" t="n">
        <v>51.5073509</v>
      </c>
      <c r="I178" s="1" t="s">
        <v>18</v>
      </c>
      <c r="J178" s="1" t="s">
        <v>616</v>
      </c>
      <c r="K178" s="1" t="s">
        <v>45</v>
      </c>
      <c r="L178" s="1" t="s">
        <v>21</v>
      </c>
      <c r="M178" s="1" t="s">
        <v>46</v>
      </c>
      <c r="N178" s="2" t="s">
        <v>47</v>
      </c>
      <c r="O178" s="1" t="s">
        <v>617</v>
      </c>
      <c r="P178" s="1" t="n">
        <f aca="false">IF(A178=O178, 1, 0)</f>
        <v>0</v>
      </c>
    </row>
    <row r="179" customFormat="false" ht="15" hidden="false" customHeight="false" outlineLevel="0" collapsed="false">
      <c r="A179" s="1" t="n">
        <v>760549</v>
      </c>
      <c r="B179" s="1" t="n">
        <v>1915</v>
      </c>
      <c r="C179" s="1" t="s">
        <v>751</v>
      </c>
      <c r="D179" s="1" t="n">
        <v>999048.5253</v>
      </c>
      <c r="E179" s="1" t="s">
        <v>752</v>
      </c>
      <c r="F179" s="1" t="s">
        <v>62</v>
      </c>
      <c r="G179" s="1" t="n">
        <v>-0.1277583</v>
      </c>
      <c r="H179" s="1" t="n">
        <v>51.5073509</v>
      </c>
      <c r="I179" s="1" t="s">
        <v>18</v>
      </c>
      <c r="J179" s="1" t="s">
        <v>661</v>
      </c>
      <c r="K179" s="1" t="s">
        <v>45</v>
      </c>
      <c r="L179" s="1" t="s">
        <v>21</v>
      </c>
      <c r="M179" s="1" t="s">
        <v>30</v>
      </c>
      <c r="N179" s="2" t="s">
        <v>31</v>
      </c>
      <c r="O179" s="1" t="s">
        <v>662</v>
      </c>
      <c r="P179" s="1" t="n">
        <f aca="false">IF(A179=O179, 1, 0)</f>
        <v>0</v>
      </c>
    </row>
    <row r="180" customFormat="false" ht="15" hidden="false" customHeight="false" outlineLevel="0" collapsed="false">
      <c r="A180" s="1" t="n">
        <v>761419</v>
      </c>
      <c r="B180" s="1" t="n">
        <v>1915</v>
      </c>
      <c r="C180" s="1" t="s">
        <v>753</v>
      </c>
      <c r="D180" s="1" t="n">
        <v>4138915.319</v>
      </c>
      <c r="E180" s="1" t="s">
        <v>754</v>
      </c>
      <c r="F180" s="1" t="s">
        <v>381</v>
      </c>
      <c r="G180" s="1" t="n">
        <v>-97.2134822</v>
      </c>
      <c r="H180" s="1" t="n">
        <v>32.8294337</v>
      </c>
      <c r="I180" s="1" t="s">
        <v>30</v>
      </c>
      <c r="J180" s="1" t="s">
        <v>755</v>
      </c>
      <c r="K180" s="1" t="s">
        <v>20</v>
      </c>
      <c r="L180" s="1" t="s">
        <v>21</v>
      </c>
      <c r="M180" s="1" t="s">
        <v>30</v>
      </c>
      <c r="N180" s="2" t="s">
        <v>31</v>
      </c>
      <c r="O180" s="1" t="s">
        <v>756</v>
      </c>
      <c r="P180" s="1" t="n">
        <f aca="false">IF(A180=O180, 1, 0)</f>
        <v>0</v>
      </c>
    </row>
    <row r="181" customFormat="false" ht="15" hidden="false" customHeight="false" outlineLevel="0" collapsed="false">
      <c r="A181" s="1" t="n">
        <v>761718</v>
      </c>
      <c r="B181" s="1" t="n">
        <v>1915</v>
      </c>
      <c r="C181" s="1" t="s">
        <v>757</v>
      </c>
      <c r="D181" s="1" t="n">
        <v>285442.4358</v>
      </c>
      <c r="E181" s="1" t="s">
        <v>758</v>
      </c>
      <c r="F181" s="1" t="s">
        <v>62</v>
      </c>
      <c r="G181" s="1" t="n">
        <v>-0.1277583</v>
      </c>
      <c r="H181" s="1" t="n">
        <v>51.5073509</v>
      </c>
      <c r="I181" s="1" t="s">
        <v>18</v>
      </c>
      <c r="J181" s="1" t="s">
        <v>681</v>
      </c>
      <c r="K181" s="1" t="s">
        <v>45</v>
      </c>
      <c r="L181" s="1" t="s">
        <v>21</v>
      </c>
      <c r="M181" s="1" t="s">
        <v>22</v>
      </c>
      <c r="N181" s="2" t="s">
        <v>342</v>
      </c>
      <c r="O181" s="1" t="s">
        <v>682</v>
      </c>
      <c r="P181" s="1" t="n">
        <f aca="false">IF(A181=O181, 1, 0)</f>
        <v>0</v>
      </c>
    </row>
    <row r="182" customFormat="false" ht="15" hidden="false" customHeight="false" outlineLevel="0" collapsed="false">
      <c r="A182" s="1" t="n">
        <v>769328</v>
      </c>
      <c r="B182" s="1" t="n">
        <v>1916</v>
      </c>
      <c r="C182" s="1" t="s">
        <v>759</v>
      </c>
      <c r="D182" s="1" t="n">
        <v>476644.4233</v>
      </c>
      <c r="E182" s="1" t="s">
        <v>760</v>
      </c>
      <c r="F182" s="1" t="s">
        <v>87</v>
      </c>
      <c r="G182" s="1" t="n">
        <v>28.0473051</v>
      </c>
      <c r="H182" s="1" t="n">
        <v>-26.2041028</v>
      </c>
      <c r="I182" s="1" t="s">
        <v>28</v>
      </c>
      <c r="J182" s="1" t="s">
        <v>761</v>
      </c>
      <c r="K182" s="1" t="s">
        <v>89</v>
      </c>
      <c r="L182" s="1" t="s">
        <v>21</v>
      </c>
      <c r="M182" s="1" t="s">
        <v>30</v>
      </c>
      <c r="N182" s="2" t="s">
        <v>31</v>
      </c>
      <c r="O182" s="1" t="s">
        <v>762</v>
      </c>
      <c r="P182" s="1" t="n">
        <f aca="false">IF(A182=O182, 1, 0)</f>
        <v>0</v>
      </c>
    </row>
    <row r="183" customFormat="false" ht="15" hidden="false" customHeight="false" outlineLevel="0" collapsed="false">
      <c r="A183" s="1" t="n">
        <v>778489</v>
      </c>
      <c r="B183" s="1" t="n">
        <v>1916</v>
      </c>
      <c r="C183" s="1" t="s">
        <v>763</v>
      </c>
      <c r="D183" s="1" t="n">
        <v>4766444.233</v>
      </c>
      <c r="E183" s="1" t="s">
        <v>764</v>
      </c>
      <c r="F183" s="1" t="s">
        <v>62</v>
      </c>
      <c r="G183" s="1" t="n">
        <v>-0.1277583</v>
      </c>
      <c r="H183" s="1" t="n">
        <v>51.5073509</v>
      </c>
      <c r="I183" s="1" t="s">
        <v>28</v>
      </c>
      <c r="J183" s="1" t="s">
        <v>765</v>
      </c>
      <c r="K183" s="1" t="s">
        <v>45</v>
      </c>
      <c r="L183" s="1" t="s">
        <v>21</v>
      </c>
      <c r="M183" s="1" t="s">
        <v>30</v>
      </c>
      <c r="N183" s="2" t="s">
        <v>31</v>
      </c>
      <c r="O183" s="1" t="s">
        <v>766</v>
      </c>
      <c r="P183" s="1" t="n">
        <f aca="false">IF(A183=O183, 1, 0)</f>
        <v>0</v>
      </c>
    </row>
    <row r="184" customFormat="false" ht="15" hidden="false" customHeight="false" outlineLevel="0" collapsed="false">
      <c r="A184" s="1" t="n">
        <v>782062</v>
      </c>
      <c r="B184" s="1" t="n">
        <v>1916</v>
      </c>
      <c r="C184" s="1" t="s">
        <v>767</v>
      </c>
      <c r="D184" s="1" t="n">
        <v>6673021.926</v>
      </c>
      <c r="E184" s="1" t="s">
        <v>768</v>
      </c>
      <c r="F184" s="1" t="s">
        <v>769</v>
      </c>
      <c r="G184" s="1" t="n">
        <v>-71.3128285</v>
      </c>
      <c r="H184" s="1" t="n">
        <v>41.4901024</v>
      </c>
      <c r="I184" s="1" t="s">
        <v>63</v>
      </c>
      <c r="J184" s="1" t="s">
        <v>465</v>
      </c>
      <c r="K184" s="1" t="s">
        <v>20</v>
      </c>
      <c r="L184" s="1" t="s">
        <v>21</v>
      </c>
      <c r="M184" s="1" t="s">
        <v>466</v>
      </c>
      <c r="N184" s="2" t="s">
        <v>47</v>
      </c>
      <c r="O184" s="1" t="s">
        <v>467</v>
      </c>
      <c r="P184" s="1" t="n">
        <f aca="false">IF(A184=O184, 1, 0)</f>
        <v>0</v>
      </c>
    </row>
    <row r="185" customFormat="false" ht="15" hidden="false" customHeight="false" outlineLevel="0" collapsed="false">
      <c r="A185" s="1" t="n">
        <v>783069</v>
      </c>
      <c r="B185" s="1" t="n">
        <v>1916</v>
      </c>
      <c r="C185" s="1" t="s">
        <v>770</v>
      </c>
      <c r="D185" s="1" t="n">
        <v>1787416.587</v>
      </c>
      <c r="E185" s="1" t="s">
        <v>771</v>
      </c>
      <c r="F185" s="1" t="s">
        <v>381</v>
      </c>
      <c r="G185" s="1" t="n">
        <v>-97.2134822</v>
      </c>
      <c r="H185" s="1" t="n">
        <v>32.8294337</v>
      </c>
      <c r="I185" s="1" t="s">
        <v>63</v>
      </c>
      <c r="J185" s="1" t="s">
        <v>365</v>
      </c>
      <c r="K185" s="1" t="s">
        <v>20</v>
      </c>
      <c r="L185" s="1" t="s">
        <v>21</v>
      </c>
      <c r="M185" s="1" t="s">
        <v>22</v>
      </c>
      <c r="N185" s="2" t="s">
        <v>47</v>
      </c>
      <c r="O185" s="1" t="s">
        <v>366</v>
      </c>
      <c r="P185" s="1" t="n">
        <f aca="false">IF(A185=O185, 1, 0)</f>
        <v>0</v>
      </c>
    </row>
    <row r="186" customFormat="false" ht="15" hidden="false" customHeight="false" outlineLevel="0" collapsed="false">
      <c r="A186" s="1" t="n">
        <v>783167</v>
      </c>
      <c r="B186" s="1" t="n">
        <v>1916</v>
      </c>
      <c r="C186" s="1" t="s">
        <v>772</v>
      </c>
      <c r="D186" s="1" t="n">
        <v>95328.88466</v>
      </c>
      <c r="E186" s="1" t="s">
        <v>773</v>
      </c>
      <c r="F186" s="1" t="s">
        <v>62</v>
      </c>
      <c r="G186" s="1" t="n">
        <v>-0.1277583</v>
      </c>
      <c r="H186" s="1" t="n">
        <v>51.5073509</v>
      </c>
      <c r="I186" s="1" t="s">
        <v>18</v>
      </c>
      <c r="J186" s="1" t="s">
        <v>774</v>
      </c>
      <c r="K186" s="1" t="s">
        <v>45</v>
      </c>
      <c r="L186" s="1" t="s">
        <v>21</v>
      </c>
      <c r="M186" s="1" t="s">
        <v>30</v>
      </c>
      <c r="N186" s="1" t="s">
        <v>21</v>
      </c>
      <c r="O186" s="1" t="n">
        <v>728596</v>
      </c>
      <c r="P186" s="1" t="n">
        <f aca="false">IF(A186=O186, 1, 0)</f>
        <v>0</v>
      </c>
    </row>
    <row r="187" customFormat="false" ht="15" hidden="false" customHeight="false" outlineLevel="0" collapsed="false">
      <c r="A187" s="1" t="n">
        <v>787561</v>
      </c>
      <c r="B187" s="1" t="n">
        <v>1916</v>
      </c>
      <c r="C187" s="1" t="s">
        <v>775</v>
      </c>
      <c r="D187" s="5" t="n">
        <v>20000000</v>
      </c>
      <c r="E187" s="1" t="s">
        <v>776</v>
      </c>
      <c r="F187" s="1" t="s">
        <v>777</v>
      </c>
      <c r="G187" s="1" t="n">
        <v>-112.0740373</v>
      </c>
      <c r="H187" s="1" t="n">
        <v>33.4483771</v>
      </c>
      <c r="I187" s="1" t="s">
        <v>18</v>
      </c>
      <c r="J187" s="1" t="s">
        <v>778</v>
      </c>
      <c r="K187" s="1" t="s">
        <v>20</v>
      </c>
      <c r="L187" s="1" t="s">
        <v>21</v>
      </c>
      <c r="M187" s="1" t="s">
        <v>30</v>
      </c>
      <c r="N187" s="1" t="s">
        <v>53</v>
      </c>
      <c r="O187" s="1" t="s">
        <v>779</v>
      </c>
      <c r="P187" s="1" t="n">
        <f aca="false">IF(A187=O187, 1, 0)</f>
        <v>0</v>
      </c>
    </row>
    <row r="188" customFormat="false" ht="15" hidden="false" customHeight="false" outlineLevel="0" collapsed="false">
      <c r="A188" s="1" t="n">
        <v>809836</v>
      </c>
      <c r="B188" s="1" t="n">
        <v>1916</v>
      </c>
      <c r="C188" s="1" t="s">
        <v>780</v>
      </c>
      <c r="D188" s="1" t="n">
        <v>2383222.117</v>
      </c>
      <c r="E188" s="1" t="s">
        <v>781</v>
      </c>
      <c r="F188" s="1" t="s">
        <v>782</v>
      </c>
      <c r="G188" s="1" t="n">
        <v>-70.3975022</v>
      </c>
      <c r="H188" s="1" t="n">
        <v>-23.6509279</v>
      </c>
      <c r="I188" s="1" t="s">
        <v>30</v>
      </c>
      <c r="J188" s="1" t="s">
        <v>783</v>
      </c>
      <c r="K188" s="1" t="s">
        <v>448</v>
      </c>
      <c r="L188" s="1" t="s">
        <v>21</v>
      </c>
      <c r="M188" s="1" t="s">
        <v>30</v>
      </c>
      <c r="N188" s="2" t="s">
        <v>31</v>
      </c>
      <c r="O188" s="1" t="s">
        <v>784</v>
      </c>
      <c r="P188" s="1" t="n">
        <f aca="false">IF(A188=O188, 1, 0)</f>
        <v>0</v>
      </c>
    </row>
    <row r="189" customFormat="false" ht="15" hidden="false" customHeight="false" outlineLevel="0" collapsed="false">
      <c r="A189" s="1" t="n">
        <v>819678</v>
      </c>
      <c r="B189" s="1" t="n">
        <v>1916</v>
      </c>
      <c r="C189" s="1" t="s">
        <v>785</v>
      </c>
      <c r="D189" s="1" t="n">
        <v>71496.6635</v>
      </c>
      <c r="E189" s="1" t="s">
        <v>786</v>
      </c>
      <c r="F189" s="1" t="s">
        <v>167</v>
      </c>
      <c r="G189" s="1" t="n">
        <v>-81.1830974</v>
      </c>
      <c r="H189" s="1" t="n">
        <v>43.2325617</v>
      </c>
      <c r="I189" s="1" t="s">
        <v>28</v>
      </c>
      <c r="J189" s="1" t="s">
        <v>787</v>
      </c>
      <c r="K189" s="1" t="s">
        <v>57</v>
      </c>
      <c r="L189" s="1" t="s">
        <v>21</v>
      </c>
      <c r="M189" s="1" t="s">
        <v>30</v>
      </c>
      <c r="N189" s="2" t="s">
        <v>31</v>
      </c>
      <c r="O189" s="1" t="s">
        <v>788</v>
      </c>
      <c r="P189" s="1" t="n">
        <f aca="false">IF(A189=O189, 1, 0)</f>
        <v>0</v>
      </c>
    </row>
    <row r="190" customFormat="false" ht="15" hidden="false" customHeight="false" outlineLevel="0" collapsed="false">
      <c r="A190" s="1" t="n">
        <v>824045</v>
      </c>
      <c r="B190" s="1" t="n">
        <v>1916</v>
      </c>
      <c r="C190" s="1" t="s">
        <v>789</v>
      </c>
      <c r="D190" s="1" t="n">
        <v>953288.8466</v>
      </c>
      <c r="E190" s="1" t="s">
        <v>790</v>
      </c>
      <c r="F190" s="1" t="s">
        <v>167</v>
      </c>
      <c r="G190" s="1" t="n">
        <v>-81.1830974</v>
      </c>
      <c r="H190" s="1" t="n">
        <v>43.2325617</v>
      </c>
      <c r="I190" s="1" t="s">
        <v>18</v>
      </c>
      <c r="J190" s="1" t="s">
        <v>791</v>
      </c>
      <c r="K190" s="1" t="s">
        <v>57</v>
      </c>
      <c r="L190" s="1" t="s">
        <v>21</v>
      </c>
      <c r="M190" s="1" t="s">
        <v>22</v>
      </c>
      <c r="N190" s="2" t="s">
        <v>121</v>
      </c>
      <c r="O190" s="1" t="s">
        <v>792</v>
      </c>
      <c r="P190" s="1" t="n">
        <f aca="false">IF(A190=O190, 1, 0)</f>
        <v>0</v>
      </c>
    </row>
    <row r="191" customFormat="false" ht="15" hidden="false" customHeight="false" outlineLevel="0" collapsed="false">
      <c r="A191" s="1" t="n">
        <v>863645</v>
      </c>
      <c r="B191" s="1" t="n">
        <v>1917</v>
      </c>
      <c r="C191" s="1" t="s">
        <v>793</v>
      </c>
      <c r="D191" s="1" t="n">
        <v>476644.4233</v>
      </c>
      <c r="E191" s="1" t="s">
        <v>794</v>
      </c>
      <c r="F191" s="1" t="s">
        <v>795</v>
      </c>
      <c r="G191" s="1" t="n">
        <v>-97.3461849</v>
      </c>
      <c r="H191" s="1" t="n">
        <v>37.6797278</v>
      </c>
      <c r="I191" s="1" t="s">
        <v>28</v>
      </c>
      <c r="J191" s="1" t="s">
        <v>796</v>
      </c>
      <c r="K191" s="1" t="s">
        <v>20</v>
      </c>
      <c r="L191" s="1" t="s">
        <v>21</v>
      </c>
      <c r="M191" s="1" t="s">
        <v>30</v>
      </c>
      <c r="N191" s="2" t="s">
        <v>31</v>
      </c>
      <c r="O191" s="1" t="s">
        <v>797</v>
      </c>
      <c r="P191" s="1" t="n">
        <f aca="false">IF(A191=O191, 1, 0)</f>
        <v>0</v>
      </c>
    </row>
    <row r="192" customFormat="false" ht="15" hidden="false" customHeight="false" outlineLevel="0" collapsed="false">
      <c r="A192" s="1" t="n">
        <v>877335</v>
      </c>
      <c r="B192" s="1" t="n">
        <v>1917</v>
      </c>
      <c r="C192" s="1" t="s">
        <v>798</v>
      </c>
      <c r="D192" s="1" t="n">
        <v>1071939</v>
      </c>
      <c r="E192" s="1" t="s">
        <v>799</v>
      </c>
      <c r="F192" s="1" t="s">
        <v>62</v>
      </c>
      <c r="G192" s="1" t="n">
        <v>-0.1277583</v>
      </c>
      <c r="H192" s="1" t="n">
        <v>51.50735</v>
      </c>
      <c r="I192" s="1" t="s">
        <v>28</v>
      </c>
      <c r="J192" s="1" t="s">
        <v>800</v>
      </c>
      <c r="K192" s="1" t="s">
        <v>45</v>
      </c>
      <c r="L192" s="1" t="s">
        <v>21</v>
      </c>
      <c r="M192" s="1" t="s">
        <v>30</v>
      </c>
      <c r="N192" s="2" t="s">
        <v>31</v>
      </c>
      <c r="O192" s="1" t="s">
        <v>801</v>
      </c>
      <c r="P192" s="1" t="n">
        <f aca="false">IF(A192=O192, 1, 0)</f>
        <v>0</v>
      </c>
    </row>
    <row r="193" customFormat="false" ht="15" hidden="false" customHeight="false" outlineLevel="0" collapsed="false">
      <c r="A193" s="1" t="n">
        <v>886451</v>
      </c>
      <c r="B193" s="1" t="n">
        <v>1917</v>
      </c>
      <c r="C193" s="1" t="s">
        <v>802</v>
      </c>
      <c r="D193" s="1" t="n">
        <v>1429252</v>
      </c>
      <c r="E193" s="1" t="s">
        <v>803</v>
      </c>
      <c r="F193" s="1" t="s">
        <v>62</v>
      </c>
      <c r="G193" s="1" t="n">
        <v>-0.1277583</v>
      </c>
      <c r="H193" s="1" t="n">
        <v>51.50735</v>
      </c>
      <c r="I193" s="1" t="s">
        <v>63</v>
      </c>
      <c r="J193" s="1" t="s">
        <v>804</v>
      </c>
      <c r="K193" s="1" t="s">
        <v>45</v>
      </c>
      <c r="L193" s="1" t="s">
        <v>21</v>
      </c>
      <c r="M193" s="1" t="s">
        <v>30</v>
      </c>
      <c r="N193" s="1" t="s">
        <v>53</v>
      </c>
      <c r="O193" s="1" t="s">
        <v>805</v>
      </c>
      <c r="P193" s="1" t="n">
        <f aca="false">IF(A193=O193, 1, 0)</f>
        <v>0</v>
      </c>
    </row>
    <row r="194" customFormat="false" ht="15" hidden="false" customHeight="false" outlineLevel="0" collapsed="false">
      <c r="A194" s="1" t="n">
        <v>897634</v>
      </c>
      <c r="B194" s="1" t="n">
        <v>1917</v>
      </c>
      <c r="C194" s="1" t="s">
        <v>806</v>
      </c>
      <c r="D194" s="1" t="n">
        <v>238208.7</v>
      </c>
      <c r="E194" s="1" t="s">
        <v>807</v>
      </c>
      <c r="F194" s="1" t="s">
        <v>62</v>
      </c>
      <c r="G194" s="1" t="n">
        <v>-0.1277583</v>
      </c>
      <c r="H194" s="1" t="n">
        <v>51.50735</v>
      </c>
      <c r="I194" s="1" t="s">
        <v>28</v>
      </c>
      <c r="J194" s="1" t="s">
        <v>808</v>
      </c>
      <c r="K194" s="1" t="s">
        <v>45</v>
      </c>
      <c r="L194" s="1" t="s">
        <v>21</v>
      </c>
      <c r="M194" s="1" t="s">
        <v>30</v>
      </c>
      <c r="N194" s="2" t="s">
        <v>31</v>
      </c>
      <c r="O194" s="1" t="s">
        <v>809</v>
      </c>
      <c r="P194" s="1" t="n">
        <f aca="false">IF(A194=O194, 1, 0)</f>
        <v>0</v>
      </c>
    </row>
    <row r="195" customFormat="false" ht="15" hidden="false" customHeight="false" outlineLevel="0" collapsed="false">
      <c r="A195" s="1" t="n">
        <v>897712</v>
      </c>
      <c r="B195" s="1" t="n">
        <v>1917</v>
      </c>
      <c r="C195" s="1" t="s">
        <v>810</v>
      </c>
      <c r="D195" s="1" t="n">
        <v>5053221</v>
      </c>
      <c r="E195" s="1" t="s">
        <v>811</v>
      </c>
      <c r="F195" s="1" t="s">
        <v>62</v>
      </c>
      <c r="G195" s="1" t="n">
        <v>-0.1277583</v>
      </c>
      <c r="H195" s="1" t="n">
        <v>51.50735</v>
      </c>
      <c r="I195" s="1" t="s">
        <v>30</v>
      </c>
      <c r="J195" s="1" t="s">
        <v>812</v>
      </c>
      <c r="K195" s="1" t="s">
        <v>45</v>
      </c>
      <c r="L195" s="1" t="s">
        <v>21</v>
      </c>
      <c r="M195" s="1" t="s">
        <v>30</v>
      </c>
      <c r="N195" s="2" t="s">
        <v>31</v>
      </c>
      <c r="O195" s="1" t="s">
        <v>813</v>
      </c>
      <c r="P195" s="1" t="n">
        <f aca="false">IF(A195=O195, 1, 0)</f>
        <v>0</v>
      </c>
    </row>
    <row r="196" customFormat="false" ht="15" hidden="false" customHeight="false" outlineLevel="0" collapsed="false">
      <c r="A196" s="1" t="n">
        <v>903556</v>
      </c>
      <c r="B196" s="1" t="n">
        <v>1918</v>
      </c>
      <c r="C196" s="1" t="s">
        <v>814</v>
      </c>
      <c r="D196" s="1" t="n">
        <v>426869.9381</v>
      </c>
      <c r="E196" s="1" t="s">
        <v>815</v>
      </c>
      <c r="F196" s="1" t="s">
        <v>62</v>
      </c>
      <c r="G196" s="1" t="n">
        <v>-0.1277583</v>
      </c>
      <c r="H196" s="1" t="n">
        <v>51.5073509</v>
      </c>
      <c r="I196" s="1" t="s">
        <v>18</v>
      </c>
      <c r="J196" s="1" t="s">
        <v>816</v>
      </c>
      <c r="K196" s="1" t="s">
        <v>45</v>
      </c>
      <c r="L196" s="1" t="s">
        <v>21</v>
      </c>
      <c r="M196" s="1" t="s">
        <v>30</v>
      </c>
      <c r="N196" s="2" t="s">
        <v>31</v>
      </c>
      <c r="O196" s="1" t="s">
        <v>817</v>
      </c>
      <c r="P196" s="1" t="n">
        <f aca="false">IF(A196=O196, 1, 0)</f>
        <v>0</v>
      </c>
    </row>
    <row r="197" customFormat="false" ht="15" hidden="false" customHeight="false" outlineLevel="0" collapsed="false">
      <c r="A197" s="1" t="n">
        <v>904602</v>
      </c>
      <c r="B197" s="1" t="n">
        <v>1918</v>
      </c>
      <c r="C197" s="1" t="s">
        <v>818</v>
      </c>
      <c r="D197" s="1" t="n">
        <v>3573130.062</v>
      </c>
      <c r="E197" s="1" t="s">
        <v>819</v>
      </c>
      <c r="F197" s="1" t="s">
        <v>271</v>
      </c>
      <c r="G197" s="1" t="n">
        <v>-95.774913</v>
      </c>
      <c r="H197" s="1" t="n">
        <v>36.0674332</v>
      </c>
      <c r="I197" s="1" t="s">
        <v>18</v>
      </c>
      <c r="J197" s="1" t="s">
        <v>820</v>
      </c>
      <c r="K197" s="1" t="s">
        <v>20</v>
      </c>
      <c r="L197" s="1" t="s">
        <v>21</v>
      </c>
      <c r="M197" s="1" t="s">
        <v>30</v>
      </c>
      <c r="N197" s="2" t="s">
        <v>31</v>
      </c>
      <c r="O197" s="1" t="s">
        <v>821</v>
      </c>
      <c r="P197" s="1" t="n">
        <f aca="false">IF(A197=O197, 1, 0)</f>
        <v>0</v>
      </c>
    </row>
    <row r="198" customFormat="false" ht="15" hidden="false" customHeight="false" outlineLevel="0" collapsed="false">
      <c r="A198" s="1" t="n">
        <v>912568</v>
      </c>
      <c r="B198" s="1" t="n">
        <v>1918</v>
      </c>
      <c r="C198" s="1" t="s">
        <v>822</v>
      </c>
      <c r="D198" s="1" t="n">
        <v>285850.405</v>
      </c>
      <c r="E198" s="1" t="s">
        <v>823</v>
      </c>
      <c r="F198" s="1" t="s">
        <v>62</v>
      </c>
      <c r="G198" s="1" t="n">
        <v>-0.1277583</v>
      </c>
      <c r="H198" s="1" t="n">
        <v>51.5073509</v>
      </c>
      <c r="I198" s="1" t="s">
        <v>18</v>
      </c>
      <c r="J198" s="1" t="s">
        <v>824</v>
      </c>
      <c r="K198" s="1" t="s">
        <v>45</v>
      </c>
      <c r="L198" s="1" t="s">
        <v>21</v>
      </c>
      <c r="M198" s="1" t="s">
        <v>30</v>
      </c>
      <c r="N198" s="2" t="s">
        <v>21</v>
      </c>
      <c r="O198" s="1" t="n">
        <v>525604</v>
      </c>
      <c r="P198" s="1" t="n">
        <f aca="false">IF(A198=O198, 1, 0)</f>
        <v>0</v>
      </c>
    </row>
    <row r="199" customFormat="false" ht="15" hidden="false" customHeight="false" outlineLevel="0" collapsed="false">
      <c r="A199" s="1" t="n">
        <v>916387</v>
      </c>
      <c r="B199" s="1" t="n">
        <v>1918</v>
      </c>
      <c r="C199" s="1" t="s">
        <v>825</v>
      </c>
      <c r="D199" s="1" t="n">
        <v>1667460.696</v>
      </c>
      <c r="E199" s="1" t="s">
        <v>826</v>
      </c>
      <c r="F199" s="1" t="s">
        <v>827</v>
      </c>
      <c r="G199" s="1" t="n">
        <v>-5.0527125</v>
      </c>
      <c r="H199" s="1" t="n">
        <v>50.2660471</v>
      </c>
      <c r="I199" s="1" t="s">
        <v>18</v>
      </c>
      <c r="J199" s="1" t="s">
        <v>828</v>
      </c>
      <c r="K199" s="1" t="s">
        <v>45</v>
      </c>
      <c r="L199" s="1" t="s">
        <v>21</v>
      </c>
      <c r="M199" s="1" t="s">
        <v>171</v>
      </c>
      <c r="N199" s="1" t="s">
        <v>23</v>
      </c>
      <c r="O199" s="1" t="s">
        <v>829</v>
      </c>
      <c r="P199" s="1" t="n">
        <f aca="false">IF(A199=O199, 1, 0)</f>
        <v>0</v>
      </c>
    </row>
    <row r="200" customFormat="false" ht="15" hidden="false" customHeight="false" outlineLevel="0" collapsed="false">
      <c r="A200" s="1" t="n">
        <v>925933</v>
      </c>
      <c r="B200" s="1" t="n">
        <v>1918</v>
      </c>
      <c r="C200" s="1" t="s">
        <v>830</v>
      </c>
      <c r="D200" s="1" t="n">
        <v>714626.0124</v>
      </c>
      <c r="E200" s="1" t="s">
        <v>831</v>
      </c>
      <c r="F200" s="1" t="s">
        <v>125</v>
      </c>
      <c r="G200" s="1" t="n">
        <v>151.2092955</v>
      </c>
      <c r="H200" s="1" t="n">
        <v>-33.8688197</v>
      </c>
      <c r="I200" s="1" t="s">
        <v>18</v>
      </c>
      <c r="J200" s="1" t="s">
        <v>832</v>
      </c>
      <c r="K200" s="1" t="s">
        <v>27</v>
      </c>
      <c r="L200" s="1" t="s">
        <v>21</v>
      </c>
      <c r="M200" s="1" t="s">
        <v>30</v>
      </c>
      <c r="N200" s="1" t="s">
        <v>21</v>
      </c>
      <c r="O200" s="1" t="n">
        <v>955900</v>
      </c>
      <c r="P200" s="1" t="n">
        <f aca="false">IF(A200=O200, 1, 0)</f>
        <v>0</v>
      </c>
    </row>
    <row r="201" customFormat="false" ht="15" hidden="false" customHeight="false" outlineLevel="0" collapsed="false">
      <c r="A201" s="1" t="n">
        <v>927089</v>
      </c>
      <c r="B201" s="1" t="n">
        <v>1918</v>
      </c>
      <c r="C201" s="1" t="s">
        <v>833</v>
      </c>
      <c r="D201" s="1" t="n">
        <v>547879.9428</v>
      </c>
      <c r="E201" s="1" t="s">
        <v>834</v>
      </c>
      <c r="F201" s="1" t="s">
        <v>62</v>
      </c>
      <c r="G201" s="1" t="n">
        <v>-0.1277583</v>
      </c>
      <c r="H201" s="1" t="n">
        <v>51.5073509</v>
      </c>
      <c r="I201" s="1" t="s">
        <v>30</v>
      </c>
      <c r="J201" s="1" t="s">
        <v>835</v>
      </c>
      <c r="K201" s="1" t="s">
        <v>45</v>
      </c>
      <c r="L201" s="1" t="s">
        <v>21</v>
      </c>
      <c r="M201" s="1" t="s">
        <v>30</v>
      </c>
      <c r="N201" s="2" t="s">
        <v>21</v>
      </c>
      <c r="O201" s="1" t="n">
        <v>496079</v>
      </c>
      <c r="P201" s="1" t="n">
        <f aca="false">IF(A201=O201, 1, 0)</f>
        <v>0</v>
      </c>
    </row>
    <row r="202" customFormat="false" ht="15" hidden="false" customHeight="false" outlineLevel="0" collapsed="false">
      <c r="A202" s="1" t="n">
        <v>927529</v>
      </c>
      <c r="B202" s="1" t="n">
        <v>1918</v>
      </c>
      <c r="C202" s="1" t="s">
        <v>836</v>
      </c>
      <c r="D202" s="1" t="n">
        <v>1429252.025</v>
      </c>
      <c r="E202" s="1" t="s">
        <v>837</v>
      </c>
      <c r="F202" s="1" t="s">
        <v>62</v>
      </c>
      <c r="G202" s="1" t="n">
        <v>-0.1277583</v>
      </c>
      <c r="H202" s="1" t="n">
        <v>51.5073509</v>
      </c>
      <c r="I202" s="1" t="s">
        <v>30</v>
      </c>
      <c r="J202" s="1" t="s">
        <v>838</v>
      </c>
      <c r="K202" s="1" t="s">
        <v>45</v>
      </c>
      <c r="L202" s="1" t="s">
        <v>21</v>
      </c>
      <c r="M202" s="1" t="s">
        <v>30</v>
      </c>
      <c r="N202" s="2" t="s">
        <v>31</v>
      </c>
      <c r="O202" s="1" t="s">
        <v>839</v>
      </c>
      <c r="P202" s="1" t="n">
        <f aca="false">IF(A202=O202, 1, 0)</f>
        <v>0</v>
      </c>
    </row>
    <row r="203" customFormat="false" ht="15" hidden="false" customHeight="false" outlineLevel="0" collapsed="false">
      <c r="A203" s="1" t="n">
        <v>931552</v>
      </c>
      <c r="B203" s="1" t="n">
        <v>1918</v>
      </c>
      <c r="C203" s="1" t="s">
        <v>840</v>
      </c>
      <c r="D203" s="1" t="n">
        <v>476417.3416</v>
      </c>
      <c r="E203" s="1" t="s">
        <v>841</v>
      </c>
      <c r="F203" s="1" t="s">
        <v>62</v>
      </c>
      <c r="G203" s="1" t="n">
        <v>-0.1277583</v>
      </c>
      <c r="H203" s="1" t="n">
        <v>51.5073509</v>
      </c>
      <c r="I203" s="1" t="s">
        <v>30</v>
      </c>
      <c r="J203" s="1" t="s">
        <v>842</v>
      </c>
      <c r="K203" s="1" t="s">
        <v>45</v>
      </c>
      <c r="L203" s="1" t="s">
        <v>21</v>
      </c>
      <c r="M203" s="1" t="s">
        <v>30</v>
      </c>
      <c r="N203" s="2" t="s">
        <v>31</v>
      </c>
      <c r="O203" s="1" t="s">
        <v>843</v>
      </c>
      <c r="P203" s="1" t="n">
        <f aca="false">IF(A203=O203, 1, 0)</f>
        <v>0</v>
      </c>
    </row>
    <row r="204" customFormat="false" ht="15" hidden="false" customHeight="false" outlineLevel="0" collapsed="false">
      <c r="A204" s="1" t="n">
        <v>935185</v>
      </c>
      <c r="B204" s="1" t="n">
        <v>1918</v>
      </c>
      <c r="C204" s="1" t="s">
        <v>729</v>
      </c>
      <c r="D204" s="1" t="n">
        <v>1429252.025</v>
      </c>
      <c r="E204" s="1" t="s">
        <v>844</v>
      </c>
      <c r="F204" s="1" t="s">
        <v>87</v>
      </c>
      <c r="G204" s="1" t="n">
        <v>28.0473051</v>
      </c>
      <c r="H204" s="1" t="n">
        <v>-26.2041028</v>
      </c>
      <c r="I204" s="1" t="s">
        <v>30</v>
      </c>
      <c r="J204" s="1" t="s">
        <v>731</v>
      </c>
      <c r="K204" s="1" t="s">
        <v>89</v>
      </c>
      <c r="L204" s="1" t="s">
        <v>21</v>
      </c>
      <c r="M204" s="1" t="s">
        <v>30</v>
      </c>
      <c r="N204" s="2" t="s">
        <v>31</v>
      </c>
      <c r="O204" s="1" t="s">
        <v>732</v>
      </c>
      <c r="P204" s="1" t="n">
        <f aca="false">IF(A204=O204, 1, 0)</f>
        <v>0</v>
      </c>
    </row>
    <row r="205" customFormat="false" ht="15" hidden="false" customHeight="false" outlineLevel="0" collapsed="false">
      <c r="A205" s="1" t="n">
        <v>935659</v>
      </c>
      <c r="B205" s="1" t="n">
        <v>1918</v>
      </c>
      <c r="C205" s="1" t="s">
        <v>845</v>
      </c>
      <c r="D205" s="1" t="n">
        <v>952834.6832</v>
      </c>
      <c r="E205" s="1" t="s">
        <v>846</v>
      </c>
      <c r="F205" s="1" t="s">
        <v>62</v>
      </c>
      <c r="G205" s="1" t="n">
        <v>-0.1277583</v>
      </c>
      <c r="H205" s="1" t="n">
        <v>51.5073509</v>
      </c>
      <c r="I205" s="1" t="s">
        <v>30</v>
      </c>
      <c r="J205" s="1" t="s">
        <v>847</v>
      </c>
      <c r="K205" s="1" t="s">
        <v>45</v>
      </c>
      <c r="L205" s="1" t="s">
        <v>21</v>
      </c>
      <c r="M205" s="1" t="s">
        <v>30</v>
      </c>
      <c r="N205" s="2" t="s">
        <v>31</v>
      </c>
      <c r="O205" s="1" t="s">
        <v>848</v>
      </c>
      <c r="P205" s="1" t="n">
        <f aca="false">IF(A205=O205, 1, 0)</f>
        <v>0</v>
      </c>
    </row>
    <row r="206" customFormat="false" ht="15" hidden="false" customHeight="false" outlineLevel="0" collapsed="false">
      <c r="A206" s="1" t="n">
        <v>944736</v>
      </c>
      <c r="B206" s="1" t="n">
        <v>1918</v>
      </c>
      <c r="C206" s="1" t="s">
        <v>849</v>
      </c>
      <c r="D206" s="1" t="n">
        <v>1435207.242</v>
      </c>
      <c r="E206" s="1" t="s">
        <v>850</v>
      </c>
      <c r="F206" s="1" t="s">
        <v>851</v>
      </c>
      <c r="G206" s="1" t="n">
        <v>1.3126521</v>
      </c>
      <c r="H206" s="1" t="n">
        <v>51.1288631</v>
      </c>
      <c r="I206" s="1" t="s">
        <v>28</v>
      </c>
      <c r="J206" s="1" t="s">
        <v>852</v>
      </c>
      <c r="K206" s="1" t="s">
        <v>45</v>
      </c>
      <c r="L206" s="1" t="s">
        <v>21</v>
      </c>
      <c r="M206" s="1" t="s">
        <v>30</v>
      </c>
      <c r="N206" s="2" t="s">
        <v>31</v>
      </c>
      <c r="O206" s="1" t="s">
        <v>853</v>
      </c>
      <c r="P206" s="1" t="n">
        <f aca="false">IF(A206=O206, 1, 0)</f>
        <v>0</v>
      </c>
    </row>
    <row r="207" customFormat="false" ht="15" hidden="false" customHeight="false" outlineLevel="0" collapsed="false">
      <c r="A207" s="1" t="n">
        <v>945432</v>
      </c>
      <c r="B207" s="1" t="n">
        <v>1918</v>
      </c>
      <c r="C207" s="1" t="s">
        <v>854</v>
      </c>
      <c r="D207" s="1" t="n">
        <v>71462.60124</v>
      </c>
      <c r="E207" s="1" t="s">
        <v>855</v>
      </c>
      <c r="F207" s="1" t="s">
        <v>856</v>
      </c>
      <c r="G207" s="1" t="n">
        <v>-66.58973</v>
      </c>
      <c r="H207" s="1" t="n">
        <v>6.42375</v>
      </c>
      <c r="I207" s="1" t="s">
        <v>30</v>
      </c>
      <c r="J207" s="1" t="s">
        <v>857</v>
      </c>
      <c r="K207" s="1" t="s">
        <v>856</v>
      </c>
      <c r="L207" s="1" t="s">
        <v>21</v>
      </c>
      <c r="M207" s="1" t="s">
        <v>30</v>
      </c>
      <c r="N207" s="2" t="s">
        <v>31</v>
      </c>
      <c r="O207" s="1" t="s">
        <v>858</v>
      </c>
      <c r="P207" s="1" t="n">
        <f aca="false">IF(A207=O207, 1, 0)</f>
        <v>0</v>
      </c>
    </row>
    <row r="208" customFormat="false" ht="15" hidden="false" customHeight="false" outlineLevel="0" collapsed="false">
      <c r="A208" s="1" t="n">
        <v>948654</v>
      </c>
      <c r="B208" s="1" t="n">
        <v>1918</v>
      </c>
      <c r="C208" s="1" t="s">
        <v>859</v>
      </c>
      <c r="D208" s="1" t="n">
        <v>714626.0124</v>
      </c>
      <c r="E208" s="1" t="s">
        <v>860</v>
      </c>
      <c r="F208" s="1" t="s">
        <v>62</v>
      </c>
      <c r="G208" s="1" t="n">
        <v>-0.1277583</v>
      </c>
      <c r="H208" s="1" t="n">
        <v>51.5073509</v>
      </c>
      <c r="I208" s="1" t="s">
        <v>63</v>
      </c>
      <c r="J208" s="1" t="s">
        <v>308</v>
      </c>
      <c r="K208" s="1" t="s">
        <v>45</v>
      </c>
      <c r="L208" s="1" t="s">
        <v>21</v>
      </c>
      <c r="M208" s="1" t="s">
        <v>30</v>
      </c>
      <c r="N208" s="2" t="s">
        <v>31</v>
      </c>
      <c r="O208" s="1" t="s">
        <v>309</v>
      </c>
      <c r="P208" s="1" t="n">
        <f aca="false">IF(A208=O208, 1, 0)</f>
        <v>0</v>
      </c>
    </row>
    <row r="209" customFormat="false" ht="15" hidden="false" customHeight="false" outlineLevel="0" collapsed="false">
      <c r="A209" s="1" t="n">
        <v>953249</v>
      </c>
      <c r="B209" s="1" t="n">
        <v>1918</v>
      </c>
      <c r="C209" s="1" t="s">
        <v>861</v>
      </c>
      <c r="D209" s="1" t="n">
        <v>1429252.025</v>
      </c>
      <c r="E209" s="1" t="s">
        <v>862</v>
      </c>
      <c r="F209" s="1" t="s">
        <v>62</v>
      </c>
      <c r="G209" s="1" t="n">
        <v>-0.1277583</v>
      </c>
      <c r="H209" s="1" t="n">
        <v>51.5073509</v>
      </c>
      <c r="I209" s="1" t="s">
        <v>63</v>
      </c>
      <c r="J209" s="1" t="s">
        <v>863</v>
      </c>
      <c r="K209" s="1" t="s">
        <v>45</v>
      </c>
      <c r="L209" s="1" t="s">
        <v>21</v>
      </c>
      <c r="M209" s="1" t="s">
        <v>46</v>
      </c>
      <c r="N209" s="1" t="s">
        <v>47</v>
      </c>
      <c r="O209" s="1" t="s">
        <v>864</v>
      </c>
      <c r="P209" s="1" t="n">
        <f aca="false">IF(A209=O209, 1, 0)</f>
        <v>0</v>
      </c>
    </row>
    <row r="210" customFormat="false" ht="15" hidden="false" customHeight="false" outlineLevel="0" collapsed="false">
      <c r="A210" s="1" t="n">
        <v>953286</v>
      </c>
      <c r="B210" s="1" t="n">
        <v>1918</v>
      </c>
      <c r="C210" s="1" t="s">
        <v>865</v>
      </c>
      <c r="D210" s="1" t="n">
        <v>1667460.696</v>
      </c>
      <c r="E210" s="1" t="s">
        <v>866</v>
      </c>
      <c r="F210" s="1" t="s">
        <v>62</v>
      </c>
      <c r="G210" s="1" t="n">
        <v>-0.1277583</v>
      </c>
      <c r="H210" s="1" t="n">
        <v>51.5073509</v>
      </c>
      <c r="I210" s="1" t="s">
        <v>28</v>
      </c>
      <c r="J210" s="1" t="s">
        <v>867</v>
      </c>
      <c r="K210" s="1" t="s">
        <v>45</v>
      </c>
      <c r="L210" s="1" t="s">
        <v>21</v>
      </c>
      <c r="M210" s="1" t="s">
        <v>30</v>
      </c>
      <c r="N210" s="2" t="s">
        <v>31</v>
      </c>
      <c r="O210" s="1" t="s">
        <v>868</v>
      </c>
      <c r="P210" s="1" t="n">
        <f aca="false">IF(A210=O210, 1, 0)</f>
        <v>0</v>
      </c>
    </row>
    <row r="211" customFormat="false" ht="15" hidden="false" customHeight="false" outlineLevel="0" collapsed="false">
      <c r="A211" s="1" t="n">
        <v>955948</v>
      </c>
      <c r="B211" s="1" t="n">
        <v>1919</v>
      </c>
      <c r="C211" s="1" t="s">
        <v>532</v>
      </c>
      <c r="D211" s="1" t="n">
        <v>44267.37494</v>
      </c>
      <c r="E211" s="1" t="s">
        <v>869</v>
      </c>
      <c r="F211" s="1" t="s">
        <v>534</v>
      </c>
      <c r="G211" s="1" t="n">
        <v>-75.5993692</v>
      </c>
      <c r="H211" s="1" t="n">
        <v>38.3606736</v>
      </c>
      <c r="I211" s="1" t="s">
        <v>30</v>
      </c>
      <c r="J211" s="1" t="s">
        <v>870</v>
      </c>
      <c r="K211" s="1" t="s">
        <v>20</v>
      </c>
      <c r="L211" s="1" t="s">
        <v>21</v>
      </c>
      <c r="M211" s="1" t="s">
        <v>30</v>
      </c>
      <c r="N211" s="2" t="s">
        <v>31</v>
      </c>
      <c r="O211" s="1" t="s">
        <v>871</v>
      </c>
      <c r="P211" s="1" t="n">
        <f aca="false">IF(A211=O211, 1, 0)</f>
        <v>0</v>
      </c>
    </row>
    <row r="212" customFormat="false" ht="15" hidden="false" customHeight="false" outlineLevel="0" collapsed="false">
      <c r="A212" s="1" t="n">
        <v>963033</v>
      </c>
      <c r="B212" s="1" t="n">
        <v>1919</v>
      </c>
      <c r="C212" s="1" t="s">
        <v>872</v>
      </c>
      <c r="D212" s="5" t="n">
        <v>15000000</v>
      </c>
      <c r="E212" s="1" t="s">
        <v>873</v>
      </c>
      <c r="F212" s="1" t="s">
        <v>57</v>
      </c>
      <c r="G212" s="1" t="n">
        <v>-106.346771</v>
      </c>
      <c r="H212" s="1" t="n">
        <v>56.130366</v>
      </c>
      <c r="I212" s="1" t="s">
        <v>18</v>
      </c>
      <c r="J212" s="1" t="s">
        <v>874</v>
      </c>
      <c r="K212" s="1" t="s">
        <v>57</v>
      </c>
      <c r="L212" s="1" t="s">
        <v>21</v>
      </c>
      <c r="M212" s="1" t="s">
        <v>22</v>
      </c>
      <c r="N212" s="2" t="s">
        <v>121</v>
      </c>
      <c r="O212" s="1" t="s">
        <v>875</v>
      </c>
      <c r="P212" s="1" t="n">
        <f aca="false">IF(A212=O212, 1, 0)</f>
        <v>0</v>
      </c>
    </row>
    <row r="213" customFormat="false" ht="15" hidden="false" customHeight="false" outlineLevel="0" collapsed="false">
      <c r="A213" s="1" t="n">
        <v>966227</v>
      </c>
      <c r="B213" s="1" t="n">
        <v>1919</v>
      </c>
      <c r="C213" s="1" t="s">
        <v>876</v>
      </c>
      <c r="D213" s="1" t="n">
        <v>2656042.496</v>
      </c>
      <c r="E213" s="1" t="s">
        <v>877</v>
      </c>
      <c r="F213" s="1" t="s">
        <v>62</v>
      </c>
      <c r="G213" s="1" t="n">
        <v>-0.1277583</v>
      </c>
      <c r="H213" s="1" t="n">
        <v>51.5073509</v>
      </c>
      <c r="I213" s="1" t="s">
        <v>30</v>
      </c>
      <c r="J213" s="1" t="s">
        <v>878</v>
      </c>
      <c r="K213" s="1" t="s">
        <v>45</v>
      </c>
      <c r="L213" s="1" t="s">
        <v>21</v>
      </c>
      <c r="M213" s="1" t="s">
        <v>30</v>
      </c>
      <c r="N213" s="2" t="s">
        <v>31</v>
      </c>
      <c r="O213" s="1" t="s">
        <v>879</v>
      </c>
      <c r="P213" s="1" t="n">
        <f aca="false">IF(A213=O213, 1, 0)</f>
        <v>0</v>
      </c>
    </row>
    <row r="214" customFormat="false" ht="15" hidden="false" customHeight="false" outlineLevel="0" collapsed="false">
      <c r="A214" s="1" t="n">
        <v>967279</v>
      </c>
      <c r="B214" s="1" t="n">
        <v>1919</v>
      </c>
      <c r="C214" s="1" t="s">
        <v>880</v>
      </c>
      <c r="D214" s="1" t="n">
        <v>2620295.379</v>
      </c>
      <c r="E214" s="1" t="s">
        <v>881</v>
      </c>
      <c r="F214" s="1" t="s">
        <v>87</v>
      </c>
      <c r="G214" s="1" t="n">
        <v>28.0473051</v>
      </c>
      <c r="H214" s="1" t="n">
        <v>-26.2041028</v>
      </c>
      <c r="I214" s="1" t="s">
        <v>18</v>
      </c>
      <c r="J214" s="1" t="s">
        <v>882</v>
      </c>
      <c r="K214" s="1" t="s">
        <v>89</v>
      </c>
      <c r="L214" s="1" t="s">
        <v>21</v>
      </c>
      <c r="M214" s="1" t="s">
        <v>30</v>
      </c>
      <c r="N214" s="2" t="s">
        <v>31</v>
      </c>
      <c r="O214" s="1" t="s">
        <v>883</v>
      </c>
      <c r="P214" s="1" t="n">
        <f aca="false">IF(A214=O214, 1, 0)</f>
        <v>0</v>
      </c>
    </row>
    <row r="215" customFormat="false" ht="15" hidden="false" customHeight="false" outlineLevel="0" collapsed="false">
      <c r="A215" s="1" t="n">
        <v>983222</v>
      </c>
      <c r="B215" s="1" t="n">
        <v>1919</v>
      </c>
      <c r="C215" s="1" t="s">
        <v>884</v>
      </c>
      <c r="D215" s="1" t="n">
        <v>1106684.374</v>
      </c>
      <c r="E215" s="1" t="s">
        <v>885</v>
      </c>
      <c r="F215" s="1" t="s">
        <v>27</v>
      </c>
      <c r="G215" s="1" t="n">
        <v>133.775136</v>
      </c>
      <c r="H215" s="1" t="n">
        <v>-25.274398</v>
      </c>
      <c r="I215" s="1" t="s">
        <v>28</v>
      </c>
      <c r="J215" s="1" t="s">
        <v>886</v>
      </c>
      <c r="K215" s="1" t="s">
        <v>27</v>
      </c>
      <c r="L215" s="1" t="s">
        <v>21</v>
      </c>
      <c r="M215" s="1" t="s">
        <v>30</v>
      </c>
      <c r="N215" s="2" t="s">
        <v>31</v>
      </c>
      <c r="O215" s="1" t="s">
        <v>887</v>
      </c>
      <c r="P215" s="1" t="n">
        <f aca="false">IF(A215=O215, 1, 0)</f>
        <v>0</v>
      </c>
    </row>
    <row r="216" customFormat="false" ht="15" hidden="false" customHeight="false" outlineLevel="0" collapsed="false">
      <c r="A216" s="1" t="n">
        <v>983731</v>
      </c>
      <c r="B216" s="1" t="n">
        <v>1919</v>
      </c>
      <c r="C216" s="1" t="s">
        <v>888</v>
      </c>
      <c r="D216" s="1" t="n">
        <v>1048118.152</v>
      </c>
      <c r="E216" s="1" t="s">
        <v>889</v>
      </c>
      <c r="F216" s="1" t="s">
        <v>890</v>
      </c>
      <c r="G216" s="1" t="n">
        <v>-3.2031369</v>
      </c>
      <c r="H216" s="1" t="n">
        <v>55.9517499</v>
      </c>
      <c r="I216" s="1" t="s">
        <v>18</v>
      </c>
      <c r="J216" s="1" t="s">
        <v>891</v>
      </c>
      <c r="K216" s="1" t="s">
        <v>45</v>
      </c>
      <c r="L216" s="1" t="s">
        <v>21</v>
      </c>
      <c r="M216" s="1" t="s">
        <v>30</v>
      </c>
      <c r="N216" s="1" t="s">
        <v>53</v>
      </c>
      <c r="O216" s="1" t="s">
        <v>892</v>
      </c>
      <c r="P216" s="1" t="n">
        <f aca="false">IF(A216=O216, 1, 0)</f>
        <v>0</v>
      </c>
    </row>
    <row r="217" customFormat="false" ht="15" hidden="false" customHeight="false" outlineLevel="0" collapsed="false">
      <c r="A217" s="1" t="n">
        <v>985333</v>
      </c>
      <c r="B217" s="1" t="n">
        <v>1919</v>
      </c>
      <c r="C217" s="1" t="s">
        <v>893</v>
      </c>
      <c r="D217" s="1" t="n">
        <v>2788844.621</v>
      </c>
      <c r="E217" s="1" t="s">
        <v>894</v>
      </c>
      <c r="F217" s="1" t="s">
        <v>167</v>
      </c>
      <c r="G217" s="1" t="n">
        <v>-81.1830974</v>
      </c>
      <c r="H217" s="1" t="n">
        <v>43.2325617</v>
      </c>
      <c r="I217" s="1" t="s">
        <v>28</v>
      </c>
      <c r="J217" s="1" t="s">
        <v>787</v>
      </c>
      <c r="K217" s="1" t="s">
        <v>57</v>
      </c>
      <c r="L217" s="1" t="s">
        <v>21</v>
      </c>
      <c r="M217" s="1" t="s">
        <v>30</v>
      </c>
      <c r="N217" s="2" t="s">
        <v>31</v>
      </c>
      <c r="O217" s="1" t="s">
        <v>788</v>
      </c>
      <c r="P217" s="1" t="n">
        <f aca="false">IF(A217=O217, 1, 0)</f>
        <v>0</v>
      </c>
    </row>
    <row r="218" customFormat="false" ht="15" hidden="false" customHeight="false" outlineLevel="0" collapsed="false">
      <c r="A218" s="1" t="n">
        <v>989720</v>
      </c>
      <c r="B218" s="1" t="n">
        <v>1919</v>
      </c>
      <c r="C218" s="1" t="s">
        <v>895</v>
      </c>
      <c r="D218" s="1" t="n">
        <v>10838494.52</v>
      </c>
      <c r="E218" s="1" t="s">
        <v>896</v>
      </c>
      <c r="F218" s="1" t="s">
        <v>87</v>
      </c>
      <c r="G218" s="1" t="n">
        <v>28.0473051</v>
      </c>
      <c r="H218" s="1" t="n">
        <v>-26.2041028</v>
      </c>
      <c r="I218" s="1" t="s">
        <v>18</v>
      </c>
      <c r="J218" s="1" t="s">
        <v>897</v>
      </c>
      <c r="K218" s="1" t="s">
        <v>89</v>
      </c>
      <c r="L218" s="1" t="s">
        <v>21</v>
      </c>
      <c r="M218" s="1" t="s">
        <v>30</v>
      </c>
      <c r="N218" s="2" t="s">
        <v>21</v>
      </c>
      <c r="O218" s="1" t="n">
        <v>402680</v>
      </c>
      <c r="P218" s="1" t="n">
        <f aca="false">IF(A218=O218, 1, 0)</f>
        <v>0</v>
      </c>
    </row>
    <row r="219" customFormat="false" ht="15" hidden="false" customHeight="false" outlineLevel="0" collapsed="false">
      <c r="A219" s="1" t="n">
        <v>991964</v>
      </c>
      <c r="B219" s="1" t="n">
        <v>1920</v>
      </c>
      <c r="C219" s="1" t="s">
        <v>898</v>
      </c>
      <c r="D219" s="5" t="n">
        <v>1000000</v>
      </c>
      <c r="E219" s="1" t="s">
        <v>899</v>
      </c>
      <c r="F219" s="1" t="s">
        <v>900</v>
      </c>
      <c r="G219" s="1" t="n">
        <v>-149.4936733</v>
      </c>
      <c r="H219" s="1" t="n">
        <v>64.2008413</v>
      </c>
      <c r="I219" s="1" t="s">
        <v>18</v>
      </c>
      <c r="J219" s="1" t="s">
        <v>328</v>
      </c>
      <c r="K219" s="1" t="s">
        <v>20</v>
      </c>
      <c r="L219" s="1" t="s">
        <v>21</v>
      </c>
      <c r="M219" s="1" t="s">
        <v>30</v>
      </c>
      <c r="N219" s="2" t="s">
        <v>31</v>
      </c>
      <c r="O219" s="1" t="s">
        <v>329</v>
      </c>
      <c r="P219" s="1" t="n">
        <f aca="false">IF(A219=O219, 1, 0)</f>
        <v>0</v>
      </c>
    </row>
    <row r="220" customFormat="false" ht="15" hidden="false" customHeight="false" outlineLevel="0" collapsed="false">
      <c r="A220" s="1" t="n">
        <v>991964</v>
      </c>
      <c r="B220" s="1" t="n">
        <v>1920</v>
      </c>
      <c r="C220" s="1" t="s">
        <v>898</v>
      </c>
      <c r="D220" s="5" t="n">
        <v>1000000</v>
      </c>
      <c r="E220" s="1" t="s">
        <v>899</v>
      </c>
      <c r="F220" s="1" t="s">
        <v>900</v>
      </c>
      <c r="G220" s="1" t="n">
        <v>-149.4936733</v>
      </c>
      <c r="H220" s="1" t="n">
        <v>64.2008413</v>
      </c>
      <c r="I220" s="1" t="s">
        <v>18</v>
      </c>
      <c r="J220" s="2" t="s">
        <v>901</v>
      </c>
      <c r="K220" s="1" t="s">
        <v>20</v>
      </c>
      <c r="L220" s="1" t="s">
        <v>21</v>
      </c>
      <c r="M220" s="1" t="s">
        <v>30</v>
      </c>
      <c r="N220" s="2" t="s">
        <v>31</v>
      </c>
      <c r="O220" s="1" t="s">
        <v>902</v>
      </c>
      <c r="P220" s="1" t="n">
        <f aca="false">IF(A220=O220, 1, 0)</f>
        <v>0</v>
      </c>
    </row>
    <row r="221" customFormat="false" ht="15" hidden="false" customHeight="false" outlineLevel="0" collapsed="false">
      <c r="A221" s="1" t="n">
        <v>996918</v>
      </c>
      <c r="B221" s="1" t="n">
        <v>1920</v>
      </c>
      <c r="C221" s="1" t="s">
        <v>903</v>
      </c>
      <c r="D221" s="1" t="n">
        <v>2931477</v>
      </c>
      <c r="E221" s="1" t="s">
        <v>904</v>
      </c>
      <c r="F221" s="1" t="s">
        <v>409</v>
      </c>
      <c r="G221" s="1" t="n">
        <v>2.213749</v>
      </c>
      <c r="H221" s="1" t="n">
        <v>46.22764</v>
      </c>
      <c r="I221" s="1" t="s">
        <v>63</v>
      </c>
      <c r="J221" s="1" t="s">
        <v>905</v>
      </c>
      <c r="K221" s="1" t="s">
        <v>409</v>
      </c>
      <c r="L221" s="1" t="s">
        <v>21</v>
      </c>
      <c r="M221" s="1" t="s">
        <v>46</v>
      </c>
      <c r="N221" s="1" t="s">
        <v>47</v>
      </c>
      <c r="O221" s="1" t="s">
        <v>906</v>
      </c>
      <c r="P221" s="1" t="n">
        <f aca="false">IF(A221=O221, 1, 0)</f>
        <v>0</v>
      </c>
    </row>
    <row r="222" customFormat="false" ht="15" hidden="false" customHeight="false" outlineLevel="0" collapsed="false">
      <c r="A222" s="1" t="n">
        <v>997065</v>
      </c>
      <c r="B222" s="1" t="n">
        <v>1920</v>
      </c>
      <c r="C222" s="1" t="s">
        <v>907</v>
      </c>
      <c r="D222" s="5" t="n">
        <v>500000</v>
      </c>
      <c r="E222" s="1" t="s">
        <v>908</v>
      </c>
      <c r="F222" s="1" t="s">
        <v>909</v>
      </c>
      <c r="G222" s="1" t="n">
        <v>-78.87837</v>
      </c>
      <c r="H222" s="1" t="n">
        <v>42.88645</v>
      </c>
      <c r="I222" s="1" t="s">
        <v>18</v>
      </c>
      <c r="J222" s="1" t="s">
        <v>910</v>
      </c>
      <c r="K222" s="1" t="s">
        <v>20</v>
      </c>
      <c r="L222" s="1" t="s">
        <v>21</v>
      </c>
      <c r="M222" s="1" t="s">
        <v>143</v>
      </c>
      <c r="N222" s="1" t="s">
        <v>23</v>
      </c>
      <c r="O222" s="1" t="s">
        <v>911</v>
      </c>
      <c r="P222" s="1" t="n">
        <f aca="false">IF(A222=O222, 1, 0)</f>
        <v>0</v>
      </c>
    </row>
    <row r="223" customFormat="false" ht="15" hidden="false" customHeight="false" outlineLevel="0" collapsed="false">
      <c r="A223" s="1" t="n">
        <v>1001615</v>
      </c>
      <c r="B223" s="1" t="n">
        <v>1920</v>
      </c>
      <c r="C223" s="1" t="s">
        <v>912</v>
      </c>
      <c r="D223" s="1" t="n">
        <v>549651.9</v>
      </c>
      <c r="E223" s="1" t="s">
        <v>913</v>
      </c>
      <c r="F223" s="1" t="s">
        <v>464</v>
      </c>
      <c r="G223" s="1" t="n">
        <v>-3.17909</v>
      </c>
      <c r="H223" s="1" t="n">
        <v>51.48158</v>
      </c>
      <c r="I223" s="1" t="s">
        <v>18</v>
      </c>
      <c r="J223" s="1" t="s">
        <v>914</v>
      </c>
      <c r="K223" s="1" t="s">
        <v>45</v>
      </c>
      <c r="L223" s="1" t="s">
        <v>21</v>
      </c>
      <c r="M223" s="1" t="s">
        <v>46</v>
      </c>
      <c r="N223" s="1" t="s">
        <v>47</v>
      </c>
      <c r="O223" s="1" t="s">
        <v>915</v>
      </c>
      <c r="P223" s="1" t="n">
        <v>0</v>
      </c>
    </row>
    <row r="224" customFormat="false" ht="15" hidden="false" customHeight="false" outlineLevel="0" collapsed="false">
      <c r="A224" s="1" t="n">
        <v>1002327</v>
      </c>
      <c r="B224" s="1" t="n">
        <v>1920</v>
      </c>
      <c r="C224" s="1" t="s">
        <v>916</v>
      </c>
      <c r="D224" s="1" t="n">
        <v>366434.6</v>
      </c>
      <c r="E224" s="1" t="s">
        <v>917</v>
      </c>
      <c r="F224" s="1" t="s">
        <v>918</v>
      </c>
      <c r="G224" s="1" t="n">
        <v>-111.7909</v>
      </c>
      <c r="H224" s="1" t="n">
        <v>40.61895</v>
      </c>
      <c r="I224" s="1" t="s">
        <v>28</v>
      </c>
      <c r="J224" s="1" t="s">
        <v>919</v>
      </c>
      <c r="K224" s="1" t="s">
        <v>20</v>
      </c>
      <c r="L224" s="1" t="s">
        <v>21</v>
      </c>
      <c r="M224" s="1" t="s">
        <v>30</v>
      </c>
      <c r="N224" s="1" t="s">
        <v>31</v>
      </c>
      <c r="O224" s="1" t="s">
        <v>920</v>
      </c>
      <c r="P224" s="1" t="n">
        <v>0</v>
      </c>
    </row>
    <row r="225" customFormat="false" ht="15" hidden="false" customHeight="false" outlineLevel="0" collapsed="false">
      <c r="A225" s="1" t="n">
        <v>1002813</v>
      </c>
      <c r="B225" s="1" t="n">
        <v>1920</v>
      </c>
      <c r="C225" s="1" t="s">
        <v>921</v>
      </c>
      <c r="D225" s="1" t="n">
        <v>549651.9</v>
      </c>
      <c r="E225" s="1" t="s">
        <v>922</v>
      </c>
      <c r="F225" s="1" t="s">
        <v>923</v>
      </c>
      <c r="G225" s="1" t="n">
        <v>87.85498</v>
      </c>
      <c r="H225" s="1" t="n">
        <v>22.98676</v>
      </c>
      <c r="I225" s="1" t="s">
        <v>18</v>
      </c>
      <c r="J225" s="1" t="s">
        <v>924</v>
      </c>
      <c r="K225" s="1" t="s">
        <v>925</v>
      </c>
      <c r="L225" s="1" t="s">
        <v>21</v>
      </c>
      <c r="M225" s="1" t="s">
        <v>30</v>
      </c>
      <c r="N225" s="2" t="s">
        <v>31</v>
      </c>
      <c r="O225" s="1" t="s">
        <v>926</v>
      </c>
      <c r="P225" s="1" t="n">
        <f aca="false">IF(A225=O225, 1, 0)</f>
        <v>0</v>
      </c>
    </row>
    <row r="226" customFormat="false" ht="15" hidden="false" customHeight="false" outlineLevel="0" collapsed="false">
      <c r="A226" s="1" t="n">
        <v>1004587</v>
      </c>
      <c r="B226" s="1" t="n">
        <v>1920</v>
      </c>
      <c r="C226" s="1" t="s">
        <v>927</v>
      </c>
      <c r="D226" s="1" t="n">
        <v>3664346</v>
      </c>
      <c r="E226" s="1" t="s">
        <v>928</v>
      </c>
      <c r="F226" s="1" t="s">
        <v>62</v>
      </c>
      <c r="G226" s="1" t="n">
        <v>-0.1277583</v>
      </c>
      <c r="H226" s="1" t="n">
        <v>51.50735</v>
      </c>
      <c r="I226" s="1" t="s">
        <v>18</v>
      </c>
      <c r="J226" s="1" t="s">
        <v>661</v>
      </c>
      <c r="K226" s="1" t="s">
        <v>45</v>
      </c>
      <c r="L226" s="1" t="s">
        <v>21</v>
      </c>
      <c r="M226" s="1" t="s">
        <v>30</v>
      </c>
      <c r="N226" s="2" t="s">
        <v>31</v>
      </c>
      <c r="O226" s="1" t="s">
        <v>662</v>
      </c>
      <c r="P226" s="1" t="n">
        <f aca="false">IF(A226=O226, 1, 0)</f>
        <v>0</v>
      </c>
    </row>
    <row r="227" customFormat="false" ht="15" hidden="false" customHeight="false" outlineLevel="0" collapsed="false">
      <c r="A227" s="1" t="n">
        <v>1004660</v>
      </c>
      <c r="B227" s="1" t="n">
        <v>1920</v>
      </c>
      <c r="C227" s="1" t="s">
        <v>929</v>
      </c>
      <c r="D227" s="1" t="n">
        <v>4522078</v>
      </c>
      <c r="E227" s="1" t="s">
        <v>930</v>
      </c>
      <c r="F227" s="1" t="s">
        <v>43</v>
      </c>
      <c r="G227" s="1" t="n">
        <v>-4.251806</v>
      </c>
      <c r="H227" s="1" t="n">
        <v>55.86424</v>
      </c>
      <c r="I227" s="1" t="s">
        <v>18</v>
      </c>
      <c r="J227" s="1" t="s">
        <v>931</v>
      </c>
      <c r="K227" s="1" t="s">
        <v>45</v>
      </c>
      <c r="L227" s="1" t="s">
        <v>21</v>
      </c>
      <c r="M227" s="1" t="s">
        <v>30</v>
      </c>
      <c r="N227" s="2" t="s">
        <v>31</v>
      </c>
      <c r="O227" s="1" t="s">
        <v>932</v>
      </c>
      <c r="P227" s="1" t="n">
        <f aca="false">IF(A227=O227, 1, 0)</f>
        <v>0</v>
      </c>
    </row>
    <row r="228" customFormat="false" ht="15" hidden="false" customHeight="false" outlineLevel="0" collapsed="false">
      <c r="A228" s="1" t="n">
        <v>1005534</v>
      </c>
      <c r="B228" s="1" t="n">
        <v>1920</v>
      </c>
      <c r="C228" s="1" t="s">
        <v>880</v>
      </c>
      <c r="D228" s="1" t="n">
        <v>2015390</v>
      </c>
      <c r="E228" s="1" t="s">
        <v>933</v>
      </c>
      <c r="F228" s="1" t="s">
        <v>87</v>
      </c>
      <c r="G228" s="1" t="n">
        <v>28.04731</v>
      </c>
      <c r="H228" s="1" t="n">
        <v>-26.2041</v>
      </c>
      <c r="I228" s="1" t="s">
        <v>30</v>
      </c>
      <c r="J228" s="1" t="s">
        <v>934</v>
      </c>
      <c r="K228" s="1" t="s">
        <v>89</v>
      </c>
      <c r="L228" s="1" t="s">
        <v>21</v>
      </c>
      <c r="M228" s="1" t="s">
        <v>30</v>
      </c>
      <c r="N228" s="2" t="s">
        <v>31</v>
      </c>
      <c r="O228" s="1" t="s">
        <v>935</v>
      </c>
      <c r="P228" s="1" t="n">
        <f aca="false">IF(A228=O228, 1, 0)</f>
        <v>0</v>
      </c>
    </row>
    <row r="229" customFormat="false" ht="15" hidden="false" customHeight="false" outlineLevel="0" collapsed="false">
      <c r="A229" s="1" t="n">
        <v>1006017</v>
      </c>
      <c r="B229" s="1" t="n">
        <v>1920</v>
      </c>
      <c r="C229" s="1" t="s">
        <v>936</v>
      </c>
      <c r="D229" s="1" t="n">
        <v>9160865</v>
      </c>
      <c r="E229" s="1" t="s">
        <v>937</v>
      </c>
      <c r="F229" s="1" t="s">
        <v>938</v>
      </c>
      <c r="G229" s="1" t="n">
        <v>-74.00597</v>
      </c>
      <c r="H229" s="1" t="n">
        <v>40.71278</v>
      </c>
      <c r="I229" s="1" t="s">
        <v>30</v>
      </c>
      <c r="J229" s="1" t="s">
        <v>939</v>
      </c>
      <c r="K229" s="1" t="s">
        <v>46</v>
      </c>
      <c r="L229" s="1" t="s">
        <v>21</v>
      </c>
      <c r="M229" s="1" t="s">
        <v>22</v>
      </c>
      <c r="N229" s="1" t="s">
        <v>940</v>
      </c>
      <c r="O229" s="1" t="s">
        <v>941</v>
      </c>
      <c r="P229" s="1" t="n">
        <v>0</v>
      </c>
    </row>
    <row r="230" customFormat="false" ht="15" hidden="false" customHeight="false" outlineLevel="0" collapsed="false">
      <c r="A230" s="1" t="n">
        <v>1006920</v>
      </c>
      <c r="B230" s="1" t="n">
        <v>1920</v>
      </c>
      <c r="C230" s="1" t="s">
        <v>942</v>
      </c>
      <c r="D230" s="1" t="n">
        <v>5496519</v>
      </c>
      <c r="E230" s="1" t="s">
        <v>943</v>
      </c>
      <c r="F230" s="1" t="s">
        <v>561</v>
      </c>
      <c r="G230" s="1" t="n">
        <v>-73.99736</v>
      </c>
      <c r="H230" s="1" t="n">
        <v>41.92704</v>
      </c>
      <c r="I230" s="1" t="s">
        <v>30</v>
      </c>
      <c r="J230" s="1" t="s">
        <v>562</v>
      </c>
      <c r="K230" s="1" t="s">
        <v>20</v>
      </c>
      <c r="L230" s="1" t="s">
        <v>21</v>
      </c>
      <c r="M230" s="1" t="s">
        <v>30</v>
      </c>
      <c r="N230" s="2" t="s">
        <v>31</v>
      </c>
      <c r="O230" s="1" t="s">
        <v>563</v>
      </c>
      <c r="P230" s="1" t="n">
        <f aca="false">IF(A230=O230, 1, 0)</f>
        <v>0</v>
      </c>
    </row>
    <row r="231" customFormat="false" ht="15" hidden="false" customHeight="false" outlineLevel="0" collapsed="false">
      <c r="A231" s="1" t="n">
        <v>1010015</v>
      </c>
      <c r="B231" s="1" t="n">
        <v>1920</v>
      </c>
      <c r="C231" s="1" t="s">
        <v>944</v>
      </c>
      <c r="D231" s="1" t="n">
        <v>1099304</v>
      </c>
      <c r="E231" s="1" t="s">
        <v>945</v>
      </c>
      <c r="F231" s="1" t="s">
        <v>62</v>
      </c>
      <c r="G231" s="1" t="n">
        <v>-0.1277583</v>
      </c>
      <c r="H231" s="1" t="n">
        <v>51.50735</v>
      </c>
      <c r="I231" s="1" t="s">
        <v>28</v>
      </c>
      <c r="J231" s="1" t="s">
        <v>946</v>
      </c>
      <c r="K231" s="1" t="s">
        <v>45</v>
      </c>
      <c r="L231" s="1" t="s">
        <v>21</v>
      </c>
      <c r="M231" s="1" t="s">
        <v>30</v>
      </c>
      <c r="N231" s="1" t="s">
        <v>31</v>
      </c>
      <c r="O231" s="1" t="s">
        <v>947</v>
      </c>
      <c r="P231" s="1" t="n">
        <f aca="false">IF(A231=O231, 1, 0)</f>
        <v>0</v>
      </c>
    </row>
    <row r="232" customFormat="false" ht="15" hidden="false" customHeight="false" outlineLevel="0" collapsed="false">
      <c r="A232" s="1" t="n">
        <v>1010597</v>
      </c>
      <c r="B232" s="1" t="n">
        <v>1920</v>
      </c>
      <c r="C232" s="1" t="s">
        <v>948</v>
      </c>
      <c r="D232" s="1" t="n">
        <v>3664346</v>
      </c>
      <c r="E232" s="1" t="s">
        <v>949</v>
      </c>
      <c r="F232" s="1" t="s">
        <v>950</v>
      </c>
      <c r="G232" s="1" t="n">
        <v>-122.206</v>
      </c>
      <c r="H232" s="1" t="n">
        <v>47.67689</v>
      </c>
      <c r="I232" s="1" t="s">
        <v>18</v>
      </c>
      <c r="J232" s="1" t="s">
        <v>951</v>
      </c>
      <c r="K232" s="1" t="s">
        <v>20</v>
      </c>
      <c r="L232" s="1" t="s">
        <v>21</v>
      </c>
      <c r="M232" s="1" t="s">
        <v>952</v>
      </c>
      <c r="N232" s="1" t="s">
        <v>47</v>
      </c>
      <c r="O232" s="1" t="s">
        <v>953</v>
      </c>
      <c r="P232" s="1" t="n">
        <f aca="false">IF(A232=O232, 1, 0)</f>
        <v>0</v>
      </c>
    </row>
    <row r="233" customFormat="false" ht="15" hidden="false" customHeight="false" outlineLevel="0" collapsed="false">
      <c r="A233" s="1" t="n">
        <v>1013636</v>
      </c>
      <c r="B233" s="1" t="n">
        <v>1920</v>
      </c>
      <c r="C233" s="1" t="s">
        <v>954</v>
      </c>
      <c r="D233" s="1" t="n">
        <v>7328692</v>
      </c>
      <c r="E233" s="1" t="s">
        <v>955</v>
      </c>
      <c r="F233" s="1" t="s">
        <v>956</v>
      </c>
      <c r="G233" s="1" t="n">
        <v>-78.76252</v>
      </c>
      <c r="H233" s="1" t="n">
        <v>39.65287</v>
      </c>
      <c r="I233" s="1" t="s">
        <v>63</v>
      </c>
      <c r="J233" s="1" t="s">
        <v>957</v>
      </c>
      <c r="K233" s="1" t="s">
        <v>20</v>
      </c>
      <c r="L233" s="1" t="s">
        <v>21</v>
      </c>
      <c r="M233" s="1" t="s">
        <v>30</v>
      </c>
      <c r="N233" s="1" t="s">
        <v>21</v>
      </c>
      <c r="O233" s="1" t="n">
        <v>1084701</v>
      </c>
      <c r="P233" s="1" t="n">
        <f aca="false">IF(A233=O233, 1, 0)</f>
        <v>0</v>
      </c>
    </row>
    <row r="234" customFormat="false" ht="15" hidden="false" customHeight="false" outlineLevel="0" collapsed="false">
      <c r="A234" s="1" t="n">
        <v>1014002</v>
      </c>
      <c r="B234" s="1" t="n">
        <v>1920</v>
      </c>
      <c r="C234" s="1" t="s">
        <v>958</v>
      </c>
      <c r="D234" s="1" t="n">
        <v>1832173</v>
      </c>
      <c r="E234" s="1" t="s">
        <v>959</v>
      </c>
      <c r="F234" s="1" t="s">
        <v>62</v>
      </c>
      <c r="G234" s="1" t="n">
        <v>-0.1277583</v>
      </c>
      <c r="H234" s="1" t="n">
        <v>51.50735</v>
      </c>
      <c r="I234" s="1" t="s">
        <v>30</v>
      </c>
      <c r="J234" s="1" t="s">
        <v>960</v>
      </c>
      <c r="K234" s="1" t="s">
        <v>45</v>
      </c>
      <c r="L234" s="1" t="s">
        <v>21</v>
      </c>
      <c r="M234" s="1" t="s">
        <v>30</v>
      </c>
      <c r="N234" s="1" t="s">
        <v>31</v>
      </c>
      <c r="O234" s="1" t="s">
        <v>961</v>
      </c>
      <c r="P234" s="1" t="n">
        <f aca="false">IF(A234=O234, 1, 0)</f>
        <v>0</v>
      </c>
    </row>
    <row r="235" customFormat="false" ht="15" hidden="false" customHeight="false" outlineLevel="0" collapsed="false">
      <c r="A235" s="1" t="n">
        <v>1014654</v>
      </c>
      <c r="B235" s="1" t="n">
        <v>1920</v>
      </c>
      <c r="C235" s="1" t="s">
        <v>962</v>
      </c>
      <c r="D235" s="1" t="n">
        <v>4580432</v>
      </c>
      <c r="E235" s="1" t="s">
        <v>963</v>
      </c>
      <c r="F235" s="1" t="s">
        <v>287</v>
      </c>
      <c r="G235" s="1" t="n">
        <v>142.7028</v>
      </c>
      <c r="H235" s="1" t="n">
        <v>-20.91757</v>
      </c>
      <c r="I235" s="1" t="s">
        <v>30</v>
      </c>
      <c r="J235" s="1" t="s">
        <v>964</v>
      </c>
      <c r="K235" s="1" t="s">
        <v>27</v>
      </c>
      <c r="L235" s="1" t="s">
        <v>21</v>
      </c>
      <c r="M235" s="1" t="s">
        <v>30</v>
      </c>
      <c r="N235" s="1" t="s">
        <v>31</v>
      </c>
      <c r="O235" s="1" t="s">
        <v>965</v>
      </c>
      <c r="P235" s="1" t="n">
        <f aca="false">IF(A235=O235, 1, 0)</f>
        <v>0</v>
      </c>
    </row>
    <row r="236" customFormat="false" ht="15" hidden="false" customHeight="false" outlineLevel="0" collapsed="false">
      <c r="A236" s="1" t="n">
        <v>1015870</v>
      </c>
      <c r="B236" s="1" t="n">
        <v>1920</v>
      </c>
      <c r="C236" s="1" t="s">
        <v>612</v>
      </c>
      <c r="D236" s="1" t="n">
        <v>2070355</v>
      </c>
      <c r="E236" s="1" t="s">
        <v>966</v>
      </c>
      <c r="F236" s="1" t="s">
        <v>62</v>
      </c>
      <c r="G236" s="1" t="n">
        <v>-0.1277583</v>
      </c>
      <c r="H236" s="1" t="n">
        <v>51.50735</v>
      </c>
      <c r="I236" s="1" t="s">
        <v>18</v>
      </c>
      <c r="J236" s="1" t="s">
        <v>231</v>
      </c>
      <c r="K236" s="1" t="s">
        <v>45</v>
      </c>
      <c r="L236" s="1" t="s">
        <v>21</v>
      </c>
      <c r="M236" s="1" t="s">
        <v>232</v>
      </c>
      <c r="N236" s="2" t="s">
        <v>47</v>
      </c>
      <c r="O236" s="1" t="s">
        <v>233</v>
      </c>
      <c r="P236" s="1" t="n">
        <f aca="false">IF(A236=O236, 1, 0)</f>
        <v>0</v>
      </c>
    </row>
    <row r="237" customFormat="false" ht="15" hidden="false" customHeight="false" outlineLevel="0" collapsed="false">
      <c r="A237" s="1" t="n">
        <v>1018580</v>
      </c>
      <c r="B237" s="1" t="n">
        <v>1920</v>
      </c>
      <c r="C237" s="1" t="s">
        <v>967</v>
      </c>
      <c r="D237" s="1" t="n">
        <v>1099304</v>
      </c>
      <c r="E237" s="1" t="s">
        <v>968</v>
      </c>
      <c r="F237" s="1" t="s">
        <v>62</v>
      </c>
      <c r="G237" s="1" t="n">
        <v>-0.1277583</v>
      </c>
      <c r="H237" s="1" t="n">
        <v>51.50735</v>
      </c>
      <c r="I237" s="1" t="s">
        <v>18</v>
      </c>
      <c r="J237" s="1" t="s">
        <v>969</v>
      </c>
      <c r="K237" s="1" t="s">
        <v>45</v>
      </c>
      <c r="L237" s="1" t="s">
        <v>21</v>
      </c>
      <c r="M237" s="1" t="s">
        <v>143</v>
      </c>
      <c r="N237" s="1" t="s">
        <v>23</v>
      </c>
      <c r="O237" s="1" t="s">
        <v>970</v>
      </c>
      <c r="P237" s="1" t="n">
        <f aca="false">IF(A237=O237, 1, 0)</f>
        <v>0</v>
      </c>
    </row>
    <row r="238" customFormat="false" ht="15" hidden="false" customHeight="false" outlineLevel="0" collapsed="false">
      <c r="A238" s="1" t="n">
        <v>1020441</v>
      </c>
      <c r="B238" s="1" t="n">
        <v>1920</v>
      </c>
      <c r="C238" s="1" t="s">
        <v>971</v>
      </c>
      <c r="D238" s="1" t="n">
        <v>1648956</v>
      </c>
      <c r="E238" s="1" t="s">
        <v>972</v>
      </c>
      <c r="F238" s="1" t="s">
        <v>62</v>
      </c>
      <c r="G238" s="1" t="n">
        <v>-0.1277583</v>
      </c>
      <c r="H238" s="1" t="n">
        <v>51.50735</v>
      </c>
      <c r="I238" s="1" t="s">
        <v>18</v>
      </c>
      <c r="J238" s="1" t="s">
        <v>973</v>
      </c>
      <c r="K238" s="1" t="s">
        <v>45</v>
      </c>
      <c r="L238" s="1" t="s">
        <v>21</v>
      </c>
      <c r="M238" s="1" t="s">
        <v>30</v>
      </c>
      <c r="N238" s="1" t="s">
        <v>31</v>
      </c>
      <c r="O238" s="1" t="s">
        <v>974</v>
      </c>
      <c r="P238" s="1" t="n">
        <f aca="false">IF(A238=O238, 1, 0)</f>
        <v>0</v>
      </c>
    </row>
    <row r="239" customFormat="false" ht="15" hidden="false" customHeight="false" outlineLevel="0" collapsed="false">
      <c r="A239" s="1" t="n">
        <v>1020940</v>
      </c>
      <c r="B239" s="1" t="n">
        <v>1920</v>
      </c>
      <c r="C239" s="1" t="s">
        <v>975</v>
      </c>
      <c r="D239" s="1" t="n">
        <v>2015390</v>
      </c>
      <c r="E239" s="1" t="s">
        <v>976</v>
      </c>
      <c r="F239" s="1" t="s">
        <v>62</v>
      </c>
      <c r="G239" s="1" t="n">
        <v>-0.1277583</v>
      </c>
      <c r="H239" s="1" t="n">
        <v>51.50735</v>
      </c>
      <c r="I239" s="1" t="s">
        <v>18</v>
      </c>
      <c r="J239" s="1" t="s">
        <v>977</v>
      </c>
      <c r="K239" s="1" t="s">
        <v>45</v>
      </c>
      <c r="L239" s="1" t="s">
        <v>21</v>
      </c>
      <c r="M239" s="1" t="s">
        <v>30</v>
      </c>
      <c r="N239" s="2" t="s">
        <v>31</v>
      </c>
      <c r="O239" s="1" t="s">
        <v>978</v>
      </c>
      <c r="P239" s="1" t="n">
        <f aca="false">IF(A239=O239, 1, 0)</f>
        <v>0</v>
      </c>
    </row>
    <row r="240" customFormat="false" ht="15" hidden="false" customHeight="false" outlineLevel="0" collapsed="false">
      <c r="A240" s="1" t="n">
        <v>1021647</v>
      </c>
      <c r="B240" s="1" t="n">
        <v>1920</v>
      </c>
      <c r="C240" s="1" t="s">
        <v>979</v>
      </c>
      <c r="D240" s="1" t="n">
        <v>439721.5</v>
      </c>
      <c r="E240" s="1" t="s">
        <v>980</v>
      </c>
      <c r="F240" s="1" t="s">
        <v>62</v>
      </c>
      <c r="G240" s="1" t="n">
        <v>-0.1277583</v>
      </c>
      <c r="H240" s="1" t="n">
        <v>51.50735</v>
      </c>
      <c r="I240" s="1" t="s">
        <v>18</v>
      </c>
      <c r="J240" s="1" t="s">
        <v>981</v>
      </c>
      <c r="K240" s="1" t="s">
        <v>45</v>
      </c>
      <c r="L240" s="1" t="s">
        <v>21</v>
      </c>
      <c r="M240" s="1" t="s">
        <v>30</v>
      </c>
      <c r="N240" s="1" t="s">
        <v>31</v>
      </c>
      <c r="O240" s="1" t="s">
        <v>982</v>
      </c>
      <c r="P240" s="1" t="n">
        <f aca="false">IF(A240=O240, 1, 0)</f>
        <v>0</v>
      </c>
    </row>
    <row r="241" customFormat="false" ht="15" hidden="false" customHeight="false" outlineLevel="0" collapsed="false">
      <c r="A241" s="1" t="n">
        <v>1024645</v>
      </c>
      <c r="B241" s="1" t="n">
        <v>1920</v>
      </c>
      <c r="C241" s="1" t="s">
        <v>983</v>
      </c>
      <c r="D241" s="1" t="n">
        <v>6412605</v>
      </c>
      <c r="E241" s="1" t="s">
        <v>984</v>
      </c>
      <c r="F241" s="1" t="s">
        <v>62</v>
      </c>
      <c r="G241" s="1" t="n">
        <v>-0.1277583</v>
      </c>
      <c r="H241" s="1" t="n">
        <v>51.50735</v>
      </c>
      <c r="I241" s="1" t="s">
        <v>18</v>
      </c>
      <c r="J241" s="1" t="s">
        <v>985</v>
      </c>
      <c r="K241" s="1" t="s">
        <v>45</v>
      </c>
      <c r="L241" s="1" t="s">
        <v>21</v>
      </c>
      <c r="M241" s="1" t="s">
        <v>30</v>
      </c>
      <c r="N241" s="1" t="s">
        <v>31</v>
      </c>
      <c r="O241" s="1" t="s">
        <v>986</v>
      </c>
      <c r="P241" s="1" t="n">
        <f aca="false">IF(A241=O241, 1, 0)</f>
        <v>0</v>
      </c>
    </row>
    <row r="242" customFormat="false" ht="15" hidden="false" customHeight="false" outlineLevel="0" collapsed="false">
      <c r="A242" s="1" t="n">
        <v>1025014</v>
      </c>
      <c r="B242" s="1" t="n">
        <v>1920</v>
      </c>
      <c r="C242" s="1" t="s">
        <v>987</v>
      </c>
      <c r="D242" s="1" t="n">
        <v>1282521</v>
      </c>
      <c r="E242" s="1" t="s">
        <v>988</v>
      </c>
      <c r="F242" s="1" t="s">
        <v>62</v>
      </c>
      <c r="G242" s="1" t="n">
        <v>-0.1277583</v>
      </c>
      <c r="H242" s="1" t="n">
        <v>51.50735</v>
      </c>
      <c r="I242" s="1" t="s">
        <v>18</v>
      </c>
      <c r="J242" s="1" t="s">
        <v>989</v>
      </c>
      <c r="K242" s="1" t="s">
        <v>45</v>
      </c>
      <c r="L242" s="1" t="s">
        <v>21</v>
      </c>
      <c r="M242" s="1" t="s">
        <v>30</v>
      </c>
      <c r="N242" s="1" t="s">
        <v>31</v>
      </c>
      <c r="O242" s="1" t="s">
        <v>990</v>
      </c>
      <c r="P242" s="1" t="n">
        <f aca="false">IF(A242=O242, 1, 0)</f>
        <v>0</v>
      </c>
    </row>
    <row r="243" customFormat="false" ht="15" hidden="false" customHeight="false" outlineLevel="0" collapsed="false">
      <c r="A243" s="1" t="n">
        <v>1029390</v>
      </c>
      <c r="B243" s="1" t="n">
        <v>1920</v>
      </c>
      <c r="C243" s="1" t="s">
        <v>991</v>
      </c>
      <c r="D243" s="1" t="n">
        <v>1500000</v>
      </c>
      <c r="E243" s="1" t="s">
        <v>992</v>
      </c>
      <c r="F243" s="1" t="s">
        <v>512</v>
      </c>
      <c r="G243" s="1" t="n">
        <v>-94.7053</v>
      </c>
      <c r="H243" s="1" t="n">
        <v>37.39616</v>
      </c>
      <c r="I243" s="1" t="s">
        <v>18</v>
      </c>
      <c r="J243" s="1" t="s">
        <v>993</v>
      </c>
      <c r="K243" s="1" t="s">
        <v>20</v>
      </c>
      <c r="L243" s="1" t="s">
        <v>21</v>
      </c>
      <c r="M243" s="1" t="s">
        <v>143</v>
      </c>
      <c r="N243" s="1" t="s">
        <v>23</v>
      </c>
      <c r="O243" s="1" t="s">
        <v>994</v>
      </c>
      <c r="P243" s="1" t="n">
        <f aca="false">IF(A243=O243, 1, 0)</f>
        <v>0</v>
      </c>
    </row>
    <row r="244" customFormat="false" ht="15" hidden="false" customHeight="false" outlineLevel="0" collapsed="false">
      <c r="A244" s="1" t="n">
        <v>1030336</v>
      </c>
      <c r="B244" s="1" t="n">
        <v>1920</v>
      </c>
      <c r="C244" s="1" t="s">
        <v>995</v>
      </c>
      <c r="D244" s="1" t="n">
        <v>2106999</v>
      </c>
      <c r="E244" s="1" t="s">
        <v>996</v>
      </c>
      <c r="F244" s="1" t="s">
        <v>147</v>
      </c>
      <c r="G244" s="1" t="n">
        <v>-1.61778</v>
      </c>
      <c r="H244" s="1" t="n">
        <v>54.97825</v>
      </c>
      <c r="I244" s="1" t="s">
        <v>18</v>
      </c>
      <c r="J244" s="1" t="s">
        <v>997</v>
      </c>
      <c r="K244" s="1" t="s">
        <v>45</v>
      </c>
      <c r="L244" s="1" t="s">
        <v>21</v>
      </c>
      <c r="M244" s="1" t="s">
        <v>22</v>
      </c>
      <c r="N244" s="2" t="s">
        <v>121</v>
      </c>
      <c r="O244" s="1" t="s">
        <v>998</v>
      </c>
      <c r="P244" s="1" t="n">
        <f aca="false">IF(A244=O244, 1, 0)</f>
        <v>0</v>
      </c>
    </row>
    <row r="245" customFormat="false" ht="15" hidden="false" customHeight="false" outlineLevel="0" collapsed="false">
      <c r="A245" s="1" t="n">
        <v>1031028</v>
      </c>
      <c r="B245" s="1" t="n">
        <v>1920</v>
      </c>
      <c r="C245" s="1" t="s">
        <v>999</v>
      </c>
      <c r="D245" s="1" t="n">
        <v>5130084</v>
      </c>
      <c r="E245" s="1" t="s">
        <v>1000</v>
      </c>
      <c r="F245" s="1" t="s">
        <v>87</v>
      </c>
      <c r="G245" s="1" t="n">
        <v>28.04731</v>
      </c>
      <c r="H245" s="1" t="n">
        <v>-26.2041</v>
      </c>
      <c r="I245" s="1" t="s">
        <v>18</v>
      </c>
      <c r="J245" s="1" t="s">
        <v>1001</v>
      </c>
      <c r="K245" s="1" t="s">
        <v>89</v>
      </c>
      <c r="L245" s="1" t="s">
        <v>21</v>
      </c>
      <c r="M245" s="1" t="s">
        <v>30</v>
      </c>
      <c r="N245" s="2" t="s">
        <v>31</v>
      </c>
      <c r="O245" s="1" t="s">
        <v>1002</v>
      </c>
      <c r="P245" s="1" t="n">
        <f aca="false">IF(A245=O245, 1, 0)</f>
        <v>0</v>
      </c>
    </row>
    <row r="246" customFormat="false" ht="15" hidden="false" customHeight="false" outlineLevel="0" collapsed="false">
      <c r="A246" s="1" t="n">
        <v>1031896</v>
      </c>
      <c r="B246" s="1" t="n">
        <v>1920</v>
      </c>
      <c r="C246" s="1" t="s">
        <v>861</v>
      </c>
      <c r="D246" s="1" t="n">
        <v>1099304</v>
      </c>
      <c r="E246" s="1" t="s">
        <v>1003</v>
      </c>
      <c r="F246" s="1" t="s">
        <v>62</v>
      </c>
      <c r="G246" s="1" t="n">
        <v>-0.1277583</v>
      </c>
      <c r="H246" s="1" t="n">
        <v>51.50735</v>
      </c>
      <c r="I246" s="1" t="s">
        <v>63</v>
      </c>
      <c r="J246" s="1" t="s">
        <v>957</v>
      </c>
      <c r="K246" s="1" t="s">
        <v>45</v>
      </c>
      <c r="L246" s="1" t="s">
        <v>21</v>
      </c>
      <c r="M246" s="1" t="s">
        <v>30</v>
      </c>
      <c r="N246" s="1" t="s">
        <v>21</v>
      </c>
      <c r="O246" s="1" t="n">
        <v>1084701</v>
      </c>
      <c r="P246" s="1" t="n">
        <f aca="false">IF(A246=O246, 1, 0)</f>
        <v>0</v>
      </c>
    </row>
    <row r="247" customFormat="false" ht="15" hidden="false" customHeight="false" outlineLevel="0" collapsed="false">
      <c r="A247" s="1" t="n">
        <v>1033717</v>
      </c>
      <c r="B247" s="1" t="n">
        <v>1921</v>
      </c>
      <c r="C247" s="1" t="s">
        <v>1004</v>
      </c>
      <c r="D247" s="1" t="n">
        <v>12500000</v>
      </c>
      <c r="E247" s="1" t="s">
        <v>1005</v>
      </c>
      <c r="F247" s="1" t="s">
        <v>512</v>
      </c>
      <c r="G247" s="1" t="n">
        <v>-94.7053</v>
      </c>
      <c r="H247" s="1" t="n">
        <v>37.39616</v>
      </c>
      <c r="I247" s="1" t="s">
        <v>30</v>
      </c>
      <c r="J247" s="1" t="s">
        <v>1006</v>
      </c>
      <c r="K247" s="1" t="s">
        <v>20</v>
      </c>
      <c r="L247" s="1" t="s">
        <v>21</v>
      </c>
      <c r="M247" s="1" t="s">
        <v>30</v>
      </c>
      <c r="N247" s="1" t="s">
        <v>21</v>
      </c>
      <c r="O247" s="1" t="n">
        <v>992371</v>
      </c>
      <c r="P247" s="1" t="n">
        <f aca="false">IF(A247=O247, 1, 0)</f>
        <v>0</v>
      </c>
    </row>
    <row r="248" customFormat="false" ht="15" hidden="false" customHeight="false" outlineLevel="0" collapsed="false">
      <c r="A248" s="1" t="n">
        <v>1041235</v>
      </c>
      <c r="B248" s="1" t="n">
        <v>1921</v>
      </c>
      <c r="C248" s="1" t="s">
        <v>1007</v>
      </c>
      <c r="D248" s="1" t="n">
        <v>1732102</v>
      </c>
      <c r="E248" s="1" t="s">
        <v>1008</v>
      </c>
      <c r="F248" s="1" t="s">
        <v>62</v>
      </c>
      <c r="G248" s="1" t="n">
        <v>-0.1277583</v>
      </c>
      <c r="H248" s="1" t="n">
        <v>51.50735</v>
      </c>
      <c r="I248" s="1" t="s">
        <v>28</v>
      </c>
      <c r="J248" s="1" t="s">
        <v>1009</v>
      </c>
      <c r="K248" s="1" t="s">
        <v>45</v>
      </c>
      <c r="L248" s="1" t="s">
        <v>21</v>
      </c>
      <c r="M248" s="1" t="s">
        <v>30</v>
      </c>
      <c r="N248" s="1" t="s">
        <v>31</v>
      </c>
      <c r="O248" s="1" t="s">
        <v>1010</v>
      </c>
      <c r="P248" s="1" t="n">
        <v>0</v>
      </c>
    </row>
    <row r="249" customFormat="false" ht="15" hidden="false" customHeight="false" outlineLevel="0" collapsed="false">
      <c r="A249" s="1" t="n">
        <v>1043246</v>
      </c>
      <c r="B249" s="1" t="n">
        <v>1921</v>
      </c>
      <c r="C249" s="1" t="s">
        <v>1011</v>
      </c>
      <c r="D249" s="1" t="n">
        <v>577367.2</v>
      </c>
      <c r="E249" s="1" t="s">
        <v>1012</v>
      </c>
      <c r="F249" s="1" t="s">
        <v>62</v>
      </c>
      <c r="G249" s="1" t="n">
        <v>-0.1277583</v>
      </c>
      <c r="H249" s="1" t="n">
        <v>51.50735</v>
      </c>
      <c r="I249" s="1" t="s">
        <v>18</v>
      </c>
      <c r="J249" s="1" t="s">
        <v>1013</v>
      </c>
      <c r="K249" s="1" t="s">
        <v>45</v>
      </c>
      <c r="L249" s="1" t="s">
        <v>21</v>
      </c>
      <c r="M249" s="1" t="s">
        <v>30</v>
      </c>
      <c r="N249" s="1" t="s">
        <v>31</v>
      </c>
      <c r="O249" s="1" t="s">
        <v>1014</v>
      </c>
      <c r="P249" s="1" t="n">
        <v>0</v>
      </c>
    </row>
    <row r="250" customFormat="false" ht="15" hidden="false" customHeight="false" outlineLevel="0" collapsed="false">
      <c r="A250" s="1" t="n">
        <v>1046599</v>
      </c>
      <c r="B250" s="1" t="n">
        <v>1921</v>
      </c>
      <c r="C250" s="1" t="s">
        <v>1015</v>
      </c>
      <c r="D250" s="1" t="n">
        <v>250192.5</v>
      </c>
      <c r="E250" s="1" t="s">
        <v>1016</v>
      </c>
      <c r="F250" s="1" t="s">
        <v>1017</v>
      </c>
      <c r="G250" s="1" t="n">
        <v>-76.13516</v>
      </c>
      <c r="H250" s="1" t="n">
        <v>43.03987</v>
      </c>
      <c r="I250" s="1" t="s">
        <v>18</v>
      </c>
      <c r="J250" s="1" t="s">
        <v>1001</v>
      </c>
      <c r="K250" s="1" t="s">
        <v>20</v>
      </c>
      <c r="L250" s="1" t="s">
        <v>21</v>
      </c>
      <c r="M250" s="1" t="s">
        <v>30</v>
      </c>
      <c r="N250" s="1" t="s">
        <v>31</v>
      </c>
      <c r="O250" s="1" t="s">
        <v>1002</v>
      </c>
      <c r="P250" s="1" t="n">
        <v>0</v>
      </c>
    </row>
    <row r="251" customFormat="false" ht="15" hidden="false" customHeight="false" outlineLevel="0" collapsed="false">
      <c r="A251" s="1" t="n">
        <v>1052640</v>
      </c>
      <c r="B251" s="1" t="n">
        <v>1921</v>
      </c>
      <c r="C251" s="1" t="s">
        <v>1018</v>
      </c>
      <c r="D251" s="1" t="n">
        <v>3849115</v>
      </c>
      <c r="E251" s="1" t="s">
        <v>1019</v>
      </c>
      <c r="F251" s="1" t="s">
        <v>62</v>
      </c>
      <c r="G251" s="1" t="n">
        <v>-0.1277583</v>
      </c>
      <c r="H251" s="1" t="n">
        <v>51.50735</v>
      </c>
      <c r="I251" s="1" t="s">
        <v>28</v>
      </c>
      <c r="J251" s="1" t="s">
        <v>1020</v>
      </c>
      <c r="K251" s="1" t="s">
        <v>45</v>
      </c>
      <c r="L251" s="1" t="s">
        <v>21</v>
      </c>
      <c r="M251" s="1" t="s">
        <v>30</v>
      </c>
      <c r="N251" s="2" t="s">
        <v>31</v>
      </c>
      <c r="O251" s="1" t="s">
        <v>1021</v>
      </c>
      <c r="P251" s="1" t="n">
        <f aca="false">IF(A251=O251, 1, 0)</f>
        <v>0</v>
      </c>
    </row>
    <row r="252" customFormat="false" ht="15" hidden="false" customHeight="false" outlineLevel="0" collapsed="false">
      <c r="A252" s="1" t="n">
        <v>1053742</v>
      </c>
      <c r="B252" s="1" t="n">
        <v>1921</v>
      </c>
      <c r="C252" s="1" t="s">
        <v>1022</v>
      </c>
      <c r="D252" s="5" t="n">
        <v>8000000</v>
      </c>
      <c r="E252" s="1" t="s">
        <v>1023</v>
      </c>
      <c r="F252" s="1" t="s">
        <v>1024</v>
      </c>
      <c r="G252" s="1" t="n">
        <v>-111.0937</v>
      </c>
      <c r="H252" s="1" t="n">
        <v>34.04893</v>
      </c>
      <c r="I252" s="1" t="s">
        <v>28</v>
      </c>
      <c r="J252" s="1" t="s">
        <v>1025</v>
      </c>
      <c r="K252" s="1" t="s">
        <v>20</v>
      </c>
      <c r="L252" s="1" t="s">
        <v>21</v>
      </c>
      <c r="M252" s="1" t="s">
        <v>30</v>
      </c>
      <c r="N252" s="2" t="s">
        <v>31</v>
      </c>
      <c r="O252" s="1" t="s">
        <v>1026</v>
      </c>
      <c r="P252" s="1" t="n">
        <f aca="false">IF(A252=O252, 1, 0)</f>
        <v>0</v>
      </c>
    </row>
    <row r="253" customFormat="false" ht="15" hidden="false" customHeight="false" outlineLevel="0" collapsed="false">
      <c r="A253" s="1" t="n">
        <v>1054089</v>
      </c>
      <c r="B253" s="1" t="n">
        <v>1921</v>
      </c>
      <c r="C253" s="1" t="s">
        <v>725</v>
      </c>
      <c r="D253" s="1" t="n">
        <v>962278.7</v>
      </c>
      <c r="E253" s="1" t="s">
        <v>1027</v>
      </c>
      <c r="F253" s="1" t="s">
        <v>62</v>
      </c>
      <c r="G253" s="1" t="n">
        <v>-0.1277583</v>
      </c>
      <c r="H253" s="1" t="n">
        <v>51.50735</v>
      </c>
      <c r="I253" s="1" t="s">
        <v>18</v>
      </c>
      <c r="J253" s="1" t="s">
        <v>1028</v>
      </c>
      <c r="K253" s="1" t="s">
        <v>45</v>
      </c>
      <c r="L253" s="1" t="s">
        <v>21</v>
      </c>
      <c r="M253" s="1" t="s">
        <v>98</v>
      </c>
      <c r="N253" s="1" t="s">
        <v>47</v>
      </c>
      <c r="O253" s="1" t="s">
        <v>1029</v>
      </c>
      <c r="P253" s="1" t="n">
        <v>0</v>
      </c>
    </row>
    <row r="254" customFormat="false" ht="15" hidden="false" customHeight="false" outlineLevel="0" collapsed="false">
      <c r="A254" s="1" t="n">
        <v>1055006</v>
      </c>
      <c r="B254" s="1" t="n">
        <v>1921</v>
      </c>
      <c r="C254" s="1" t="s">
        <v>1030</v>
      </c>
      <c r="D254" s="1" t="n">
        <v>7698229</v>
      </c>
      <c r="E254" s="1" t="s">
        <v>1031</v>
      </c>
      <c r="F254" s="1" t="s">
        <v>189</v>
      </c>
      <c r="G254" s="1" t="n">
        <v>-102.5528</v>
      </c>
      <c r="H254" s="1" t="n">
        <v>23.6345</v>
      </c>
      <c r="I254" s="1" t="s">
        <v>30</v>
      </c>
      <c r="J254" s="1" t="s">
        <v>1032</v>
      </c>
      <c r="K254" s="1" t="s">
        <v>189</v>
      </c>
      <c r="L254" s="1" t="s">
        <v>21</v>
      </c>
      <c r="M254" s="1" t="s">
        <v>30</v>
      </c>
      <c r="N254" s="2" t="s">
        <v>31</v>
      </c>
      <c r="O254" s="1" t="s">
        <v>1033</v>
      </c>
      <c r="P254" s="1" t="n">
        <f aca="false">IF(A254=O254, 1, 0)</f>
        <v>0</v>
      </c>
    </row>
    <row r="255" customFormat="false" ht="15" hidden="false" customHeight="false" outlineLevel="0" collapsed="false">
      <c r="A255" s="1" t="n">
        <v>1056197</v>
      </c>
      <c r="B255" s="1" t="n">
        <v>1921</v>
      </c>
      <c r="C255" s="1" t="s">
        <v>1034</v>
      </c>
      <c r="D255" s="1" t="n">
        <v>173210.2</v>
      </c>
      <c r="E255" s="1" t="s">
        <v>1035</v>
      </c>
      <c r="F255" s="1" t="s">
        <v>62</v>
      </c>
      <c r="G255" s="1" t="n">
        <v>-0.1277583</v>
      </c>
      <c r="H255" s="1" t="n">
        <v>51.50735</v>
      </c>
      <c r="I255" s="1" t="s">
        <v>30</v>
      </c>
      <c r="J255" s="1" t="s">
        <v>1036</v>
      </c>
      <c r="K255" s="1" t="s">
        <v>45</v>
      </c>
      <c r="L255" s="1" t="s">
        <v>21</v>
      </c>
      <c r="M255" s="1" t="s">
        <v>30</v>
      </c>
      <c r="N255" s="2" t="s">
        <v>31</v>
      </c>
      <c r="O255" s="1" t="s">
        <v>1037</v>
      </c>
      <c r="P255" s="1" t="n">
        <f aca="false">IF(A255=O255, 1, 0)</f>
        <v>0</v>
      </c>
    </row>
    <row r="256" customFormat="false" ht="15" hidden="false" customHeight="false" outlineLevel="0" collapsed="false">
      <c r="A256" s="1" t="n">
        <v>1062593</v>
      </c>
      <c r="B256" s="1" t="n">
        <v>1921</v>
      </c>
      <c r="C256" s="1" t="s">
        <v>1038</v>
      </c>
      <c r="D256" s="1" t="n">
        <v>1250962</v>
      </c>
      <c r="E256" s="1" t="s">
        <v>1039</v>
      </c>
      <c r="F256" s="1" t="s">
        <v>62</v>
      </c>
      <c r="G256" s="1" t="n">
        <v>-0.1277583</v>
      </c>
      <c r="H256" s="1" t="n">
        <v>51.50735</v>
      </c>
      <c r="I256" s="1" t="s">
        <v>1040</v>
      </c>
      <c r="J256" s="1" t="s">
        <v>1041</v>
      </c>
      <c r="K256" s="1" t="s">
        <v>45</v>
      </c>
      <c r="L256" s="1" t="s">
        <v>21</v>
      </c>
      <c r="M256" s="1" t="s">
        <v>30</v>
      </c>
      <c r="N256" s="1" t="s">
        <v>31</v>
      </c>
      <c r="O256" s="1" t="s">
        <v>1042</v>
      </c>
      <c r="P256" s="1" t="n">
        <v>0</v>
      </c>
    </row>
    <row r="257" customFormat="false" ht="15" hidden="false" customHeight="false" outlineLevel="0" collapsed="false">
      <c r="A257" s="1" t="n">
        <v>1064567</v>
      </c>
      <c r="B257" s="1" t="n">
        <v>1921</v>
      </c>
      <c r="C257" s="1" t="s">
        <v>1043</v>
      </c>
      <c r="D257" s="1" t="n">
        <v>10585065</v>
      </c>
      <c r="E257" s="1" t="s">
        <v>1044</v>
      </c>
      <c r="F257" s="1" t="s">
        <v>87</v>
      </c>
      <c r="G257" s="1" t="n">
        <v>28.04731</v>
      </c>
      <c r="H257" s="1" t="n">
        <v>-26.2041</v>
      </c>
      <c r="I257" s="1" t="s">
        <v>28</v>
      </c>
      <c r="J257" s="1" t="s">
        <v>1045</v>
      </c>
      <c r="K257" s="1" t="s">
        <v>89</v>
      </c>
      <c r="L257" s="1" t="s">
        <v>21</v>
      </c>
      <c r="M257" s="1" t="s">
        <v>30</v>
      </c>
      <c r="N257" s="1" t="s">
        <v>31</v>
      </c>
      <c r="O257" s="1" t="s">
        <v>1046</v>
      </c>
      <c r="P257" s="1" t="n">
        <v>0</v>
      </c>
    </row>
    <row r="258" customFormat="false" ht="15" hidden="false" customHeight="false" outlineLevel="0" collapsed="false">
      <c r="A258" s="1" t="n">
        <v>1069324</v>
      </c>
      <c r="B258" s="1" t="n">
        <v>1921</v>
      </c>
      <c r="C258" s="1" t="s">
        <v>1047</v>
      </c>
      <c r="D258" s="1" t="n">
        <v>1347190</v>
      </c>
      <c r="E258" s="1" t="s">
        <v>1048</v>
      </c>
      <c r="F258" s="1" t="s">
        <v>121</v>
      </c>
      <c r="G258" s="1" t="n">
        <v>-105.7821</v>
      </c>
      <c r="H258" s="1" t="n">
        <v>39.55005</v>
      </c>
      <c r="I258" s="1" t="s">
        <v>28</v>
      </c>
      <c r="J258" s="1" t="s">
        <v>1049</v>
      </c>
      <c r="K258" s="1" t="s">
        <v>20</v>
      </c>
      <c r="L258" s="1" t="s">
        <v>21</v>
      </c>
      <c r="M258" s="1" t="s">
        <v>30</v>
      </c>
      <c r="N258" s="1" t="s">
        <v>31</v>
      </c>
      <c r="O258" s="1" t="s">
        <v>1050</v>
      </c>
      <c r="P258" s="1" t="n">
        <v>0</v>
      </c>
    </row>
    <row r="259" customFormat="false" ht="15" hidden="false" customHeight="false" outlineLevel="0" collapsed="false">
      <c r="A259" s="1" t="n">
        <v>1070763</v>
      </c>
      <c r="B259" s="1" t="n">
        <v>1921</v>
      </c>
      <c r="C259" s="1" t="s">
        <v>1051</v>
      </c>
      <c r="D259" s="1" t="n">
        <v>75000000</v>
      </c>
      <c r="E259" s="1" t="s">
        <v>1052</v>
      </c>
      <c r="F259" s="1" t="s">
        <v>1053</v>
      </c>
      <c r="G259" s="1" t="n">
        <v>-110.6974</v>
      </c>
      <c r="H259" s="1" t="n">
        <v>35.02419</v>
      </c>
      <c r="I259" s="1" t="s">
        <v>18</v>
      </c>
      <c r="J259" s="1" t="s">
        <v>1054</v>
      </c>
      <c r="K259" s="1" t="s">
        <v>20</v>
      </c>
      <c r="L259" s="1" t="s">
        <v>21</v>
      </c>
      <c r="M259" s="1" t="s">
        <v>30</v>
      </c>
      <c r="N259" s="1" t="s">
        <v>21</v>
      </c>
      <c r="O259" s="1" t="n">
        <v>287173</v>
      </c>
      <c r="P259" s="1" t="n">
        <v>0</v>
      </c>
    </row>
    <row r="260" customFormat="false" ht="15" hidden="false" customHeight="false" outlineLevel="0" collapsed="false">
      <c r="A260" s="1" t="n">
        <v>1072842</v>
      </c>
      <c r="B260" s="1" t="n">
        <v>1921</v>
      </c>
      <c r="C260" s="1" t="s">
        <v>1055</v>
      </c>
      <c r="D260" s="1" t="n">
        <v>1924557</v>
      </c>
      <c r="E260" s="1" t="s">
        <v>1056</v>
      </c>
      <c r="F260" s="1" t="s">
        <v>529</v>
      </c>
      <c r="G260" s="1" t="n">
        <v>174.886</v>
      </c>
      <c r="H260" s="1" t="n">
        <v>-40.90056</v>
      </c>
      <c r="I260" s="1" t="s">
        <v>28</v>
      </c>
      <c r="J260" s="1" t="s">
        <v>1057</v>
      </c>
      <c r="K260" s="1" t="s">
        <v>46</v>
      </c>
      <c r="L260" s="1" t="s">
        <v>21</v>
      </c>
      <c r="M260" s="1" t="s">
        <v>30</v>
      </c>
      <c r="N260" s="2" t="s">
        <v>31</v>
      </c>
      <c r="O260" s="1" t="s">
        <v>1058</v>
      </c>
      <c r="P260" s="1" t="n">
        <f aca="false">IF(A260=O260, 1, 0)</f>
        <v>0</v>
      </c>
    </row>
    <row r="261" customFormat="false" ht="15" hidden="false" customHeight="false" outlineLevel="0" collapsed="false">
      <c r="A261" s="1" t="n">
        <v>1073657</v>
      </c>
      <c r="B261" s="1" t="n">
        <v>1921</v>
      </c>
      <c r="C261" s="1" t="s">
        <v>1059</v>
      </c>
      <c r="D261" s="1" t="n">
        <v>577367.2</v>
      </c>
      <c r="E261" s="1" t="s">
        <v>1060</v>
      </c>
      <c r="F261" s="1" t="s">
        <v>1061</v>
      </c>
      <c r="G261" s="1" t="n">
        <v>-94.8779</v>
      </c>
      <c r="H261" s="1" t="n">
        <v>36.87651</v>
      </c>
      <c r="I261" s="1" t="s">
        <v>28</v>
      </c>
      <c r="J261" s="1" t="s">
        <v>1062</v>
      </c>
      <c r="K261" s="1" t="s">
        <v>20</v>
      </c>
      <c r="L261" s="1" t="s">
        <v>21</v>
      </c>
      <c r="M261" s="1" t="s">
        <v>30</v>
      </c>
      <c r="N261" s="1" t="s">
        <v>31</v>
      </c>
      <c r="O261" s="1" t="s">
        <v>1063</v>
      </c>
      <c r="P261" s="1" t="n">
        <v>0</v>
      </c>
    </row>
    <row r="262" customFormat="false" ht="15" hidden="false" customHeight="false" outlineLevel="0" collapsed="false">
      <c r="A262" s="1" t="n">
        <v>1073675</v>
      </c>
      <c r="B262" s="1" t="n">
        <v>1921</v>
      </c>
      <c r="C262" s="1" t="s">
        <v>861</v>
      </c>
      <c r="D262" s="1" t="n">
        <v>1154734</v>
      </c>
      <c r="E262" s="1" t="s">
        <v>1064</v>
      </c>
      <c r="F262" s="1" t="s">
        <v>428</v>
      </c>
      <c r="G262" s="1" t="n">
        <v>-95.92508</v>
      </c>
      <c r="H262" s="1" t="n">
        <v>36.03332</v>
      </c>
      <c r="I262" s="1" t="s">
        <v>18</v>
      </c>
      <c r="J262" s="1" t="s">
        <v>863</v>
      </c>
      <c r="K262" s="1" t="s">
        <v>20</v>
      </c>
      <c r="L262" s="1" t="s">
        <v>21</v>
      </c>
      <c r="M262" s="1" t="s">
        <v>46</v>
      </c>
      <c r="N262" s="1" t="s">
        <v>47</v>
      </c>
      <c r="O262" s="1" t="s">
        <v>864</v>
      </c>
      <c r="P262" s="1" t="n">
        <v>0</v>
      </c>
    </row>
    <row r="263" customFormat="false" ht="15" hidden="false" customHeight="false" outlineLevel="0" collapsed="false">
      <c r="A263" s="1" t="n">
        <v>1087640</v>
      </c>
      <c r="B263" s="1" t="n">
        <v>1922</v>
      </c>
      <c r="C263" s="1" t="s">
        <v>1065</v>
      </c>
      <c r="D263" s="1" t="n">
        <v>1660762</v>
      </c>
      <c r="E263" s="1" t="s">
        <v>1066</v>
      </c>
      <c r="F263" s="1" t="s">
        <v>512</v>
      </c>
      <c r="G263" s="1" t="n">
        <v>-94.7053</v>
      </c>
      <c r="H263" s="1" t="n">
        <v>37.39616</v>
      </c>
      <c r="I263" s="1" t="s">
        <v>63</v>
      </c>
      <c r="J263" s="1" t="s">
        <v>1067</v>
      </c>
      <c r="K263" s="1" t="s">
        <v>20</v>
      </c>
      <c r="L263" s="1" t="s">
        <v>21</v>
      </c>
      <c r="M263" s="1" t="s">
        <v>46</v>
      </c>
      <c r="N263" s="1" t="s">
        <v>47</v>
      </c>
      <c r="O263" s="1" t="s">
        <v>1068</v>
      </c>
      <c r="P263" s="1" t="n">
        <v>0</v>
      </c>
    </row>
    <row r="264" customFormat="false" ht="15" hidden="false" customHeight="false" outlineLevel="0" collapsed="false">
      <c r="A264" s="1" t="n">
        <v>1088312</v>
      </c>
      <c r="B264" s="1" t="n">
        <v>1922</v>
      </c>
      <c r="C264" s="1" t="s">
        <v>1069</v>
      </c>
      <c r="D264" s="1" t="n">
        <v>75.28787</v>
      </c>
      <c r="E264" s="1" t="s">
        <v>1070</v>
      </c>
      <c r="F264" s="1" t="s">
        <v>409</v>
      </c>
      <c r="G264" s="1" t="n">
        <v>2.213749</v>
      </c>
      <c r="H264" s="1" t="n">
        <v>46.22764</v>
      </c>
      <c r="I264" s="1" t="s">
        <v>18</v>
      </c>
      <c r="J264" s="1" t="s">
        <v>1071</v>
      </c>
      <c r="K264" s="1" t="s">
        <v>409</v>
      </c>
      <c r="L264" s="1" t="s">
        <v>21</v>
      </c>
      <c r="M264" s="1" t="s">
        <v>30</v>
      </c>
      <c r="N264" s="1" t="s">
        <v>21</v>
      </c>
      <c r="O264" s="1" t="n">
        <v>969387</v>
      </c>
      <c r="P264" s="1" t="n">
        <f aca="false">IF(A264=O264, 1, 0)</f>
        <v>0</v>
      </c>
    </row>
    <row r="265" customFormat="false" ht="15" hidden="false" customHeight="false" outlineLevel="0" collapsed="false">
      <c r="A265" s="1" t="n">
        <v>1089487</v>
      </c>
      <c r="B265" s="1" t="n">
        <v>1922</v>
      </c>
      <c r="C265" s="1" t="s">
        <v>1072</v>
      </c>
      <c r="D265" s="1" t="n">
        <v>7718733</v>
      </c>
      <c r="E265" s="1" t="s">
        <v>1073</v>
      </c>
      <c r="F265" s="1" t="s">
        <v>381</v>
      </c>
      <c r="G265" s="1" t="n">
        <v>-97.21348</v>
      </c>
      <c r="H265" s="1" t="n">
        <v>32.82943</v>
      </c>
      <c r="I265" s="1" t="s">
        <v>30</v>
      </c>
      <c r="J265" s="1" t="s">
        <v>1074</v>
      </c>
      <c r="K265" s="1" t="s">
        <v>20</v>
      </c>
      <c r="L265" s="1" t="s">
        <v>21</v>
      </c>
      <c r="M265" s="1" t="s">
        <v>30</v>
      </c>
      <c r="N265" s="2" t="s">
        <v>31</v>
      </c>
      <c r="O265" s="1" t="s">
        <v>1075</v>
      </c>
      <c r="P265" s="1" t="n">
        <f aca="false">IF(A265=O265, 1, 0)</f>
        <v>0</v>
      </c>
    </row>
    <row r="266" customFormat="false" ht="15" hidden="false" customHeight="false" outlineLevel="0" collapsed="false">
      <c r="A266" s="1" t="n">
        <v>1092322</v>
      </c>
      <c r="B266" s="1" t="n">
        <v>1922</v>
      </c>
      <c r="C266" s="1" t="s">
        <v>1076</v>
      </c>
      <c r="D266" s="1" t="n">
        <v>19929141</v>
      </c>
      <c r="E266" s="1" t="s">
        <v>1077</v>
      </c>
      <c r="F266" s="1" t="s">
        <v>87</v>
      </c>
      <c r="G266" s="1" t="n">
        <v>28.04731</v>
      </c>
      <c r="H266" s="1" t="n">
        <v>-26.2041</v>
      </c>
      <c r="I266" s="1" t="s">
        <v>18</v>
      </c>
      <c r="J266" s="1" t="s">
        <v>1078</v>
      </c>
      <c r="K266" s="1" t="s">
        <v>89</v>
      </c>
      <c r="L266" s="1" t="s">
        <v>21</v>
      </c>
      <c r="M266" s="1" t="s">
        <v>46</v>
      </c>
      <c r="N266" s="2" t="s">
        <v>47</v>
      </c>
      <c r="O266" s="1" t="s">
        <v>1079</v>
      </c>
      <c r="P266" s="1" t="n">
        <f aca="false">IF(A266=O266, 1, 0)</f>
        <v>0</v>
      </c>
    </row>
    <row r="267" customFormat="false" ht="15" hidden="false" customHeight="false" outlineLevel="0" collapsed="false">
      <c r="A267" s="1" t="n">
        <v>1092976</v>
      </c>
      <c r="B267" s="1" t="n">
        <v>1922</v>
      </c>
      <c r="C267" s="1" t="s">
        <v>1080</v>
      </c>
      <c r="D267" s="1" t="n">
        <v>1107174</v>
      </c>
      <c r="E267" s="1" t="s">
        <v>1081</v>
      </c>
      <c r="F267" s="1" t="s">
        <v>62</v>
      </c>
      <c r="G267" s="1" t="n">
        <v>-0.1277583</v>
      </c>
      <c r="H267" s="1" t="n">
        <v>51.50735</v>
      </c>
      <c r="I267" s="1" t="s">
        <v>28</v>
      </c>
      <c r="J267" s="1" t="s">
        <v>1082</v>
      </c>
      <c r="K267" s="1" t="s">
        <v>45</v>
      </c>
      <c r="L267" s="1" t="s">
        <v>21</v>
      </c>
      <c r="M267" s="1" t="s">
        <v>30</v>
      </c>
      <c r="N267" s="2" t="s">
        <v>31</v>
      </c>
      <c r="O267" s="1" t="s">
        <v>1083</v>
      </c>
      <c r="P267" s="1" t="n">
        <f aca="false">IF(A267=O267, 1, 0)</f>
        <v>0</v>
      </c>
    </row>
    <row r="268" customFormat="false" ht="15" hidden="false" customHeight="false" outlineLevel="0" collapsed="false">
      <c r="A268" s="1" t="n">
        <v>1094372</v>
      </c>
      <c r="B268" s="1" t="n">
        <v>1922</v>
      </c>
      <c r="C268" s="1" t="s">
        <v>1084</v>
      </c>
      <c r="D268" s="1" t="n">
        <v>4428698</v>
      </c>
      <c r="E268" s="1" t="s">
        <v>1085</v>
      </c>
      <c r="F268" s="1" t="s">
        <v>62</v>
      </c>
      <c r="G268" s="1" t="n">
        <v>-0.1277583</v>
      </c>
      <c r="H268" s="1" t="n">
        <v>51.50735</v>
      </c>
      <c r="I268" s="1" t="s">
        <v>28</v>
      </c>
      <c r="J268" s="1" t="s">
        <v>1020</v>
      </c>
      <c r="K268" s="1" t="s">
        <v>45</v>
      </c>
      <c r="L268" s="1" t="s">
        <v>21</v>
      </c>
      <c r="M268" s="1" t="s">
        <v>30</v>
      </c>
      <c r="N268" s="2" t="s">
        <v>31</v>
      </c>
      <c r="O268" s="1" t="s">
        <v>1021</v>
      </c>
      <c r="P268" s="1" t="n">
        <f aca="false">IF(A268=O268, 1, 0)</f>
        <v>0</v>
      </c>
    </row>
    <row r="269" customFormat="false" ht="15" hidden="false" customHeight="false" outlineLevel="0" collapsed="false">
      <c r="A269" s="1" t="n">
        <v>1095113</v>
      </c>
      <c r="B269" s="1" t="n">
        <v>1922</v>
      </c>
      <c r="C269" s="1" t="s">
        <v>1086</v>
      </c>
      <c r="D269" s="1" t="n">
        <v>664304.7</v>
      </c>
      <c r="E269" s="1" t="s">
        <v>1087</v>
      </c>
      <c r="F269" s="1" t="s">
        <v>673</v>
      </c>
      <c r="G269" s="1" t="n">
        <v>-3.943646</v>
      </c>
      <c r="H269" s="1" t="n">
        <v>51.62144</v>
      </c>
      <c r="I269" s="1" t="s">
        <v>18</v>
      </c>
      <c r="J269" s="1" t="s">
        <v>1088</v>
      </c>
      <c r="K269" s="1" t="s">
        <v>45</v>
      </c>
      <c r="L269" s="1" t="s">
        <v>21</v>
      </c>
      <c r="M269" s="1" t="s">
        <v>30</v>
      </c>
      <c r="N269" s="2" t="s">
        <v>31</v>
      </c>
      <c r="O269" s="1" t="s">
        <v>1089</v>
      </c>
      <c r="P269" s="1" t="n">
        <f aca="false">IF(A269=O269, 1, 0)</f>
        <v>0</v>
      </c>
    </row>
    <row r="270" customFormat="false" ht="15" hidden="false" customHeight="false" outlineLevel="0" collapsed="false">
      <c r="A270" s="1" t="n">
        <v>1095380</v>
      </c>
      <c r="B270" s="1" t="n">
        <v>1922</v>
      </c>
      <c r="C270" s="1" t="s">
        <v>1090</v>
      </c>
      <c r="D270" s="1" t="n">
        <v>1439327</v>
      </c>
      <c r="E270" s="1" t="s">
        <v>1091</v>
      </c>
      <c r="F270" s="1" t="s">
        <v>1092</v>
      </c>
      <c r="G270" s="1" t="n">
        <v>-78.89862</v>
      </c>
      <c r="H270" s="1" t="n">
        <v>35.99403</v>
      </c>
      <c r="I270" s="1" t="s">
        <v>28</v>
      </c>
      <c r="J270" s="1" t="s">
        <v>1093</v>
      </c>
      <c r="K270" s="1" t="s">
        <v>20</v>
      </c>
      <c r="L270" s="1" t="s">
        <v>21</v>
      </c>
      <c r="M270" s="1" t="s">
        <v>30</v>
      </c>
      <c r="N270" s="2" t="s">
        <v>31</v>
      </c>
      <c r="O270" s="1" t="s">
        <v>1094</v>
      </c>
      <c r="P270" s="1" t="n">
        <f aca="false">IF(A270=O270, 1, 0)</f>
        <v>0</v>
      </c>
    </row>
    <row r="271" customFormat="false" ht="15" hidden="false" customHeight="false" outlineLevel="0" collapsed="false">
      <c r="A271" s="1" t="n">
        <v>1095905</v>
      </c>
      <c r="B271" s="1" t="n">
        <v>1922</v>
      </c>
      <c r="C271" s="1" t="s">
        <v>1095</v>
      </c>
      <c r="D271" s="1" t="n">
        <v>1107174</v>
      </c>
      <c r="E271" s="1" t="s">
        <v>1096</v>
      </c>
      <c r="F271" s="1" t="s">
        <v>62</v>
      </c>
      <c r="G271" s="1" t="n">
        <v>-0.1277583</v>
      </c>
      <c r="H271" s="1" t="n">
        <v>51.50735</v>
      </c>
      <c r="I271" s="1" t="s">
        <v>18</v>
      </c>
      <c r="J271" s="1" t="s">
        <v>727</v>
      </c>
      <c r="K271" s="1" t="s">
        <v>45</v>
      </c>
      <c r="L271" s="1" t="s">
        <v>21</v>
      </c>
      <c r="M271" s="1" t="s">
        <v>46</v>
      </c>
      <c r="N271" s="1" t="s">
        <v>47</v>
      </c>
      <c r="O271" s="1" t="s">
        <v>728</v>
      </c>
      <c r="P271" s="1" t="n">
        <v>0</v>
      </c>
    </row>
    <row r="272" customFormat="false" ht="15" hidden="false" customHeight="false" outlineLevel="0" collapsed="false">
      <c r="A272" s="1" t="n">
        <v>1096170</v>
      </c>
      <c r="B272" s="1" t="n">
        <v>1922</v>
      </c>
      <c r="C272" s="1" t="s">
        <v>1097</v>
      </c>
      <c r="D272" s="1" t="n">
        <v>664304.7</v>
      </c>
      <c r="E272" s="1" t="s">
        <v>1098</v>
      </c>
      <c r="F272" s="1" t="s">
        <v>381</v>
      </c>
      <c r="G272" s="1" t="n">
        <v>-97.21348</v>
      </c>
      <c r="H272" s="1" t="n">
        <v>32.82943</v>
      </c>
      <c r="I272" s="1" t="s">
        <v>63</v>
      </c>
      <c r="J272" s="1" t="s">
        <v>178</v>
      </c>
      <c r="K272" s="1" t="s">
        <v>20</v>
      </c>
      <c r="L272" s="1" t="s">
        <v>21</v>
      </c>
      <c r="M272" s="1" t="s">
        <v>46</v>
      </c>
      <c r="N272" s="1" t="s">
        <v>47</v>
      </c>
      <c r="O272" s="1" t="s">
        <v>179</v>
      </c>
      <c r="P272" s="1" t="n">
        <v>0</v>
      </c>
    </row>
    <row r="273" customFormat="false" ht="15" hidden="false" customHeight="false" outlineLevel="0" collapsed="false">
      <c r="A273" s="1" t="n">
        <v>1101962</v>
      </c>
      <c r="B273" s="1" t="n">
        <v>1922</v>
      </c>
      <c r="C273" s="1" t="s">
        <v>1099</v>
      </c>
      <c r="D273" s="1" t="n">
        <v>1253322</v>
      </c>
      <c r="E273" s="1" t="s">
        <v>1100</v>
      </c>
      <c r="F273" s="1" t="s">
        <v>62</v>
      </c>
      <c r="G273" s="1" t="n">
        <v>-0.1277583</v>
      </c>
      <c r="H273" s="1" t="n">
        <v>51.50735</v>
      </c>
      <c r="I273" s="1" t="s">
        <v>18</v>
      </c>
      <c r="J273" s="1" t="s">
        <v>1101</v>
      </c>
      <c r="K273" s="1" t="s">
        <v>45</v>
      </c>
      <c r="L273" s="1" t="s">
        <v>21</v>
      </c>
      <c r="M273" s="1" t="s">
        <v>1102</v>
      </c>
      <c r="N273" s="1" t="s">
        <v>238</v>
      </c>
      <c r="O273" s="1" t="s">
        <v>1103</v>
      </c>
      <c r="P273" s="1" t="n">
        <v>0</v>
      </c>
    </row>
    <row r="274" customFormat="false" ht="15" hidden="false" customHeight="false" outlineLevel="0" collapsed="false">
      <c r="A274" s="1" t="n">
        <v>1102411</v>
      </c>
      <c r="B274" s="1" t="n">
        <v>1922</v>
      </c>
      <c r="C274" s="1" t="s">
        <v>1104</v>
      </c>
      <c r="D274" s="1" t="n">
        <v>1578137</v>
      </c>
      <c r="E274" s="1" t="s">
        <v>1105</v>
      </c>
      <c r="F274" s="1" t="s">
        <v>1106</v>
      </c>
      <c r="G274" s="1" t="n">
        <v>-75.70193</v>
      </c>
      <c r="H274" s="1" t="n">
        <v>45.42005</v>
      </c>
      <c r="I274" s="1" t="s">
        <v>332</v>
      </c>
      <c r="J274" s="1" t="s">
        <v>1107</v>
      </c>
      <c r="K274" s="1" t="s">
        <v>57</v>
      </c>
      <c r="L274" s="1" t="s">
        <v>21</v>
      </c>
      <c r="M274" s="1" t="s">
        <v>30</v>
      </c>
      <c r="N274" s="2" t="s">
        <v>31</v>
      </c>
      <c r="O274" s="1" t="s">
        <v>1108</v>
      </c>
      <c r="P274" s="1" t="n">
        <f aca="false">IF(A274=O274, 1, 0)</f>
        <v>0</v>
      </c>
    </row>
    <row r="275" customFormat="false" ht="15" hidden="false" customHeight="false" outlineLevel="0" collapsed="false">
      <c r="A275" s="1" t="n">
        <v>1107922</v>
      </c>
      <c r="B275" s="1" t="n">
        <v>1922</v>
      </c>
      <c r="C275" s="1" t="s">
        <v>1109</v>
      </c>
      <c r="D275" s="1" t="n">
        <v>1000000</v>
      </c>
      <c r="E275" s="1" t="s">
        <v>1110</v>
      </c>
      <c r="F275" s="1" t="s">
        <v>193</v>
      </c>
      <c r="G275" s="1" t="n">
        <v>-94.61742</v>
      </c>
      <c r="H275" s="1" t="n">
        <v>37.07903</v>
      </c>
      <c r="I275" s="1" t="s">
        <v>18</v>
      </c>
      <c r="J275" s="1" t="s">
        <v>1111</v>
      </c>
      <c r="K275" s="1" t="s">
        <v>20</v>
      </c>
      <c r="L275" s="1" t="s">
        <v>21</v>
      </c>
      <c r="M275" s="1" t="s">
        <v>22</v>
      </c>
      <c r="N275" s="1" t="s">
        <v>121</v>
      </c>
      <c r="O275" s="1" t="s">
        <v>1112</v>
      </c>
      <c r="P275" s="1" t="n">
        <v>0</v>
      </c>
    </row>
    <row r="276" customFormat="false" ht="15" hidden="false" customHeight="false" outlineLevel="0" collapsed="false">
      <c r="A276" s="1" t="n">
        <v>1112212</v>
      </c>
      <c r="B276" s="1" t="n">
        <v>1922</v>
      </c>
      <c r="C276" s="1" t="s">
        <v>1113</v>
      </c>
      <c r="D276" s="1" t="n">
        <v>885739.6</v>
      </c>
      <c r="E276" s="1" t="s">
        <v>1114</v>
      </c>
      <c r="F276" s="1" t="s">
        <v>1115</v>
      </c>
      <c r="G276" s="1" t="n">
        <v>-0.0911072</v>
      </c>
      <c r="H276" s="1" t="n">
        <v>51.51603</v>
      </c>
      <c r="I276" s="1" t="s">
        <v>18</v>
      </c>
      <c r="J276" s="1" t="s">
        <v>1116</v>
      </c>
      <c r="K276" s="1" t="s">
        <v>45</v>
      </c>
      <c r="L276" s="1" t="s">
        <v>21</v>
      </c>
      <c r="M276" s="1" t="s">
        <v>30</v>
      </c>
      <c r="N276" s="2" t="s">
        <v>31</v>
      </c>
      <c r="O276" s="1" t="s">
        <v>1117</v>
      </c>
      <c r="P276" s="1" t="n">
        <f aca="false">IF(A276=O276, 1, 0)</f>
        <v>0</v>
      </c>
    </row>
    <row r="277" customFormat="false" ht="15" hidden="false" customHeight="false" outlineLevel="0" collapsed="false">
      <c r="A277" s="1" t="n">
        <v>1116943</v>
      </c>
      <c r="B277" s="1" t="n">
        <v>1923</v>
      </c>
      <c r="C277" s="1" t="s">
        <v>325</v>
      </c>
      <c r="D277" s="5" t="n">
        <v>5000000</v>
      </c>
      <c r="E277" s="1" t="s">
        <v>1118</v>
      </c>
      <c r="F277" s="1" t="s">
        <v>900</v>
      </c>
      <c r="G277" s="1" t="n">
        <v>-149.4937</v>
      </c>
      <c r="H277" s="1" t="n">
        <v>64.20084</v>
      </c>
      <c r="I277" s="1" t="s">
        <v>18</v>
      </c>
      <c r="J277" s="1" t="s">
        <v>328</v>
      </c>
      <c r="K277" s="1" t="s">
        <v>20</v>
      </c>
      <c r="L277" s="1" t="s">
        <v>21</v>
      </c>
      <c r="M277" s="1" t="s">
        <v>30</v>
      </c>
      <c r="N277" s="2" t="s">
        <v>31</v>
      </c>
      <c r="O277" s="1" t="s">
        <v>329</v>
      </c>
      <c r="P277" s="1" t="n">
        <f aca="false">IF(A277=O277, 1, 0)</f>
        <v>0</v>
      </c>
    </row>
    <row r="278" customFormat="false" ht="15" hidden="false" customHeight="false" outlineLevel="0" collapsed="false">
      <c r="A278" s="1" t="n">
        <v>1116982</v>
      </c>
      <c r="B278" s="1" t="n">
        <v>1923</v>
      </c>
      <c r="C278" s="1" t="s">
        <v>1119</v>
      </c>
      <c r="D278" s="5" t="n">
        <v>1000000</v>
      </c>
      <c r="E278" s="1" t="s">
        <v>1120</v>
      </c>
      <c r="F278" s="1" t="s">
        <v>1121</v>
      </c>
      <c r="G278" s="1" t="n">
        <v>-73.96084</v>
      </c>
      <c r="H278" s="1" t="n">
        <v>40.76148</v>
      </c>
      <c r="I278" s="1" t="s">
        <v>332</v>
      </c>
      <c r="J278" s="1" t="s">
        <v>1122</v>
      </c>
      <c r="K278" s="1" t="s">
        <v>20</v>
      </c>
      <c r="L278" s="1" t="s">
        <v>21</v>
      </c>
      <c r="M278" s="1" t="s">
        <v>30</v>
      </c>
      <c r="N278" s="2" t="s">
        <v>31</v>
      </c>
      <c r="O278" s="1" t="s">
        <v>1123</v>
      </c>
      <c r="P278" s="1" t="n">
        <f aca="false">IF(A278=O278, 1, 0)</f>
        <v>0</v>
      </c>
    </row>
    <row r="279" customFormat="false" ht="15" hidden="false" customHeight="false" outlineLevel="0" collapsed="false">
      <c r="A279" s="1" t="n">
        <v>1124467</v>
      </c>
      <c r="B279" s="1" t="n">
        <v>1923</v>
      </c>
      <c r="C279" s="1" t="s">
        <v>1007</v>
      </c>
      <c r="D279" s="1" t="n">
        <v>2058554</v>
      </c>
      <c r="E279" s="1" t="s">
        <v>1124</v>
      </c>
      <c r="F279" s="1" t="s">
        <v>62</v>
      </c>
      <c r="G279" s="1" t="n">
        <v>-0.1277583</v>
      </c>
      <c r="H279" s="1" t="n">
        <v>51.50735</v>
      </c>
      <c r="I279" s="1" t="s">
        <v>28</v>
      </c>
      <c r="J279" s="1" t="s">
        <v>1125</v>
      </c>
      <c r="K279" s="1" t="s">
        <v>45</v>
      </c>
      <c r="L279" s="1" t="s">
        <v>21</v>
      </c>
      <c r="M279" s="1" t="s">
        <v>30</v>
      </c>
      <c r="N279" s="2" t="s">
        <v>31</v>
      </c>
      <c r="O279" s="1" t="s">
        <v>1126</v>
      </c>
      <c r="P279" s="1" t="n">
        <f aca="false">IF(A279=O279, 1, 0)</f>
        <v>0</v>
      </c>
    </row>
    <row r="280" customFormat="false" ht="15" hidden="false" customHeight="false" outlineLevel="0" collapsed="false">
      <c r="A280" s="1" t="n">
        <v>1128291</v>
      </c>
      <c r="B280" s="1" t="n">
        <v>1923</v>
      </c>
      <c r="C280" s="1" t="s">
        <v>1127</v>
      </c>
      <c r="D280" s="1" t="n">
        <v>228728.3</v>
      </c>
      <c r="E280" s="1" t="s">
        <v>1128</v>
      </c>
      <c r="F280" s="1" t="s">
        <v>1129</v>
      </c>
      <c r="G280" s="1" t="n">
        <v>8.672434</v>
      </c>
      <c r="H280" s="1" t="n">
        <v>49.39875</v>
      </c>
      <c r="I280" s="1" t="s">
        <v>28</v>
      </c>
      <c r="J280" s="1" t="s">
        <v>1130</v>
      </c>
      <c r="K280" s="1" t="s">
        <v>1131</v>
      </c>
      <c r="L280" s="1" t="s">
        <v>21</v>
      </c>
      <c r="M280" s="1" t="s">
        <v>30</v>
      </c>
      <c r="N280" s="2" t="s">
        <v>31</v>
      </c>
      <c r="O280" s="1" t="s">
        <v>1132</v>
      </c>
      <c r="P280" s="1" t="n">
        <f aca="false">IF(A280=O280, 1, 0)</f>
        <v>0</v>
      </c>
    </row>
    <row r="281" customFormat="false" ht="15" hidden="false" customHeight="false" outlineLevel="0" collapsed="false">
      <c r="A281" s="1" t="n">
        <v>1129273</v>
      </c>
      <c r="B281" s="1" t="n">
        <v>1923</v>
      </c>
      <c r="C281" s="1" t="s">
        <v>1133</v>
      </c>
      <c r="D281" s="1" t="n">
        <v>1715462</v>
      </c>
      <c r="E281" s="1" t="s">
        <v>1134</v>
      </c>
      <c r="F281" s="1" t="s">
        <v>1135</v>
      </c>
      <c r="G281" s="1" t="n">
        <v>-89.40123</v>
      </c>
      <c r="H281" s="1" t="n">
        <v>43.07305</v>
      </c>
      <c r="I281" s="1" t="s">
        <v>18</v>
      </c>
      <c r="J281" s="1" t="s">
        <v>292</v>
      </c>
      <c r="K281" s="1" t="s">
        <v>20</v>
      </c>
      <c r="L281" s="1" t="s">
        <v>21</v>
      </c>
      <c r="M281" s="1" t="s">
        <v>293</v>
      </c>
      <c r="N281" s="1" t="s">
        <v>23</v>
      </c>
      <c r="O281" s="1" t="s">
        <v>294</v>
      </c>
      <c r="P281" s="1" t="n">
        <f aca="false">IF(A281=O281, 1, 0)</f>
        <v>0</v>
      </c>
    </row>
    <row r="282" customFormat="false" ht="15" hidden="false" customHeight="false" outlineLevel="0" collapsed="false">
      <c r="A282" s="1" t="n">
        <v>1131235</v>
      </c>
      <c r="B282" s="1" t="n">
        <v>1923</v>
      </c>
      <c r="C282" s="1" t="s">
        <v>1136</v>
      </c>
      <c r="D282" s="1" t="n">
        <v>5763952</v>
      </c>
      <c r="E282" s="1" t="s">
        <v>1137</v>
      </c>
      <c r="F282" s="1" t="s">
        <v>62</v>
      </c>
      <c r="G282" s="1" t="n">
        <v>-0.1277583</v>
      </c>
      <c r="H282" s="1" t="n">
        <v>51.50735</v>
      </c>
      <c r="I282" s="1" t="s">
        <v>28</v>
      </c>
      <c r="J282" s="1" t="s">
        <v>1138</v>
      </c>
      <c r="K282" s="1" t="s">
        <v>45</v>
      </c>
      <c r="L282" s="1" t="s">
        <v>21</v>
      </c>
      <c r="M282" s="1" t="s">
        <v>30</v>
      </c>
      <c r="N282" s="2" t="s">
        <v>31</v>
      </c>
      <c r="O282" s="1" t="s">
        <v>1139</v>
      </c>
      <c r="P282" s="1" t="n">
        <f aca="false">IF(A282=O282, 1, 0)</f>
        <v>0</v>
      </c>
    </row>
    <row r="283" customFormat="false" ht="15" hidden="false" customHeight="false" outlineLevel="0" collapsed="false">
      <c r="A283" s="1" t="n">
        <v>1133222</v>
      </c>
      <c r="B283" s="1" t="n">
        <v>1923</v>
      </c>
      <c r="C283" s="1" t="s">
        <v>1140</v>
      </c>
      <c r="D283" s="5" t="n">
        <v>30000000</v>
      </c>
      <c r="E283" s="1" t="s">
        <v>1141</v>
      </c>
      <c r="F283" s="1" t="s">
        <v>1024</v>
      </c>
      <c r="G283" s="1" t="n">
        <v>-111.0937</v>
      </c>
      <c r="H283" s="1" t="n">
        <v>34.04893</v>
      </c>
      <c r="I283" s="1" t="s">
        <v>18</v>
      </c>
      <c r="J283" s="1" t="s">
        <v>1142</v>
      </c>
      <c r="K283" s="1" t="s">
        <v>20</v>
      </c>
      <c r="L283" s="1" t="s">
        <v>21</v>
      </c>
      <c r="M283" s="1" t="s">
        <v>46</v>
      </c>
      <c r="N283" s="2" t="s">
        <v>47</v>
      </c>
      <c r="O283" s="1" t="s">
        <v>1143</v>
      </c>
      <c r="P283" s="1" t="n">
        <f aca="false">IF(A283=O283, 1, 0)</f>
        <v>0</v>
      </c>
    </row>
    <row r="284" customFormat="false" ht="15" hidden="false" customHeight="false" outlineLevel="0" collapsed="false">
      <c r="A284" s="1" t="n">
        <v>1133491</v>
      </c>
      <c r="B284" s="1" t="n">
        <v>1923</v>
      </c>
      <c r="C284" s="1" t="s">
        <v>1144</v>
      </c>
      <c r="D284" s="1" t="n">
        <v>9149131</v>
      </c>
      <c r="E284" s="1" t="s">
        <v>1145</v>
      </c>
      <c r="F284" s="1" t="s">
        <v>1146</v>
      </c>
      <c r="G284" s="1" t="n">
        <v>-51.92528</v>
      </c>
      <c r="H284" s="1" t="n">
        <v>-14.235</v>
      </c>
      <c r="I284" s="1" t="s">
        <v>18</v>
      </c>
      <c r="J284" s="1" t="s">
        <v>1071</v>
      </c>
      <c r="K284" s="1" t="s">
        <v>1146</v>
      </c>
      <c r="L284" s="1" t="s">
        <v>21</v>
      </c>
      <c r="M284" s="1" t="s">
        <v>30</v>
      </c>
      <c r="N284" s="1" t="s">
        <v>21</v>
      </c>
      <c r="O284" s="1" t="n">
        <v>969387</v>
      </c>
      <c r="P284" s="1" t="n">
        <f aca="false">IF(A284=O284, 1, 0)</f>
        <v>0</v>
      </c>
    </row>
    <row r="285" customFormat="false" ht="15" hidden="false" customHeight="false" outlineLevel="0" collapsed="false">
      <c r="A285" s="1" t="n">
        <v>1136941</v>
      </c>
      <c r="B285" s="1" t="n">
        <v>1923</v>
      </c>
      <c r="C285" s="1" t="s">
        <v>1147</v>
      </c>
      <c r="D285" s="1" t="n">
        <v>2561757</v>
      </c>
      <c r="E285" s="1" t="s">
        <v>1148</v>
      </c>
      <c r="F285" s="1" t="s">
        <v>167</v>
      </c>
      <c r="G285" s="1" t="n">
        <v>-81.1831</v>
      </c>
      <c r="H285" s="1" t="n">
        <v>43.23256</v>
      </c>
      <c r="I285" s="1" t="s">
        <v>28</v>
      </c>
      <c r="J285" s="1" t="s">
        <v>1149</v>
      </c>
      <c r="K285" s="1" t="s">
        <v>57</v>
      </c>
      <c r="L285" s="1" t="s">
        <v>21</v>
      </c>
      <c r="M285" s="1" t="s">
        <v>22</v>
      </c>
      <c r="N285" s="2" t="s">
        <v>121</v>
      </c>
      <c r="O285" s="1" t="s">
        <v>1150</v>
      </c>
      <c r="P285" s="1" t="n">
        <f aca="false">IF(A285=O285, 1, 0)</f>
        <v>0</v>
      </c>
    </row>
    <row r="286" customFormat="false" ht="15" hidden="false" customHeight="false" outlineLevel="0" collapsed="false">
      <c r="A286" s="1" t="n">
        <v>1141368</v>
      </c>
      <c r="B286" s="1" t="n">
        <v>1923</v>
      </c>
      <c r="C286" s="1" t="s">
        <v>958</v>
      </c>
      <c r="D286" s="1" t="n">
        <v>6404392</v>
      </c>
      <c r="E286" s="1" t="s">
        <v>1151</v>
      </c>
      <c r="F286" s="1" t="s">
        <v>62</v>
      </c>
      <c r="G286" s="1" t="n">
        <v>-0.1277583</v>
      </c>
      <c r="H286" s="1" t="n">
        <v>51.50735</v>
      </c>
      <c r="I286" s="1" t="s">
        <v>18</v>
      </c>
      <c r="J286" s="1" t="s">
        <v>1152</v>
      </c>
      <c r="K286" s="1" t="s">
        <v>45</v>
      </c>
      <c r="L286" s="1" t="s">
        <v>21</v>
      </c>
      <c r="M286" s="1" t="s">
        <v>22</v>
      </c>
      <c r="N286" s="2" t="s">
        <v>121</v>
      </c>
      <c r="O286" s="1" t="s">
        <v>1153</v>
      </c>
      <c r="P286" s="1" t="n">
        <f aca="false">IF(A286=O286, 1, 0)</f>
        <v>0</v>
      </c>
    </row>
    <row r="287" customFormat="false" ht="15" hidden="false" customHeight="false" outlineLevel="0" collapsed="false">
      <c r="A287" s="1" t="n">
        <v>1145438</v>
      </c>
      <c r="B287" s="1" t="n">
        <v>1923</v>
      </c>
      <c r="C287" s="1" t="s">
        <v>1154</v>
      </c>
      <c r="D287" s="1" t="n">
        <v>8397905</v>
      </c>
      <c r="E287" s="1" t="s">
        <v>1155</v>
      </c>
      <c r="F287" s="1" t="s">
        <v>464</v>
      </c>
      <c r="G287" s="1" t="n">
        <v>-3.17909</v>
      </c>
      <c r="H287" s="1" t="n">
        <v>51.48158</v>
      </c>
      <c r="I287" s="1" t="s">
        <v>28</v>
      </c>
      <c r="J287" s="1" t="s">
        <v>1156</v>
      </c>
      <c r="K287" s="1" t="s">
        <v>45</v>
      </c>
      <c r="L287" s="1" t="s">
        <v>21</v>
      </c>
      <c r="M287" s="1" t="s">
        <v>30</v>
      </c>
      <c r="N287" s="2" t="s">
        <v>31</v>
      </c>
      <c r="O287" s="1" t="s">
        <v>1157</v>
      </c>
      <c r="P287" s="1" t="n">
        <f aca="false">IF(A287=O287, 1, 0)</f>
        <v>0</v>
      </c>
    </row>
    <row r="288" customFormat="false" ht="15" hidden="false" customHeight="false" outlineLevel="0" collapsed="false">
      <c r="A288" s="1" t="n">
        <v>1146318</v>
      </c>
      <c r="B288" s="1" t="n">
        <v>1923</v>
      </c>
      <c r="C288" s="1" t="s">
        <v>1158</v>
      </c>
      <c r="D288" s="1" t="n">
        <v>21438780</v>
      </c>
      <c r="E288" s="1" t="s">
        <v>1159</v>
      </c>
      <c r="F288" s="1" t="s">
        <v>62</v>
      </c>
      <c r="G288" s="1" t="n">
        <v>-0.1277583</v>
      </c>
      <c r="H288" s="1" t="n">
        <v>51.50735</v>
      </c>
      <c r="I288" s="1" t="s">
        <v>30</v>
      </c>
      <c r="J288" s="1" t="s">
        <v>606</v>
      </c>
      <c r="K288" s="1" t="s">
        <v>45</v>
      </c>
      <c r="L288" s="1" t="s">
        <v>21</v>
      </c>
      <c r="M288" s="1" t="s">
        <v>30</v>
      </c>
      <c r="N288" s="2" t="s">
        <v>31</v>
      </c>
      <c r="O288" s="1" t="s">
        <v>607</v>
      </c>
      <c r="P288" s="1" t="n">
        <f aca="false">IF(A288=O288, 1, 0)</f>
        <v>0</v>
      </c>
    </row>
    <row r="289" customFormat="false" ht="15" hidden="false" customHeight="false" outlineLevel="0" collapsed="false">
      <c r="A289" s="1" t="n">
        <v>1154906</v>
      </c>
      <c r="B289" s="1" t="n">
        <v>1923</v>
      </c>
      <c r="C289" s="1" t="s">
        <v>1160</v>
      </c>
      <c r="D289" s="1" t="n">
        <v>1143641</v>
      </c>
      <c r="E289" s="1" t="s">
        <v>1161</v>
      </c>
      <c r="F289" s="1" t="s">
        <v>529</v>
      </c>
      <c r="G289" s="1" t="n">
        <v>174.886</v>
      </c>
      <c r="H289" s="1" t="n">
        <v>-40.90056</v>
      </c>
      <c r="I289" s="1" t="s">
        <v>28</v>
      </c>
      <c r="J289" s="1" t="s">
        <v>1162</v>
      </c>
      <c r="K289" s="1" t="s">
        <v>46</v>
      </c>
      <c r="L289" s="1" t="s">
        <v>21</v>
      </c>
      <c r="M289" s="1" t="s">
        <v>30</v>
      </c>
      <c r="N289" s="2" t="s">
        <v>31</v>
      </c>
      <c r="O289" s="1" t="s">
        <v>1163</v>
      </c>
      <c r="P289" s="1" t="n">
        <f aca="false">IF(A289=O289, 1, 0)</f>
        <v>0</v>
      </c>
    </row>
    <row r="290" customFormat="false" ht="15" hidden="false" customHeight="false" outlineLevel="0" collapsed="false">
      <c r="A290" s="1" t="n">
        <v>1156322</v>
      </c>
      <c r="B290" s="1" t="n">
        <v>1923</v>
      </c>
      <c r="C290" s="1" t="s">
        <v>1164</v>
      </c>
      <c r="D290" s="1" t="n">
        <v>4574565</v>
      </c>
      <c r="E290" s="1" t="s">
        <v>1165</v>
      </c>
      <c r="F290" s="1" t="s">
        <v>381</v>
      </c>
      <c r="G290" s="1" t="n">
        <v>-97.21348</v>
      </c>
      <c r="H290" s="1" t="n">
        <v>32.82943</v>
      </c>
      <c r="I290" s="1" t="s">
        <v>30</v>
      </c>
      <c r="J290" s="1" t="s">
        <v>1166</v>
      </c>
      <c r="K290" s="1" t="s">
        <v>20</v>
      </c>
      <c r="L290" s="1" t="s">
        <v>21</v>
      </c>
      <c r="M290" s="1" t="s">
        <v>30</v>
      </c>
      <c r="N290" s="2" t="s">
        <v>31</v>
      </c>
      <c r="O290" s="1" t="s">
        <v>1167</v>
      </c>
      <c r="P290" s="1" t="n">
        <f aca="false">IF(A290=O290, 1, 0)</f>
        <v>0</v>
      </c>
    </row>
    <row r="291" customFormat="false" ht="15" hidden="false" customHeight="false" outlineLevel="0" collapsed="false">
      <c r="A291" s="1" t="n">
        <v>1156908</v>
      </c>
      <c r="B291" s="1" t="n">
        <v>1923</v>
      </c>
      <c r="C291" s="1" t="s">
        <v>861</v>
      </c>
      <c r="D291" s="1" t="n">
        <v>1372370</v>
      </c>
      <c r="E291" s="1" t="s">
        <v>1168</v>
      </c>
      <c r="F291" s="1" t="s">
        <v>62</v>
      </c>
      <c r="G291" s="1" t="n">
        <v>-0.1277583</v>
      </c>
      <c r="H291" s="1" t="n">
        <v>51.50735</v>
      </c>
      <c r="I291" s="1" t="s">
        <v>63</v>
      </c>
      <c r="J291" s="1" t="s">
        <v>957</v>
      </c>
      <c r="K291" s="1" t="s">
        <v>45</v>
      </c>
      <c r="L291" s="1" t="s">
        <v>21</v>
      </c>
      <c r="M291" s="1" t="s">
        <v>30</v>
      </c>
      <c r="N291" s="1" t="s">
        <v>21</v>
      </c>
      <c r="O291" s="1" t="n">
        <v>1084701</v>
      </c>
      <c r="P291" s="1" t="n">
        <f aca="false">IF(A291=O291, 1, 0)</f>
        <v>0</v>
      </c>
    </row>
    <row r="292" customFormat="false" ht="15" hidden="false" customHeight="false" outlineLevel="0" collapsed="false">
      <c r="A292" s="1" t="s">
        <v>1169</v>
      </c>
      <c r="B292" s="1" t="n">
        <v>1916</v>
      </c>
      <c r="C292" s="1" t="s">
        <v>1170</v>
      </c>
      <c r="D292" s="5" t="n">
        <v>30000000</v>
      </c>
      <c r="E292" s="1" t="s">
        <v>1171</v>
      </c>
      <c r="F292" s="1" t="s">
        <v>1172</v>
      </c>
      <c r="G292" s="1" t="n">
        <v>-110.3625658</v>
      </c>
      <c r="H292" s="1" t="n">
        <v>46.8796822</v>
      </c>
      <c r="I292" s="1" t="s">
        <v>1173</v>
      </c>
      <c r="J292" s="1" t="s">
        <v>1174</v>
      </c>
      <c r="K292" s="1" t="s">
        <v>20</v>
      </c>
      <c r="L292" s="1" t="s">
        <v>1175</v>
      </c>
      <c r="M292" s="1" t="s">
        <v>22</v>
      </c>
      <c r="N292" s="2" t="s">
        <v>121</v>
      </c>
      <c r="O292" s="1" t="s">
        <v>1176</v>
      </c>
      <c r="P292" s="1" t="n">
        <f aca="false">IF(A292=O292, 1, 0)</f>
        <v>0</v>
      </c>
    </row>
    <row r="293" customFormat="false" ht="15" hidden="false" customHeight="false" outlineLevel="0" collapsed="false">
      <c r="A293" s="1" t="s">
        <v>1177</v>
      </c>
      <c r="B293" s="1" t="n">
        <v>1916</v>
      </c>
      <c r="C293" s="1" t="s">
        <v>1178</v>
      </c>
      <c r="D293" s="5" t="n">
        <v>15000000</v>
      </c>
      <c r="E293" s="1" t="s">
        <v>1179</v>
      </c>
      <c r="F293" s="1" t="s">
        <v>46</v>
      </c>
      <c r="G293" s="1" t="s">
        <v>46</v>
      </c>
      <c r="H293" s="1" t="s">
        <v>46</v>
      </c>
      <c r="I293" s="1" t="s">
        <v>1180</v>
      </c>
      <c r="J293" s="1" t="s">
        <v>1181</v>
      </c>
      <c r="K293" s="1" t="s">
        <v>46</v>
      </c>
      <c r="L293" s="1" t="s">
        <v>1175</v>
      </c>
      <c r="M293" s="1" t="s">
        <v>22</v>
      </c>
      <c r="N293" s="2" t="s">
        <v>121</v>
      </c>
      <c r="O293" s="1" t="s">
        <v>1182</v>
      </c>
      <c r="P293" s="1" t="n">
        <f aca="false">IF(A293=O293, 1, 0)</f>
        <v>0</v>
      </c>
    </row>
    <row r="294" customFormat="false" ht="15" hidden="false" customHeight="false" outlineLevel="0" collapsed="false">
      <c r="A294" s="1" t="s">
        <v>1183</v>
      </c>
      <c r="B294" s="1" t="n">
        <v>1916</v>
      </c>
      <c r="C294" s="1" t="s">
        <v>1184</v>
      </c>
      <c r="D294" s="5" t="n">
        <v>900000</v>
      </c>
      <c r="E294" s="1" t="s">
        <v>1185</v>
      </c>
      <c r="F294" s="1" t="s">
        <v>1186</v>
      </c>
      <c r="G294" s="1" t="n">
        <v>-74.0059728</v>
      </c>
      <c r="H294" s="1" t="n">
        <v>40.7127753</v>
      </c>
      <c r="I294" s="1" t="s">
        <v>1187</v>
      </c>
      <c r="J294" s="2" t="s">
        <v>1188</v>
      </c>
      <c r="K294" s="1" t="s">
        <v>46</v>
      </c>
      <c r="L294" s="1" t="s">
        <v>1175</v>
      </c>
      <c r="M294" s="1" t="s">
        <v>30</v>
      </c>
      <c r="N294" s="2" t="s">
        <v>31</v>
      </c>
      <c r="O294" s="1" t="s">
        <v>1189</v>
      </c>
      <c r="P294" s="1" t="n">
        <f aca="false">IF(A294=O294, 1, 0)</f>
        <v>0</v>
      </c>
    </row>
    <row r="295" customFormat="false" ht="15" hidden="false" customHeight="false" outlineLevel="0" collapsed="false">
      <c r="A295" s="1" t="s">
        <v>1190</v>
      </c>
      <c r="B295" s="1" t="n">
        <v>1916</v>
      </c>
      <c r="C295" s="1" t="s">
        <v>1191</v>
      </c>
      <c r="D295" s="5" t="n">
        <v>10000000</v>
      </c>
      <c r="E295" s="1" t="s">
        <v>1192</v>
      </c>
      <c r="F295" s="1" t="s">
        <v>46</v>
      </c>
      <c r="G295" s="1" t="s">
        <v>46</v>
      </c>
      <c r="H295" s="1" t="s">
        <v>46</v>
      </c>
      <c r="I295" s="1" t="s">
        <v>1180</v>
      </c>
      <c r="J295" s="1" t="s">
        <v>1193</v>
      </c>
      <c r="K295" s="1" t="s">
        <v>46</v>
      </c>
      <c r="L295" s="1" t="s">
        <v>1175</v>
      </c>
      <c r="M295" s="1" t="s">
        <v>30</v>
      </c>
      <c r="N295" s="1" t="s">
        <v>53</v>
      </c>
      <c r="O295" s="1" t="s">
        <v>1194</v>
      </c>
      <c r="P295" s="1" t="n">
        <f aca="false">IF(A295=O295, 1, 0)</f>
        <v>0</v>
      </c>
    </row>
    <row r="296" customFormat="false" ht="15" hidden="false" customHeight="false" outlineLevel="0" collapsed="false">
      <c r="A296" s="1" t="s">
        <v>1195</v>
      </c>
      <c r="B296" s="1" t="n">
        <v>1916</v>
      </c>
      <c r="C296" s="1" t="s">
        <v>1196</v>
      </c>
      <c r="D296" s="5" t="n">
        <v>2000000</v>
      </c>
      <c r="E296" s="1" t="s">
        <v>1197</v>
      </c>
      <c r="F296" s="1" t="s">
        <v>46</v>
      </c>
      <c r="G296" s="1" t="s">
        <v>46</v>
      </c>
      <c r="H296" s="1" t="s">
        <v>46</v>
      </c>
      <c r="I296" s="1" t="s">
        <v>1198</v>
      </c>
      <c r="J296" s="2" t="s">
        <v>1199</v>
      </c>
      <c r="K296" s="1" t="s">
        <v>46</v>
      </c>
      <c r="L296" s="1" t="s">
        <v>1175</v>
      </c>
      <c r="M296" s="1" t="s">
        <v>30</v>
      </c>
      <c r="N296" s="1" t="s">
        <v>53</v>
      </c>
      <c r="O296" s="1" t="s">
        <v>1200</v>
      </c>
      <c r="P296" s="1" t="n">
        <f aca="false">IF(A296=O296, 1, 0)</f>
        <v>0</v>
      </c>
    </row>
    <row r="297" customFormat="false" ht="15" hidden="false" customHeight="false" outlineLevel="0" collapsed="false">
      <c r="A297" s="1" t="s">
        <v>1201</v>
      </c>
      <c r="B297" s="1" t="n">
        <v>1916</v>
      </c>
      <c r="C297" s="1" t="s">
        <v>1202</v>
      </c>
      <c r="D297" s="5" t="n">
        <v>100000</v>
      </c>
      <c r="E297" s="1" t="s">
        <v>1203</v>
      </c>
      <c r="F297" s="1" t="s">
        <v>46</v>
      </c>
      <c r="G297" s="1" t="s">
        <v>46</v>
      </c>
      <c r="H297" s="1" t="s">
        <v>46</v>
      </c>
      <c r="I297" s="1" t="s">
        <v>1204</v>
      </c>
      <c r="J297" s="1" t="s">
        <v>1205</v>
      </c>
      <c r="K297" s="1" t="s">
        <v>46</v>
      </c>
      <c r="L297" s="1" t="s">
        <v>1175</v>
      </c>
      <c r="M297" s="1" t="s">
        <v>30</v>
      </c>
      <c r="N297" s="1" t="s">
        <v>53</v>
      </c>
      <c r="O297" s="1" t="s">
        <v>1206</v>
      </c>
      <c r="P297" s="1" t="n">
        <f aca="false">IF(A297=O297, 1, 0)</f>
        <v>0</v>
      </c>
    </row>
    <row r="298" customFormat="false" ht="15" hidden="false" customHeight="false" outlineLevel="0" collapsed="false">
      <c r="A298" s="1" t="s">
        <v>1207</v>
      </c>
      <c r="B298" s="1" t="n">
        <v>1916</v>
      </c>
      <c r="C298" s="1" t="s">
        <v>1208</v>
      </c>
      <c r="D298" s="5" t="n">
        <v>3000000</v>
      </c>
      <c r="E298" s="1" t="s">
        <v>1209</v>
      </c>
      <c r="F298" s="1" t="s">
        <v>1210</v>
      </c>
      <c r="G298" s="1" t="n">
        <v>-79.3831843</v>
      </c>
      <c r="H298" s="1" t="n">
        <v>43.653226</v>
      </c>
      <c r="I298" s="1" t="s">
        <v>1211</v>
      </c>
      <c r="J298" s="1" t="s">
        <v>1212</v>
      </c>
      <c r="K298" s="1" t="s">
        <v>57</v>
      </c>
      <c r="L298" s="1" t="s">
        <v>1175</v>
      </c>
      <c r="M298" s="1" t="s">
        <v>30</v>
      </c>
      <c r="N298" s="1" t="s">
        <v>53</v>
      </c>
      <c r="O298" s="1" t="s">
        <v>1213</v>
      </c>
      <c r="P298" s="1" t="n">
        <f aca="false">IF(A298=O298, 1, 0)</f>
        <v>0</v>
      </c>
    </row>
    <row r="299" customFormat="false" ht="15" hidden="false" customHeight="false" outlineLevel="0" collapsed="false">
      <c r="A299" s="1" t="s">
        <v>1214</v>
      </c>
      <c r="B299" s="1" t="n">
        <v>1919</v>
      </c>
      <c r="C299" s="1" t="s">
        <v>1215</v>
      </c>
      <c r="D299" s="1" t="n">
        <v>3042300</v>
      </c>
      <c r="E299" s="1" t="s">
        <v>1216</v>
      </c>
      <c r="F299" s="1" t="s">
        <v>1217</v>
      </c>
      <c r="G299" s="1" t="n">
        <v>-122.2020795</v>
      </c>
      <c r="H299" s="1" t="n">
        <v>47.9789848</v>
      </c>
      <c r="I299" s="1" t="s">
        <v>1218</v>
      </c>
      <c r="J299" s="1" t="s">
        <v>1219</v>
      </c>
      <c r="K299" s="1" t="s">
        <v>20</v>
      </c>
      <c r="L299" s="1" t="s">
        <v>1175</v>
      </c>
      <c r="M299" s="1" t="s">
        <v>30</v>
      </c>
      <c r="N299" s="1" t="s">
        <v>53</v>
      </c>
      <c r="O299" s="1" t="s">
        <v>1220</v>
      </c>
      <c r="P299" s="1" t="n">
        <f aca="false">IF(A299=O299, 1, 0)</f>
        <v>0</v>
      </c>
    </row>
    <row r="300" customFormat="false" ht="15" hidden="false" customHeight="false" outlineLevel="0" collapsed="false">
      <c r="A300" s="1" t="s">
        <v>1221</v>
      </c>
      <c r="B300" s="1" t="n">
        <v>1919</v>
      </c>
      <c r="C300" s="1" t="s">
        <v>1222</v>
      </c>
      <c r="D300" s="5" t="n">
        <v>1000000</v>
      </c>
      <c r="E300" s="1" t="s">
        <v>1223</v>
      </c>
      <c r="F300" s="1" t="s">
        <v>46</v>
      </c>
      <c r="G300" s="1" t="s">
        <v>46</v>
      </c>
      <c r="H300" s="1" t="s">
        <v>46</v>
      </c>
      <c r="I300" s="1" t="s">
        <v>1180</v>
      </c>
      <c r="J300" s="1" t="s">
        <v>1224</v>
      </c>
      <c r="K300" s="1" t="s">
        <v>46</v>
      </c>
      <c r="L300" s="1" t="s">
        <v>1175</v>
      </c>
      <c r="M300" s="1" t="s">
        <v>98</v>
      </c>
      <c r="N300" s="1" t="s">
        <v>39</v>
      </c>
      <c r="O300" s="1" t="s">
        <v>1225</v>
      </c>
      <c r="P300" s="1" t="n">
        <f aca="false">IF(A300=O300, 1, 0)</f>
        <v>0</v>
      </c>
    </row>
    <row r="301" customFormat="false" ht="15" hidden="false" customHeight="false" outlineLevel="0" collapsed="false">
      <c r="A301" s="1" t="s">
        <v>1226</v>
      </c>
      <c r="B301" s="1" t="n">
        <v>1919</v>
      </c>
      <c r="C301" s="1" t="s">
        <v>1227</v>
      </c>
      <c r="D301" s="5" t="n">
        <v>40000000</v>
      </c>
      <c r="E301" s="1" t="s">
        <v>1228</v>
      </c>
      <c r="F301" s="1" t="s">
        <v>46</v>
      </c>
      <c r="G301" s="1" t="s">
        <v>46</v>
      </c>
      <c r="H301" s="1" t="s">
        <v>46</v>
      </c>
      <c r="I301" s="1" t="s">
        <v>1204</v>
      </c>
      <c r="J301" s="1" t="s">
        <v>1229</v>
      </c>
      <c r="K301" s="1" t="s">
        <v>46</v>
      </c>
      <c r="L301" s="1" t="s">
        <v>1175</v>
      </c>
      <c r="M301" s="1" t="s">
        <v>30</v>
      </c>
      <c r="N301" s="1" t="s">
        <v>53</v>
      </c>
      <c r="O301" s="1" t="s">
        <v>1230</v>
      </c>
      <c r="P301" s="1" t="n">
        <f aca="false">IF(A301=O301, 1, 0)</f>
        <v>0</v>
      </c>
    </row>
    <row r="302" customFormat="false" ht="15" hidden="false" customHeight="false" outlineLevel="0" collapsed="false">
      <c r="A302" s="1" t="s">
        <v>1231</v>
      </c>
      <c r="B302" s="1" t="n">
        <v>1919</v>
      </c>
      <c r="C302" s="1" t="s">
        <v>1232</v>
      </c>
      <c r="D302" s="1" t="n">
        <v>150000</v>
      </c>
      <c r="E302" s="1" t="s">
        <v>1233</v>
      </c>
      <c r="F302" s="1" t="s">
        <v>1234</v>
      </c>
      <c r="G302" s="1" t="n">
        <v>-76.6121893</v>
      </c>
      <c r="H302" s="1" t="n">
        <v>39.2903848</v>
      </c>
      <c r="I302" s="1" t="s">
        <v>1204</v>
      </c>
      <c r="J302" s="1" t="s">
        <v>1235</v>
      </c>
      <c r="K302" s="1" t="s">
        <v>20</v>
      </c>
      <c r="L302" s="1" t="s">
        <v>1175</v>
      </c>
      <c r="M302" s="1" t="s">
        <v>22</v>
      </c>
      <c r="N302" s="2" t="s">
        <v>153</v>
      </c>
      <c r="O302" s="1" t="s">
        <v>1236</v>
      </c>
      <c r="P302" s="1" t="n">
        <f aca="false">IF(A302=O302, 1, 0)</f>
        <v>0</v>
      </c>
    </row>
    <row r="303" customFormat="false" ht="15" hidden="false" customHeight="false" outlineLevel="0" collapsed="false">
      <c r="A303" s="1" t="s">
        <v>1237</v>
      </c>
      <c r="B303" s="1" t="n">
        <v>1919</v>
      </c>
      <c r="C303" s="1" t="s">
        <v>1232</v>
      </c>
      <c r="D303" s="1" t="n">
        <v>150000</v>
      </c>
      <c r="E303" s="1" t="s">
        <v>1238</v>
      </c>
      <c r="F303" s="1" t="s">
        <v>46</v>
      </c>
      <c r="G303" s="1" t="s">
        <v>46</v>
      </c>
      <c r="H303" s="1" t="s">
        <v>46</v>
      </c>
      <c r="I303" s="1" t="s">
        <v>1239</v>
      </c>
      <c r="J303" s="1" t="s">
        <v>1240</v>
      </c>
      <c r="K303" s="1" t="s">
        <v>46</v>
      </c>
      <c r="L303" s="1" t="s">
        <v>1175</v>
      </c>
      <c r="M303" s="1" t="s">
        <v>22</v>
      </c>
      <c r="N303" s="2" t="s">
        <v>153</v>
      </c>
      <c r="O303" s="1" t="s">
        <v>1241</v>
      </c>
      <c r="P303" s="1" t="n">
        <f aca="false">IF(A303=O303, 1, 0)</f>
        <v>0</v>
      </c>
    </row>
    <row r="304" customFormat="false" ht="15" hidden="false" customHeight="false" outlineLevel="0" collapsed="false">
      <c r="A304" s="1" t="s">
        <v>1242</v>
      </c>
      <c r="B304" s="1" t="n">
        <v>1919</v>
      </c>
      <c r="C304" s="1" t="s">
        <v>1243</v>
      </c>
      <c r="D304" s="5" t="n">
        <v>3000000</v>
      </c>
      <c r="E304" s="1" t="s">
        <v>1244</v>
      </c>
      <c r="F304" s="1" t="s">
        <v>46</v>
      </c>
      <c r="G304" s="1" t="s">
        <v>46</v>
      </c>
      <c r="H304" s="1" t="s">
        <v>46</v>
      </c>
      <c r="I304" s="1" t="s">
        <v>1204</v>
      </c>
      <c r="J304" s="1" t="s">
        <v>1245</v>
      </c>
      <c r="K304" s="1" t="s">
        <v>46</v>
      </c>
      <c r="L304" s="1" t="s">
        <v>1175</v>
      </c>
      <c r="M304" s="1" t="s">
        <v>22</v>
      </c>
      <c r="N304" s="2" t="s">
        <v>47</v>
      </c>
      <c r="O304" s="1" t="s">
        <v>1246</v>
      </c>
      <c r="P304" s="1" t="n">
        <f aca="false">IF(A304=O304, 1, 0)</f>
        <v>0</v>
      </c>
    </row>
    <row r="305" customFormat="false" ht="15" hidden="false" customHeight="false" outlineLevel="0" collapsed="false">
      <c r="A305" s="1" t="s">
        <v>1247</v>
      </c>
      <c r="B305" s="1" t="n">
        <v>1919</v>
      </c>
      <c r="C305" s="1" t="s">
        <v>1248</v>
      </c>
      <c r="D305" s="1" t="n">
        <v>25069000</v>
      </c>
      <c r="E305" s="1" t="s">
        <v>1249</v>
      </c>
      <c r="F305" s="1" t="s">
        <v>1186</v>
      </c>
      <c r="G305" s="1" t="n">
        <v>-74.0059728</v>
      </c>
      <c r="H305" s="1" t="n">
        <v>40.7127753</v>
      </c>
      <c r="I305" s="1" t="s">
        <v>1198</v>
      </c>
      <c r="J305" s="1" t="s">
        <v>1250</v>
      </c>
      <c r="K305" s="1" t="s">
        <v>46</v>
      </c>
      <c r="L305" s="1" t="s">
        <v>1175</v>
      </c>
      <c r="M305" s="1" t="s">
        <v>30</v>
      </c>
      <c r="N305" s="1" t="s">
        <v>53</v>
      </c>
      <c r="O305" s="1" t="s">
        <v>1251</v>
      </c>
      <c r="P305" s="1" t="n">
        <f aca="false">IF(A305=O305, 1, 0)</f>
        <v>0</v>
      </c>
    </row>
    <row r="306" customFormat="false" ht="15" hidden="false" customHeight="false" outlineLevel="0" collapsed="false">
      <c r="A306" s="1" t="s">
        <v>1252</v>
      </c>
      <c r="B306" s="1" t="n">
        <v>1920</v>
      </c>
      <c r="C306" s="1" t="s">
        <v>1253</v>
      </c>
      <c r="D306" s="1" t="n">
        <v>1500000</v>
      </c>
      <c r="E306" s="1" t="s">
        <v>1254</v>
      </c>
      <c r="F306" s="1" t="s">
        <v>1255</v>
      </c>
      <c r="G306" s="1" t="n">
        <v>-111.0937311</v>
      </c>
      <c r="H306" s="1" t="n">
        <v>34.0489281</v>
      </c>
      <c r="I306" s="1" t="s">
        <v>1180</v>
      </c>
      <c r="J306" s="1" t="s">
        <v>1256</v>
      </c>
      <c r="K306" s="1" t="s">
        <v>20</v>
      </c>
      <c r="L306" s="1" t="s">
        <v>1175</v>
      </c>
      <c r="M306" s="1" t="s">
        <v>22</v>
      </c>
      <c r="N306" s="1" t="s">
        <v>23</v>
      </c>
      <c r="O306" s="1" t="s">
        <v>1257</v>
      </c>
      <c r="P306" s="1" t="n">
        <f aca="false">IF(A306=O306, 1, 0)</f>
        <v>0</v>
      </c>
    </row>
    <row r="307" customFormat="false" ht="15" hidden="false" customHeight="false" outlineLevel="0" collapsed="false">
      <c r="A307" s="1" t="s">
        <v>1258</v>
      </c>
      <c r="B307" s="1" t="n">
        <v>1920</v>
      </c>
      <c r="C307" s="1" t="s">
        <v>1253</v>
      </c>
      <c r="D307" s="1" t="n">
        <v>1500000</v>
      </c>
      <c r="E307" s="1" t="s">
        <v>1259</v>
      </c>
      <c r="F307" s="1" t="s">
        <v>1255</v>
      </c>
      <c r="G307" s="1" t="n">
        <v>-111.0937311</v>
      </c>
      <c r="H307" s="1" t="n">
        <v>34.0489281</v>
      </c>
      <c r="I307" s="1" t="s">
        <v>1260</v>
      </c>
      <c r="J307" s="1" t="s">
        <v>1261</v>
      </c>
      <c r="K307" s="1" t="s">
        <v>20</v>
      </c>
      <c r="L307" s="1" t="s">
        <v>1175</v>
      </c>
      <c r="M307" s="1" t="s">
        <v>30</v>
      </c>
      <c r="N307" s="2" t="s">
        <v>31</v>
      </c>
      <c r="O307" s="1" t="s">
        <v>1262</v>
      </c>
      <c r="P307" s="1" t="n">
        <f aca="false">IF(A307=O307, 1, 0)</f>
        <v>0</v>
      </c>
    </row>
    <row r="308" customFormat="false" ht="15" hidden="false" customHeight="false" outlineLevel="0" collapsed="false">
      <c r="A308" s="1" t="s">
        <v>1263</v>
      </c>
      <c r="B308" s="1" t="n">
        <v>1920</v>
      </c>
      <c r="C308" s="1" t="s">
        <v>1264</v>
      </c>
      <c r="D308" s="5" t="n">
        <v>10000000</v>
      </c>
      <c r="E308" s="1" t="s">
        <v>1265</v>
      </c>
      <c r="F308" s="1" t="s">
        <v>46</v>
      </c>
      <c r="G308" s="1" t="s">
        <v>46</v>
      </c>
      <c r="H308" s="1" t="s">
        <v>46</v>
      </c>
      <c r="I308" s="1" t="s">
        <v>1260</v>
      </c>
      <c r="J308" s="1" t="s">
        <v>1266</v>
      </c>
      <c r="K308" s="1" t="s">
        <v>46</v>
      </c>
      <c r="L308" s="1" t="s">
        <v>1175</v>
      </c>
      <c r="M308" s="1" t="s">
        <v>30</v>
      </c>
      <c r="N308" s="1" t="s">
        <v>53</v>
      </c>
      <c r="O308" s="1" t="s">
        <v>1267</v>
      </c>
      <c r="P308" s="1" t="n">
        <f aca="false">IF(A308=O308, 1, 0)</f>
        <v>0</v>
      </c>
    </row>
    <row r="309" customFormat="false" ht="15" hidden="false" customHeight="false" outlineLevel="0" collapsed="false">
      <c r="A309" s="1" t="s">
        <v>1268</v>
      </c>
      <c r="B309" s="1" t="n">
        <v>1920</v>
      </c>
      <c r="C309" s="1" t="s">
        <v>1269</v>
      </c>
      <c r="D309" s="5" t="n">
        <v>1000000</v>
      </c>
      <c r="E309" s="1" t="s">
        <v>1270</v>
      </c>
      <c r="F309" s="1" t="s">
        <v>1271</v>
      </c>
      <c r="G309" s="1" t="n">
        <v>-116.419389</v>
      </c>
      <c r="H309" s="1" t="n">
        <v>38.8026097</v>
      </c>
      <c r="I309" s="1" t="s">
        <v>1204</v>
      </c>
      <c r="J309" s="1" t="s">
        <v>1272</v>
      </c>
      <c r="K309" s="1" t="s">
        <v>20</v>
      </c>
      <c r="L309" s="1" t="s">
        <v>1175</v>
      </c>
      <c r="M309" s="1" t="s">
        <v>952</v>
      </c>
      <c r="N309" s="2" t="s">
        <v>47</v>
      </c>
      <c r="O309" s="1" t="s">
        <v>1273</v>
      </c>
      <c r="P309" s="1" t="n">
        <f aca="false">IF(A309=O309, 1, 0)</f>
        <v>0</v>
      </c>
    </row>
    <row r="310" customFormat="false" ht="15" hidden="false" customHeight="false" outlineLevel="0" collapsed="false">
      <c r="A310" s="1" t="s">
        <v>1274</v>
      </c>
      <c r="B310" s="1" t="n">
        <v>1920</v>
      </c>
      <c r="C310" s="1" t="s">
        <v>1275</v>
      </c>
      <c r="D310" s="5" t="n">
        <v>18000000</v>
      </c>
      <c r="E310" s="1" t="s">
        <v>1276</v>
      </c>
      <c r="F310" s="1" t="s">
        <v>1277</v>
      </c>
      <c r="G310" s="1" t="n">
        <v>-76.1474244</v>
      </c>
      <c r="H310" s="1" t="n">
        <v>43.0481221</v>
      </c>
      <c r="I310" s="1" t="s">
        <v>1260</v>
      </c>
      <c r="J310" s="1" t="s">
        <v>1278</v>
      </c>
      <c r="K310" s="1" t="s">
        <v>20</v>
      </c>
      <c r="L310" s="1" t="s">
        <v>1175</v>
      </c>
      <c r="M310" s="1" t="s">
        <v>98</v>
      </c>
      <c r="N310" s="1" t="s">
        <v>23</v>
      </c>
      <c r="O310" s="1" t="s">
        <v>1279</v>
      </c>
      <c r="P310" s="1" t="n">
        <f aca="false">IF(A310=O310, 1, 0)</f>
        <v>0</v>
      </c>
    </row>
    <row r="311" customFormat="false" ht="15" hidden="false" customHeight="false" outlineLevel="0" collapsed="false">
      <c r="A311" s="1" t="s">
        <v>1280</v>
      </c>
      <c r="B311" s="1" t="n">
        <v>1920</v>
      </c>
      <c r="C311" s="1" t="s">
        <v>1281</v>
      </c>
      <c r="D311" s="5" t="n">
        <v>3000000</v>
      </c>
      <c r="E311" s="1" t="s">
        <v>1282</v>
      </c>
      <c r="F311" s="1" t="s">
        <v>1283</v>
      </c>
      <c r="G311" s="1" t="n">
        <v>-105.7820674</v>
      </c>
      <c r="H311" s="1" t="n">
        <v>39.5500507</v>
      </c>
      <c r="I311" s="1" t="s">
        <v>1204</v>
      </c>
      <c r="J311" s="1" t="s">
        <v>1284</v>
      </c>
      <c r="K311" s="1" t="s">
        <v>20</v>
      </c>
      <c r="L311" s="1" t="s">
        <v>1175</v>
      </c>
      <c r="M311" s="1" t="s">
        <v>98</v>
      </c>
      <c r="N311" s="2" t="s">
        <v>47</v>
      </c>
      <c r="O311" s="1" t="s">
        <v>1285</v>
      </c>
      <c r="P311" s="1" t="n">
        <f aca="false">IF(A311=O311, 1, 0)</f>
        <v>0</v>
      </c>
    </row>
    <row r="312" customFormat="false" ht="15" hidden="false" customHeight="false" outlineLevel="0" collapsed="false">
      <c r="A312" s="1" t="s">
        <v>1286</v>
      </c>
      <c r="B312" s="1" t="n">
        <v>1920</v>
      </c>
      <c r="C312" s="1" t="s">
        <v>1287</v>
      </c>
      <c r="D312" s="1" t="n">
        <v>750000</v>
      </c>
      <c r="E312" s="1" t="s">
        <v>1288</v>
      </c>
      <c r="F312" s="1" t="s">
        <v>1289</v>
      </c>
      <c r="G312" s="1" t="n">
        <v>-85.6023643</v>
      </c>
      <c r="H312" s="1" t="n">
        <v>44.3148443</v>
      </c>
      <c r="I312" s="1" t="s">
        <v>1180</v>
      </c>
      <c r="J312" s="1" t="s">
        <v>1290</v>
      </c>
      <c r="K312" s="1" t="s">
        <v>20</v>
      </c>
      <c r="L312" s="1" t="s">
        <v>1175</v>
      </c>
      <c r="M312" s="1" t="s">
        <v>30</v>
      </c>
      <c r="N312" s="1" t="s">
        <v>53</v>
      </c>
      <c r="O312" s="1" t="s">
        <v>1291</v>
      </c>
      <c r="P312" s="1" t="n">
        <f aca="false">IF(A312=O312, 1, 0)</f>
        <v>0</v>
      </c>
    </row>
    <row r="313" customFormat="false" ht="15" hidden="false" customHeight="false" outlineLevel="0" collapsed="false">
      <c r="A313" s="1" t="s">
        <v>1292</v>
      </c>
      <c r="B313" s="1" t="n">
        <v>1920</v>
      </c>
      <c r="C313" s="1" t="s">
        <v>1293</v>
      </c>
      <c r="D313" s="1" t="n">
        <v>250000</v>
      </c>
      <c r="E313" s="1" t="s">
        <v>1294</v>
      </c>
      <c r="F313" s="1" t="s">
        <v>1295</v>
      </c>
      <c r="G313" s="1" t="n">
        <v>-122.4194155</v>
      </c>
      <c r="H313" s="1" t="n">
        <v>37.7749295</v>
      </c>
      <c r="I313" s="1" t="s">
        <v>1260</v>
      </c>
      <c r="J313" s="1" t="s">
        <v>1296</v>
      </c>
      <c r="K313" s="1" t="s">
        <v>20</v>
      </c>
      <c r="L313" s="1" t="s">
        <v>1175</v>
      </c>
      <c r="M313" s="1" t="s">
        <v>30</v>
      </c>
      <c r="N313" s="1" t="s">
        <v>53</v>
      </c>
      <c r="O313" s="1" t="s">
        <v>1297</v>
      </c>
      <c r="P313" s="1" t="n">
        <f aca="false">IF(A313=O313, 1, 0)</f>
        <v>0</v>
      </c>
    </row>
    <row r="314" customFormat="false" ht="15" hidden="false" customHeight="false" outlineLevel="0" collapsed="false">
      <c r="A314" s="1" t="s">
        <v>1298</v>
      </c>
      <c r="B314" s="1" t="n">
        <v>1920</v>
      </c>
      <c r="C314" s="1" t="s">
        <v>1299</v>
      </c>
      <c r="D314" s="5" t="n">
        <v>10000000</v>
      </c>
      <c r="E314" s="1" t="s">
        <v>1300</v>
      </c>
      <c r="F314" s="1" t="s">
        <v>1271</v>
      </c>
      <c r="G314" s="1" t="n">
        <v>-116.419389</v>
      </c>
      <c r="H314" s="1" t="n">
        <v>38.8026097</v>
      </c>
      <c r="I314" s="1" t="s">
        <v>1180</v>
      </c>
      <c r="J314" s="1" t="s">
        <v>1301</v>
      </c>
      <c r="K314" s="1" t="s">
        <v>20</v>
      </c>
      <c r="L314" s="1" t="s">
        <v>1175</v>
      </c>
      <c r="M314" s="1" t="s">
        <v>22</v>
      </c>
      <c r="N314" s="1" t="s">
        <v>23</v>
      </c>
      <c r="O314" s="1" t="s">
        <v>1302</v>
      </c>
      <c r="P314" s="1" t="n">
        <f aca="false">IF(A314=O314, 1, 0)</f>
        <v>0</v>
      </c>
    </row>
    <row r="315" customFormat="false" ht="15" hidden="false" customHeight="false" outlineLevel="0" collapsed="false">
      <c r="A315" s="1" t="s">
        <v>1303</v>
      </c>
      <c r="B315" s="1" t="n">
        <v>1920</v>
      </c>
      <c r="C315" s="1" t="s">
        <v>1304</v>
      </c>
      <c r="D315" s="5" t="n">
        <v>1000000</v>
      </c>
      <c r="E315" s="1" t="s">
        <v>1305</v>
      </c>
      <c r="F315" s="1" t="s">
        <v>1271</v>
      </c>
      <c r="G315" s="1" t="n">
        <v>-116.419389</v>
      </c>
      <c r="H315" s="1" t="n">
        <v>38.8026097</v>
      </c>
      <c r="I315" s="1" t="s">
        <v>1180</v>
      </c>
      <c r="J315" s="1" t="s">
        <v>1306</v>
      </c>
      <c r="K315" s="1" t="s">
        <v>20</v>
      </c>
      <c r="L315" s="1" t="s">
        <v>1175</v>
      </c>
      <c r="M315" s="1" t="s">
        <v>22</v>
      </c>
      <c r="N315" s="1" t="s">
        <v>23</v>
      </c>
      <c r="O315" s="1" t="s">
        <v>1307</v>
      </c>
      <c r="P315" s="1" t="n">
        <f aca="false">IF(A315=O315, 1, 0)</f>
        <v>0</v>
      </c>
    </row>
    <row r="316" customFormat="false" ht="15" hidden="false" customHeight="false" outlineLevel="0" collapsed="false">
      <c r="A316" s="1" t="s">
        <v>1308</v>
      </c>
      <c r="B316" s="1" t="n">
        <v>1920</v>
      </c>
      <c r="C316" s="1" t="s">
        <v>1309</v>
      </c>
      <c r="D316" s="5" t="n">
        <v>115000000</v>
      </c>
      <c r="E316" s="1" t="s">
        <v>1310</v>
      </c>
      <c r="F316" s="1" t="s">
        <v>1311</v>
      </c>
      <c r="G316" s="1" t="n">
        <v>-97.7430608</v>
      </c>
      <c r="H316" s="1" t="n">
        <v>30.267153</v>
      </c>
      <c r="I316" s="1" t="s">
        <v>1204</v>
      </c>
      <c r="J316" s="1" t="s">
        <v>1312</v>
      </c>
      <c r="K316" s="1" t="s">
        <v>20</v>
      </c>
      <c r="L316" s="1" t="s">
        <v>1175</v>
      </c>
      <c r="M316" s="1" t="s">
        <v>22</v>
      </c>
      <c r="N316" s="1" t="s">
        <v>23</v>
      </c>
      <c r="O316" s="1" t="s">
        <v>1313</v>
      </c>
      <c r="P316" s="1" t="n">
        <f aca="false">IF(A316=O316, 1, 0)</f>
        <v>0</v>
      </c>
    </row>
    <row r="317" customFormat="false" ht="15" hidden="false" customHeight="false" outlineLevel="0" collapsed="false">
      <c r="A317" s="1" t="s">
        <v>1314</v>
      </c>
      <c r="B317" s="1" t="n">
        <v>1920</v>
      </c>
      <c r="C317" s="1" t="s">
        <v>1315</v>
      </c>
      <c r="D317" s="5" t="n">
        <v>4000000</v>
      </c>
      <c r="E317" s="1" t="s">
        <v>1316</v>
      </c>
      <c r="F317" s="1" t="s">
        <v>1186</v>
      </c>
      <c r="G317" s="1" t="n">
        <v>-74.0059728</v>
      </c>
      <c r="H317" s="1" t="n">
        <v>40.7127753</v>
      </c>
      <c r="I317" s="1" t="s">
        <v>1198</v>
      </c>
      <c r="J317" s="1" t="s">
        <v>1317</v>
      </c>
      <c r="K317" s="1" t="s">
        <v>46</v>
      </c>
      <c r="L317" s="1" t="s">
        <v>1175</v>
      </c>
      <c r="M317" s="1" t="s">
        <v>30</v>
      </c>
      <c r="N317" s="2" t="s">
        <v>31</v>
      </c>
      <c r="O317" s="1" t="s">
        <v>1318</v>
      </c>
      <c r="P317" s="1" t="n">
        <f aca="false">IF(A317=O317, 1, 0)</f>
        <v>0</v>
      </c>
    </row>
    <row r="318" customFormat="false" ht="15" hidden="false" customHeight="false" outlineLevel="0" collapsed="false">
      <c r="A318" s="1" t="s">
        <v>1319</v>
      </c>
      <c r="B318" s="1" t="n">
        <v>1920</v>
      </c>
      <c r="C318" s="1" t="s">
        <v>1320</v>
      </c>
      <c r="D318" s="1" t="n">
        <v>1500000</v>
      </c>
      <c r="E318" s="1" t="s">
        <v>1321</v>
      </c>
      <c r="F318" s="1" t="s">
        <v>1322</v>
      </c>
      <c r="G318" s="1" t="n">
        <v>-105.8700901</v>
      </c>
      <c r="H318" s="1" t="n">
        <v>34.5199402</v>
      </c>
      <c r="I318" s="1" t="s">
        <v>1260</v>
      </c>
      <c r="J318" s="1" t="s">
        <v>1323</v>
      </c>
      <c r="K318" s="1" t="s">
        <v>20</v>
      </c>
      <c r="L318" s="1" t="s">
        <v>1175</v>
      </c>
      <c r="M318" s="1" t="s">
        <v>1102</v>
      </c>
      <c r="N318" s="1" t="s">
        <v>1324</v>
      </c>
      <c r="O318" s="1" t="s">
        <v>1325</v>
      </c>
      <c r="P318" s="1" t="n">
        <f aca="false">IF(A318=O318, 1, 0)</f>
        <v>0</v>
      </c>
    </row>
    <row r="319" customFormat="false" ht="15" hidden="false" customHeight="false" outlineLevel="0" collapsed="false">
      <c r="A319" s="1" t="s">
        <v>1326</v>
      </c>
      <c r="B319" s="1" t="n">
        <v>1920</v>
      </c>
      <c r="C319" s="1" t="s">
        <v>1327</v>
      </c>
      <c r="D319" s="5" t="n">
        <v>7000000</v>
      </c>
      <c r="E319" s="1" t="s">
        <v>1328</v>
      </c>
      <c r="F319" s="1" t="s">
        <v>1329</v>
      </c>
      <c r="G319" s="1" t="n">
        <v>-96.8064507</v>
      </c>
      <c r="H319" s="1" t="n">
        <v>32.7787249</v>
      </c>
      <c r="I319" s="1" t="s">
        <v>1198</v>
      </c>
      <c r="J319" s="1" t="s">
        <v>1330</v>
      </c>
      <c r="K319" s="1" t="s">
        <v>20</v>
      </c>
      <c r="L319" s="1" t="s">
        <v>1175</v>
      </c>
      <c r="M319" s="1" t="s">
        <v>30</v>
      </c>
      <c r="N319" s="1" t="s">
        <v>53</v>
      </c>
      <c r="O319" s="1" t="s">
        <v>1331</v>
      </c>
      <c r="P319" s="1" t="n">
        <f aca="false">IF(A319=O319, 1, 0)</f>
        <v>0</v>
      </c>
    </row>
    <row r="320" customFormat="false" ht="15" hidden="false" customHeight="false" outlineLevel="0" collapsed="false">
      <c r="A320" s="1" t="s">
        <v>1332</v>
      </c>
      <c r="B320" s="1" t="n">
        <v>1920</v>
      </c>
      <c r="C320" s="1" t="s">
        <v>1333</v>
      </c>
      <c r="D320" s="5" t="n">
        <v>1000000</v>
      </c>
      <c r="E320" s="1" t="s">
        <v>1334</v>
      </c>
      <c r="F320" s="1" t="s">
        <v>46</v>
      </c>
      <c r="G320" s="1" t="s">
        <v>46</v>
      </c>
      <c r="H320" s="1" t="s">
        <v>46</v>
      </c>
      <c r="I320" s="1" t="s">
        <v>1335</v>
      </c>
      <c r="J320" s="1" t="s">
        <v>1336</v>
      </c>
      <c r="K320" s="1" t="s">
        <v>46</v>
      </c>
      <c r="L320" s="1" t="s">
        <v>1175</v>
      </c>
      <c r="M320" s="1" t="s">
        <v>98</v>
      </c>
      <c r="N320" s="2" t="s">
        <v>47</v>
      </c>
      <c r="O320" s="1" t="s">
        <v>1337</v>
      </c>
      <c r="P320" s="1" t="n">
        <f aca="false">IF(A320=O320, 1, 0)</f>
        <v>0</v>
      </c>
    </row>
    <row r="321" customFormat="false" ht="15" hidden="false" customHeight="false" outlineLevel="0" collapsed="false">
      <c r="A321" s="1" t="s">
        <v>1338</v>
      </c>
      <c r="B321" s="1" t="n">
        <v>1920</v>
      </c>
      <c r="C321" s="1" t="s">
        <v>1339</v>
      </c>
      <c r="D321" s="1" t="n">
        <v>375000</v>
      </c>
      <c r="E321" s="1" t="s">
        <v>1340</v>
      </c>
      <c r="F321" s="1" t="s">
        <v>46</v>
      </c>
      <c r="G321" s="1" t="s">
        <v>46</v>
      </c>
      <c r="H321" s="1" t="s">
        <v>46</v>
      </c>
      <c r="I321" s="1" t="s">
        <v>1260</v>
      </c>
      <c r="J321" s="1" t="s">
        <v>1341</v>
      </c>
      <c r="K321" s="1" t="s">
        <v>46</v>
      </c>
      <c r="L321" s="1" t="s">
        <v>1175</v>
      </c>
      <c r="M321" s="1" t="s">
        <v>30</v>
      </c>
      <c r="N321" s="1" t="s">
        <v>53</v>
      </c>
      <c r="O321" s="1" t="s">
        <v>1342</v>
      </c>
      <c r="P321" s="1" t="n">
        <f aca="false">IF(A321=O321, 1, 0)</f>
        <v>0</v>
      </c>
    </row>
    <row r="322" customFormat="false" ht="15" hidden="false" customHeight="false" outlineLevel="0" collapsed="false">
      <c r="A322" s="1" t="s">
        <v>1343</v>
      </c>
      <c r="B322" s="1" t="n">
        <v>1920</v>
      </c>
      <c r="C322" s="1" t="s">
        <v>1344</v>
      </c>
      <c r="D322" s="5" t="n">
        <v>100000</v>
      </c>
      <c r="E322" s="1" t="s">
        <v>1345</v>
      </c>
      <c r="F322" s="1" t="s">
        <v>46</v>
      </c>
      <c r="G322" s="1" t="s">
        <v>46</v>
      </c>
      <c r="H322" s="1" t="s">
        <v>46</v>
      </c>
      <c r="I322" s="1" t="s">
        <v>1204</v>
      </c>
      <c r="J322" s="1" t="s">
        <v>1346</v>
      </c>
      <c r="K322" s="1" t="s">
        <v>46</v>
      </c>
      <c r="L322" s="1" t="s">
        <v>1175</v>
      </c>
      <c r="M322" s="1" t="s">
        <v>30</v>
      </c>
      <c r="N322" s="1" t="s">
        <v>53</v>
      </c>
      <c r="O322" s="1" t="s">
        <v>1347</v>
      </c>
      <c r="P322" s="1" t="n">
        <f aca="false">IF(A322=O322, 1, 0)</f>
        <v>0</v>
      </c>
    </row>
    <row r="323" customFormat="false" ht="15" hidden="false" customHeight="false" outlineLevel="0" collapsed="false">
      <c r="A323" s="1" t="s">
        <v>1348</v>
      </c>
      <c r="B323" s="1" t="n">
        <v>1920</v>
      </c>
      <c r="C323" s="1" t="s">
        <v>1222</v>
      </c>
      <c r="D323" s="5" t="n">
        <v>1000000</v>
      </c>
      <c r="E323" s="1" t="s">
        <v>1349</v>
      </c>
      <c r="F323" s="1" t="s">
        <v>1350</v>
      </c>
      <c r="G323" s="1" t="n">
        <v>-127.6476205</v>
      </c>
      <c r="H323" s="1" t="n">
        <v>53.7266683</v>
      </c>
      <c r="I323" s="1" t="s">
        <v>1180</v>
      </c>
      <c r="J323" s="1" t="s">
        <v>1224</v>
      </c>
      <c r="K323" s="1" t="s">
        <v>57</v>
      </c>
      <c r="L323" s="1" t="s">
        <v>1175</v>
      </c>
      <c r="M323" s="1" t="s">
        <v>98</v>
      </c>
      <c r="N323" s="1" t="s">
        <v>39</v>
      </c>
      <c r="O323" s="1" t="s">
        <v>1225</v>
      </c>
      <c r="P323" s="1" t="n">
        <f aca="false">IF(A323=O323, 1, 0)</f>
        <v>0</v>
      </c>
    </row>
    <row r="324" customFormat="false" ht="15" hidden="false" customHeight="false" outlineLevel="0" collapsed="false">
      <c r="A324" s="1" t="s">
        <v>1351</v>
      </c>
      <c r="B324" s="1" t="n">
        <v>1920</v>
      </c>
      <c r="C324" s="1" t="s">
        <v>1352</v>
      </c>
      <c r="D324" s="5" t="n">
        <v>3000000000</v>
      </c>
      <c r="E324" s="1" t="s">
        <v>1353</v>
      </c>
      <c r="F324" s="1" t="s">
        <v>1354</v>
      </c>
      <c r="G324" s="1" t="n">
        <v>-85.323214</v>
      </c>
      <c r="H324" s="1" t="n">
        <v>51.253775</v>
      </c>
      <c r="I324" s="1" t="s">
        <v>1204</v>
      </c>
      <c r="J324" s="2" t="s">
        <v>1355</v>
      </c>
      <c r="K324" s="1" t="s">
        <v>57</v>
      </c>
      <c r="L324" s="1" t="s">
        <v>1175</v>
      </c>
      <c r="M324" s="1" t="s">
        <v>30</v>
      </c>
      <c r="N324" s="2" t="s">
        <v>31</v>
      </c>
      <c r="O324" s="1" t="s">
        <v>1356</v>
      </c>
      <c r="P324" s="1" t="n">
        <f aca="false">IF(A324=O324, 1, 0)</f>
        <v>0</v>
      </c>
    </row>
    <row r="325" customFormat="false" ht="15" hidden="false" customHeight="false" outlineLevel="0" collapsed="false">
      <c r="A325" s="1" t="s">
        <v>1357</v>
      </c>
      <c r="B325" s="1" t="n">
        <v>1920</v>
      </c>
      <c r="C325" s="1" t="s">
        <v>1358</v>
      </c>
      <c r="D325" s="5" t="n">
        <v>2000000</v>
      </c>
      <c r="E325" s="1" t="s">
        <v>1359</v>
      </c>
      <c r="F325" s="1" t="s">
        <v>1186</v>
      </c>
      <c r="G325" s="1" t="n">
        <v>-74.0059728</v>
      </c>
      <c r="H325" s="1" t="n">
        <v>40.7127753</v>
      </c>
      <c r="I325" s="1" t="s">
        <v>1260</v>
      </c>
      <c r="J325" s="1" t="s">
        <v>1360</v>
      </c>
      <c r="K325" s="1" t="s">
        <v>46</v>
      </c>
      <c r="L325" s="1" t="s">
        <v>1175</v>
      </c>
      <c r="M325" s="1" t="s">
        <v>143</v>
      </c>
      <c r="N325" s="1" t="s">
        <v>39</v>
      </c>
      <c r="O325" s="1" t="s">
        <v>1361</v>
      </c>
      <c r="P325" s="1" t="n">
        <f aca="false">IF(A325=O325, 1, 0)</f>
        <v>0</v>
      </c>
    </row>
    <row r="326" customFormat="false" ht="15" hidden="false" customHeight="false" outlineLevel="0" collapsed="false">
      <c r="A326" s="1" t="s">
        <v>1362</v>
      </c>
      <c r="B326" s="1" t="n">
        <v>1920</v>
      </c>
      <c r="C326" s="1" t="s">
        <v>1363</v>
      </c>
      <c r="D326" s="5" t="n">
        <v>3000000</v>
      </c>
      <c r="E326" s="1" t="s">
        <v>1364</v>
      </c>
      <c r="F326" s="1" t="s">
        <v>1365</v>
      </c>
      <c r="G326" s="1" t="n">
        <v>-87.6297982</v>
      </c>
      <c r="H326" s="1" t="n">
        <v>41.8781136</v>
      </c>
      <c r="I326" s="1" t="s">
        <v>1260</v>
      </c>
      <c r="J326" s="1" t="s">
        <v>1366</v>
      </c>
      <c r="K326" s="1" t="s">
        <v>20</v>
      </c>
      <c r="L326" s="1" t="s">
        <v>1175</v>
      </c>
      <c r="M326" s="1" t="s">
        <v>46</v>
      </c>
      <c r="N326" s="2" t="s">
        <v>47</v>
      </c>
      <c r="O326" s="1" t="s">
        <v>1367</v>
      </c>
      <c r="P326" s="1" t="n">
        <f aca="false">IF(A326=O326, 1, 0)</f>
        <v>0</v>
      </c>
    </row>
    <row r="327" customFormat="false" ht="15" hidden="false" customHeight="false" outlineLevel="0" collapsed="false">
      <c r="A327" s="1" t="s">
        <v>1368</v>
      </c>
      <c r="B327" s="1" t="n">
        <v>1922</v>
      </c>
      <c r="C327" s="1" t="s">
        <v>1369</v>
      </c>
      <c r="D327" s="5" t="n">
        <v>10000000</v>
      </c>
      <c r="E327" s="1" t="s">
        <v>1370</v>
      </c>
      <c r="F327" s="1" t="s">
        <v>1255</v>
      </c>
      <c r="G327" s="1" t="n">
        <v>-111.0937311</v>
      </c>
      <c r="H327" s="1" t="n">
        <v>34.0489281</v>
      </c>
      <c r="I327" s="1" t="s">
        <v>1371</v>
      </c>
      <c r="J327" s="1" t="s">
        <v>1372</v>
      </c>
      <c r="K327" s="1" t="s">
        <v>20</v>
      </c>
      <c r="L327" s="1" t="s">
        <v>1175</v>
      </c>
      <c r="M327" s="1" t="s">
        <v>22</v>
      </c>
      <c r="N327" s="2" t="s">
        <v>121</v>
      </c>
      <c r="O327" s="1" t="s">
        <v>1373</v>
      </c>
      <c r="P327" s="1" t="n">
        <f aca="false">IF(A327=O327, 1, 0)</f>
        <v>0</v>
      </c>
    </row>
    <row r="328" customFormat="false" ht="15" hidden="false" customHeight="false" outlineLevel="0" collapsed="false">
      <c r="A328" s="1" t="s">
        <v>1374</v>
      </c>
      <c r="B328" s="1" t="n">
        <v>1922</v>
      </c>
      <c r="C328" s="1" t="s">
        <v>1375</v>
      </c>
      <c r="D328" s="5" t="n">
        <v>2000000</v>
      </c>
      <c r="E328" s="1" t="s">
        <v>1376</v>
      </c>
      <c r="F328" s="1" t="s">
        <v>1377</v>
      </c>
      <c r="G328" s="1" t="n">
        <v>-99.9018131</v>
      </c>
      <c r="H328" s="1" t="n">
        <v>31.9685988</v>
      </c>
      <c r="I328" s="1" t="s">
        <v>1204</v>
      </c>
      <c r="J328" s="1" t="s">
        <v>1378</v>
      </c>
      <c r="K328" s="1" t="s">
        <v>20</v>
      </c>
      <c r="L328" s="1" t="s">
        <v>1175</v>
      </c>
      <c r="M328" s="1" t="s">
        <v>98</v>
      </c>
      <c r="N328" s="1" t="s">
        <v>23</v>
      </c>
      <c r="O328" s="1" t="s">
        <v>1379</v>
      </c>
      <c r="P328" s="1" t="n">
        <f aca="false">IF(A328=O328, 1, 0)</f>
        <v>0</v>
      </c>
    </row>
    <row r="329" customFormat="false" ht="15" hidden="false" customHeight="false" outlineLevel="0" collapsed="false">
      <c r="A329" s="1" t="s">
        <v>1380</v>
      </c>
      <c r="B329" s="1" t="n">
        <v>1922</v>
      </c>
      <c r="C329" s="1" t="s">
        <v>1381</v>
      </c>
      <c r="D329" s="1" t="n">
        <v>1500000</v>
      </c>
      <c r="E329" s="1" t="s">
        <v>1382</v>
      </c>
      <c r="F329" s="1" t="s">
        <v>1383</v>
      </c>
      <c r="G329" s="1" t="n">
        <v>-112.1137716</v>
      </c>
      <c r="H329" s="1" t="n">
        <v>34.7489107</v>
      </c>
      <c r="I329" s="1" t="s">
        <v>1180</v>
      </c>
      <c r="J329" s="1" t="s">
        <v>1384</v>
      </c>
      <c r="K329" s="1" t="s">
        <v>20</v>
      </c>
      <c r="L329" s="1" t="s">
        <v>1175</v>
      </c>
      <c r="M329" s="1" t="s">
        <v>30</v>
      </c>
      <c r="N329" s="1" t="s">
        <v>53</v>
      </c>
      <c r="O329" s="1" t="s">
        <v>1385</v>
      </c>
      <c r="P329" s="1" t="n">
        <f aca="false">IF(A329=O329, 1, 0)</f>
        <v>0</v>
      </c>
    </row>
    <row r="330" customFormat="false" ht="15" hidden="false" customHeight="false" outlineLevel="0" collapsed="false">
      <c r="A330" s="1" t="s">
        <v>1386</v>
      </c>
      <c r="B330" s="1" t="n">
        <v>1922</v>
      </c>
      <c r="C330" s="1" t="s">
        <v>1387</v>
      </c>
      <c r="D330" s="1" t="n">
        <v>750000</v>
      </c>
      <c r="E330" s="1" t="s">
        <v>1388</v>
      </c>
      <c r="F330" s="1" t="s">
        <v>1383</v>
      </c>
      <c r="G330" s="1" t="n">
        <v>-112.1137716</v>
      </c>
      <c r="H330" s="1" t="n">
        <v>34.7489107</v>
      </c>
      <c r="I330" s="1" t="s">
        <v>1204</v>
      </c>
      <c r="J330" s="1" t="s">
        <v>1389</v>
      </c>
      <c r="K330" s="1" t="s">
        <v>20</v>
      </c>
      <c r="L330" s="1" t="s">
        <v>1175</v>
      </c>
      <c r="M330" s="1" t="s">
        <v>30</v>
      </c>
      <c r="N330" s="1" t="s">
        <v>53</v>
      </c>
      <c r="O330" s="1" t="s">
        <v>1390</v>
      </c>
      <c r="P330" s="1" t="n">
        <f aca="false">IF(A330=O330, 1, 0)</f>
        <v>0</v>
      </c>
    </row>
    <row r="331" customFormat="false" ht="15" hidden="false" customHeight="false" outlineLevel="0" collapsed="false">
      <c r="A331" s="1" t="s">
        <v>1391</v>
      </c>
      <c r="B331" s="1" t="n">
        <v>1922</v>
      </c>
      <c r="C331" s="1" t="s">
        <v>1392</v>
      </c>
      <c r="D331" s="1" t="n">
        <v>1500000</v>
      </c>
      <c r="E331" s="1" t="s">
        <v>1393</v>
      </c>
      <c r="F331" s="1" t="s">
        <v>1394</v>
      </c>
      <c r="G331" s="1" t="n">
        <v>-114.3835698</v>
      </c>
      <c r="H331" s="1" t="n">
        <v>35.0263915</v>
      </c>
      <c r="I331" s="1" t="s">
        <v>1371</v>
      </c>
      <c r="J331" s="1" t="s">
        <v>1395</v>
      </c>
      <c r="K331" s="1" t="s">
        <v>20</v>
      </c>
      <c r="L331" s="1" t="s">
        <v>1175</v>
      </c>
      <c r="M331" s="1" t="s">
        <v>293</v>
      </c>
      <c r="N331" s="1" t="s">
        <v>39</v>
      </c>
      <c r="O331" s="1" t="s">
        <v>1396</v>
      </c>
      <c r="P331" s="1" t="n">
        <f aca="false">IF(A331=O331, 1, 0)</f>
        <v>0</v>
      </c>
    </row>
    <row r="332" customFormat="false" ht="15" hidden="false" customHeight="false" outlineLevel="0" collapsed="false">
      <c r="A332" s="1" t="s">
        <v>1397</v>
      </c>
      <c r="B332" s="1" t="n">
        <v>1922</v>
      </c>
      <c r="C332" s="1" t="s">
        <v>1398</v>
      </c>
      <c r="D332" s="1" t="n">
        <v>30000</v>
      </c>
      <c r="E332" s="1" t="s">
        <v>1399</v>
      </c>
      <c r="F332" s="1" t="s">
        <v>1400</v>
      </c>
      <c r="G332" s="1" t="n">
        <v>-119.4179324</v>
      </c>
      <c r="H332" s="1" t="n">
        <v>36.778261</v>
      </c>
      <c r="I332" s="1" t="s">
        <v>1180</v>
      </c>
      <c r="J332" s="1" t="s">
        <v>1401</v>
      </c>
      <c r="K332" s="1" t="s">
        <v>20</v>
      </c>
      <c r="L332" s="1" t="s">
        <v>1175</v>
      </c>
      <c r="M332" s="1" t="s">
        <v>30</v>
      </c>
      <c r="N332" s="1" t="s">
        <v>53</v>
      </c>
      <c r="O332" s="1" t="s">
        <v>1402</v>
      </c>
      <c r="P332" s="1" t="n">
        <f aca="false">IF(A332=O332, 1, 0)</f>
        <v>0</v>
      </c>
    </row>
    <row r="333" customFormat="false" ht="15" hidden="false" customHeight="false" outlineLevel="0" collapsed="false">
      <c r="A333" s="1" t="s">
        <v>1403</v>
      </c>
      <c r="B333" s="1" t="n">
        <v>1922</v>
      </c>
      <c r="C333" s="1" t="s">
        <v>1404</v>
      </c>
      <c r="D333" s="5" t="n">
        <v>2000000</v>
      </c>
      <c r="E333" s="1" t="s">
        <v>1405</v>
      </c>
      <c r="F333" s="1" t="s">
        <v>1406</v>
      </c>
      <c r="G333" s="1" t="n">
        <v>-95.5828336</v>
      </c>
      <c r="H333" s="1" t="n">
        <v>37.0929586</v>
      </c>
      <c r="I333" s="1" t="s">
        <v>1204</v>
      </c>
      <c r="J333" s="1" t="s">
        <v>1407</v>
      </c>
      <c r="K333" s="1" t="s">
        <v>20</v>
      </c>
      <c r="L333" s="1" t="s">
        <v>1175</v>
      </c>
      <c r="M333" s="1" t="s">
        <v>30</v>
      </c>
      <c r="N333" s="2" t="s">
        <v>31</v>
      </c>
      <c r="O333" s="1" t="s">
        <v>1408</v>
      </c>
      <c r="P333" s="1" t="n">
        <f aca="false">IF(A333=O333, 1, 0)</f>
        <v>0</v>
      </c>
    </row>
    <row r="334" customFormat="false" ht="15" hidden="false" customHeight="false" outlineLevel="0" collapsed="false">
      <c r="A334" s="1" t="s">
        <v>1409</v>
      </c>
      <c r="B334" s="1" t="n">
        <v>1922</v>
      </c>
      <c r="C334" s="1" t="s">
        <v>1410</v>
      </c>
      <c r="D334" s="5" t="n">
        <v>600000</v>
      </c>
      <c r="E334" s="1" t="s">
        <v>1411</v>
      </c>
      <c r="F334" s="1" t="s">
        <v>46</v>
      </c>
      <c r="G334" s="1" t="s">
        <v>46</v>
      </c>
      <c r="H334" s="1" t="s">
        <v>46</v>
      </c>
      <c r="I334" s="1" t="s">
        <v>1260</v>
      </c>
      <c r="J334" s="2" t="s">
        <v>1412</v>
      </c>
      <c r="K334" s="1" t="s">
        <v>46</v>
      </c>
      <c r="L334" s="1" t="s">
        <v>1175</v>
      </c>
      <c r="M334" s="1" t="s">
        <v>30</v>
      </c>
      <c r="N334" s="1" t="s">
        <v>53</v>
      </c>
      <c r="O334" s="1" t="s">
        <v>1413</v>
      </c>
      <c r="P334" s="1" t="n">
        <f aca="false">IF(A334=O334, 1, 0)</f>
        <v>0</v>
      </c>
    </row>
    <row r="335" customFormat="false" ht="15" hidden="false" customHeight="false" outlineLevel="0" collapsed="false">
      <c r="A335" s="1" t="s">
        <v>1414</v>
      </c>
      <c r="B335" s="1" t="n">
        <v>1922</v>
      </c>
      <c r="C335" s="1" t="s">
        <v>1415</v>
      </c>
      <c r="D335" s="5" t="n">
        <v>100000</v>
      </c>
      <c r="E335" s="1" t="s">
        <v>1416</v>
      </c>
      <c r="F335" s="1" t="s">
        <v>1400</v>
      </c>
      <c r="G335" s="1" t="n">
        <v>-119.4179324</v>
      </c>
      <c r="H335" s="1" t="n">
        <v>36.778261</v>
      </c>
      <c r="I335" s="1" t="s">
        <v>1180</v>
      </c>
      <c r="J335" s="1" t="s">
        <v>1417</v>
      </c>
      <c r="K335" s="1" t="s">
        <v>20</v>
      </c>
      <c r="L335" s="1" t="s">
        <v>1175</v>
      </c>
      <c r="M335" s="1" t="s">
        <v>30</v>
      </c>
      <c r="N335" s="1" t="s">
        <v>53</v>
      </c>
      <c r="O335" s="1" t="s">
        <v>1418</v>
      </c>
      <c r="P335" s="1" t="n">
        <f aca="false">IF(A335=O335, 1, 0)</f>
        <v>0</v>
      </c>
    </row>
    <row r="336" customFormat="false" ht="15" hidden="false" customHeight="false" outlineLevel="0" collapsed="false">
      <c r="A336" s="1" t="s">
        <v>1419</v>
      </c>
      <c r="B336" s="1" t="n">
        <v>1922</v>
      </c>
      <c r="C336" s="1" t="s">
        <v>1420</v>
      </c>
      <c r="D336" s="1" t="n">
        <v>250000</v>
      </c>
      <c r="E336" s="1" t="s">
        <v>1421</v>
      </c>
      <c r="F336" s="1" t="s">
        <v>46</v>
      </c>
      <c r="G336" s="1" t="s">
        <v>46</v>
      </c>
      <c r="H336" s="1" t="s">
        <v>46</v>
      </c>
      <c r="I336" s="1" t="s">
        <v>1204</v>
      </c>
      <c r="J336" s="1" t="s">
        <v>1422</v>
      </c>
      <c r="K336" s="1" t="s">
        <v>46</v>
      </c>
      <c r="L336" s="1" t="s">
        <v>1175</v>
      </c>
      <c r="M336" s="1" t="s">
        <v>22</v>
      </c>
      <c r="N336" s="2" t="s">
        <v>121</v>
      </c>
      <c r="O336" s="1" t="s">
        <v>1423</v>
      </c>
      <c r="P336" s="1" t="n">
        <f aca="false">IF(A336=O336, 1, 0)</f>
        <v>0</v>
      </c>
    </row>
    <row r="337" customFormat="false" ht="15" hidden="false" customHeight="false" outlineLevel="0" collapsed="false">
      <c r="A337" s="1" t="s">
        <v>1424</v>
      </c>
      <c r="B337" s="1" t="n">
        <v>1922</v>
      </c>
      <c r="C337" s="1" t="s">
        <v>1425</v>
      </c>
      <c r="D337" s="5" t="n">
        <v>100000</v>
      </c>
      <c r="E337" s="1" t="s">
        <v>1426</v>
      </c>
      <c r="F337" s="1" t="s">
        <v>1295</v>
      </c>
      <c r="G337" s="1" t="n">
        <v>-122.4194155</v>
      </c>
      <c r="H337" s="1" t="n">
        <v>37.7749295</v>
      </c>
      <c r="I337" s="1" t="s">
        <v>1204</v>
      </c>
      <c r="J337" s="1" t="s">
        <v>1427</v>
      </c>
      <c r="K337" s="1" t="s">
        <v>20</v>
      </c>
      <c r="L337" s="1" t="s">
        <v>1175</v>
      </c>
      <c r="M337" s="1" t="s">
        <v>30</v>
      </c>
      <c r="N337" s="1" t="s">
        <v>53</v>
      </c>
      <c r="O337" s="1" t="s">
        <v>1428</v>
      </c>
      <c r="P337" s="1" t="n">
        <f aca="false">IF(A337=O337, 1, 0)</f>
        <v>0</v>
      </c>
    </row>
    <row r="338" customFormat="false" ht="15" hidden="false" customHeight="false" outlineLevel="0" collapsed="false">
      <c r="A338" s="1" t="s">
        <v>1429</v>
      </c>
      <c r="B338" s="1" t="n">
        <v>1922</v>
      </c>
      <c r="C338" s="1" t="s">
        <v>1430</v>
      </c>
      <c r="D338" s="5" t="n">
        <v>2000000</v>
      </c>
      <c r="E338" s="1" t="s">
        <v>1431</v>
      </c>
      <c r="F338" s="1" t="s">
        <v>46</v>
      </c>
      <c r="G338" s="1" t="s">
        <v>46</v>
      </c>
      <c r="H338" s="1" t="s">
        <v>46</v>
      </c>
      <c r="I338" s="1" t="s">
        <v>1204</v>
      </c>
      <c r="J338" s="1" t="s">
        <v>1432</v>
      </c>
      <c r="K338" s="1" t="s">
        <v>46</v>
      </c>
      <c r="L338" s="1" t="s">
        <v>1175</v>
      </c>
      <c r="M338" s="1" t="s">
        <v>30</v>
      </c>
      <c r="N338" s="1" t="s">
        <v>53</v>
      </c>
      <c r="O338" s="1" t="s">
        <v>1433</v>
      </c>
      <c r="P338" s="1" t="n">
        <f aca="false">IF(A338=O338, 1, 0)</f>
        <v>0</v>
      </c>
    </row>
    <row r="339" customFormat="false" ht="15" hidden="false" customHeight="false" outlineLevel="0" collapsed="false">
      <c r="A339" s="1" t="s">
        <v>1434</v>
      </c>
      <c r="B339" s="1" t="n">
        <v>1922</v>
      </c>
      <c r="C339" s="1" t="s">
        <v>1435</v>
      </c>
      <c r="D339" s="5" t="n">
        <v>100000</v>
      </c>
      <c r="E339" s="1" t="s">
        <v>1436</v>
      </c>
      <c r="F339" s="1" t="s">
        <v>1283</v>
      </c>
      <c r="G339" s="1" t="n">
        <v>-105.7820674</v>
      </c>
      <c r="H339" s="1" t="n">
        <v>39.5500507</v>
      </c>
      <c r="I339" s="1" t="s">
        <v>1198</v>
      </c>
      <c r="J339" s="1" t="s">
        <v>1437</v>
      </c>
      <c r="K339" s="1" t="s">
        <v>20</v>
      </c>
      <c r="L339" s="1" t="s">
        <v>1175</v>
      </c>
      <c r="M339" s="1" t="s">
        <v>30</v>
      </c>
      <c r="N339" s="1" t="s">
        <v>53</v>
      </c>
      <c r="O339" s="1" t="s">
        <v>1438</v>
      </c>
      <c r="P339" s="1" t="n">
        <f aca="false">IF(A339=O339, 1, 0)</f>
        <v>0</v>
      </c>
    </row>
    <row r="340" customFormat="false" ht="15" hidden="false" customHeight="false" outlineLevel="0" collapsed="false">
      <c r="A340" s="1" t="s">
        <v>1439</v>
      </c>
      <c r="B340" s="1" t="n">
        <v>1922</v>
      </c>
      <c r="C340" s="1" t="s">
        <v>1440</v>
      </c>
      <c r="D340" s="5" t="n">
        <v>1000000</v>
      </c>
      <c r="E340" s="1" t="s">
        <v>1441</v>
      </c>
      <c r="F340" s="1" t="s">
        <v>1365</v>
      </c>
      <c r="G340" s="1" t="n">
        <v>-87.6297982</v>
      </c>
      <c r="H340" s="1" t="n">
        <v>41.8781136</v>
      </c>
      <c r="I340" s="1" t="s">
        <v>1260</v>
      </c>
      <c r="J340" s="1" t="s">
        <v>1442</v>
      </c>
      <c r="K340" s="1" t="s">
        <v>20</v>
      </c>
      <c r="L340" s="1" t="s">
        <v>1175</v>
      </c>
      <c r="M340" s="1" t="s">
        <v>30</v>
      </c>
      <c r="N340" s="1" t="s">
        <v>53</v>
      </c>
      <c r="O340" s="1" t="s">
        <v>1443</v>
      </c>
      <c r="P340" s="1" t="n">
        <f aca="false">IF(A340=O340, 1, 0)</f>
        <v>0</v>
      </c>
    </row>
    <row r="341" customFormat="false" ht="15" hidden="false" customHeight="false" outlineLevel="0" collapsed="false">
      <c r="A341" s="1" t="s">
        <v>1444</v>
      </c>
      <c r="B341" s="1" t="n">
        <v>1922</v>
      </c>
      <c r="C341" s="1" t="s">
        <v>1445</v>
      </c>
      <c r="D341" s="5" t="n">
        <v>1000000</v>
      </c>
      <c r="E341" s="1" t="s">
        <v>1446</v>
      </c>
      <c r="F341" s="1" t="s">
        <v>1447</v>
      </c>
      <c r="G341" s="1" t="n">
        <v>-75.2207323</v>
      </c>
      <c r="H341" s="1" t="n">
        <v>40.688432</v>
      </c>
      <c r="I341" s="1" t="s">
        <v>1260</v>
      </c>
      <c r="J341" s="1" t="s">
        <v>1448</v>
      </c>
      <c r="K341" s="1" t="s">
        <v>20</v>
      </c>
      <c r="L341" s="1" t="s">
        <v>1175</v>
      </c>
      <c r="M341" s="1" t="s">
        <v>952</v>
      </c>
      <c r="N341" s="2" t="s">
        <v>47</v>
      </c>
      <c r="O341" s="1" t="s">
        <v>1449</v>
      </c>
      <c r="P341" s="1" t="n">
        <f aca="false">IF(A341=O341, 1, 0)</f>
        <v>0</v>
      </c>
    </row>
    <row r="342" customFormat="false" ht="15" hidden="false" customHeight="false" outlineLevel="0" collapsed="false">
      <c r="A342" s="1" t="s">
        <v>1450</v>
      </c>
      <c r="B342" s="1" t="n">
        <v>1922</v>
      </c>
      <c r="C342" s="1" t="s">
        <v>1451</v>
      </c>
      <c r="D342" s="1" t="n">
        <v>1500000</v>
      </c>
      <c r="E342" s="1" t="s">
        <v>1452</v>
      </c>
      <c r="F342" s="1" t="s">
        <v>1453</v>
      </c>
      <c r="G342" s="1" t="n">
        <v>-117.4260465</v>
      </c>
      <c r="H342" s="1" t="n">
        <v>47.6587802</v>
      </c>
      <c r="I342" s="1" t="s">
        <v>1260</v>
      </c>
      <c r="J342" s="1" t="s">
        <v>1454</v>
      </c>
      <c r="K342" s="1" t="s">
        <v>20</v>
      </c>
      <c r="L342" s="1" t="s">
        <v>1175</v>
      </c>
      <c r="M342" s="1" t="s">
        <v>30</v>
      </c>
      <c r="N342" s="2" t="s">
        <v>31</v>
      </c>
      <c r="O342" s="1" t="s">
        <v>1455</v>
      </c>
      <c r="P342" s="1" t="n">
        <f aca="false">IF(A342=O342, 1, 0)</f>
        <v>0</v>
      </c>
    </row>
    <row r="343" customFormat="false" ht="15" hidden="false" customHeight="false" outlineLevel="0" collapsed="false">
      <c r="A343" s="1" t="s">
        <v>1456</v>
      </c>
      <c r="B343" s="1" t="n">
        <v>1922</v>
      </c>
      <c r="C343" s="1" t="s">
        <v>1457</v>
      </c>
      <c r="D343" s="5" t="n">
        <v>100000</v>
      </c>
      <c r="E343" s="1" t="s">
        <v>1458</v>
      </c>
      <c r="F343" s="1" t="s">
        <v>1172</v>
      </c>
      <c r="G343" s="1" t="n">
        <v>-110.3625658</v>
      </c>
      <c r="H343" s="1" t="n">
        <v>46.8796822</v>
      </c>
      <c r="I343" s="1" t="s">
        <v>1459</v>
      </c>
      <c r="J343" s="1" t="s">
        <v>1460</v>
      </c>
      <c r="K343" s="1" t="s">
        <v>20</v>
      </c>
      <c r="L343" s="1" t="s">
        <v>1175</v>
      </c>
      <c r="M343" s="1" t="s">
        <v>30</v>
      </c>
      <c r="N343" s="1" t="s">
        <v>53</v>
      </c>
      <c r="O343" s="1" t="s">
        <v>1461</v>
      </c>
      <c r="P343" s="1" t="n">
        <f aca="false">IF(A343=O343, 1, 0)</f>
        <v>0</v>
      </c>
    </row>
    <row r="344" customFormat="false" ht="15" hidden="false" customHeight="false" outlineLevel="0" collapsed="false">
      <c r="A344" s="1" t="s">
        <v>1462</v>
      </c>
      <c r="B344" s="1" t="n">
        <v>1922</v>
      </c>
      <c r="C344" s="1" t="s">
        <v>1463</v>
      </c>
      <c r="D344" s="1" t="n">
        <v>150000</v>
      </c>
      <c r="E344" s="1" t="s">
        <v>1464</v>
      </c>
      <c r="F344" s="1" t="s">
        <v>1271</v>
      </c>
      <c r="G344" s="1" t="n">
        <v>-116.419389</v>
      </c>
      <c r="H344" s="1" t="n">
        <v>38.8026097</v>
      </c>
      <c r="I344" s="1" t="s">
        <v>1260</v>
      </c>
      <c r="J344" s="1" t="s">
        <v>1465</v>
      </c>
      <c r="K344" s="1" t="s">
        <v>20</v>
      </c>
      <c r="L344" s="1" t="s">
        <v>1175</v>
      </c>
      <c r="M344" s="1" t="s">
        <v>232</v>
      </c>
      <c r="N344" s="2" t="s">
        <v>47</v>
      </c>
      <c r="O344" s="1" t="s">
        <v>1466</v>
      </c>
      <c r="P344" s="1" t="n">
        <f aca="false">IF(A344=O344, 1, 0)</f>
        <v>0</v>
      </c>
    </row>
    <row r="345" customFormat="false" ht="15" hidden="false" customHeight="false" outlineLevel="0" collapsed="false">
      <c r="A345" s="1" t="s">
        <v>1467</v>
      </c>
      <c r="B345" s="1" t="n">
        <v>1922</v>
      </c>
      <c r="C345" s="1" t="s">
        <v>1299</v>
      </c>
      <c r="D345" s="5" t="n">
        <v>10000000</v>
      </c>
      <c r="E345" s="1" t="s">
        <v>1468</v>
      </c>
      <c r="F345" s="1" t="s">
        <v>1271</v>
      </c>
      <c r="G345" s="1" t="n">
        <v>-116.419389</v>
      </c>
      <c r="H345" s="1" t="n">
        <v>38.8026097</v>
      </c>
      <c r="I345" s="1" t="s">
        <v>1180</v>
      </c>
      <c r="J345" s="1" t="s">
        <v>1469</v>
      </c>
      <c r="K345" s="1" t="s">
        <v>20</v>
      </c>
      <c r="L345" s="1" t="s">
        <v>1175</v>
      </c>
      <c r="M345" s="1" t="s">
        <v>22</v>
      </c>
      <c r="N345" s="2" t="s">
        <v>121</v>
      </c>
      <c r="O345" s="1" t="s">
        <v>1470</v>
      </c>
      <c r="P345" s="1" t="n">
        <f aca="false">IF(A345=O345, 1, 0)</f>
        <v>0</v>
      </c>
    </row>
    <row r="346" customFormat="false" ht="15" hidden="false" customHeight="false" outlineLevel="0" collapsed="false">
      <c r="A346" s="1" t="s">
        <v>1471</v>
      </c>
      <c r="B346" s="1" t="n">
        <v>1922</v>
      </c>
      <c r="C346" s="1" t="s">
        <v>1472</v>
      </c>
      <c r="D346" s="5" t="n">
        <v>500000</v>
      </c>
      <c r="E346" s="1" t="s">
        <v>1473</v>
      </c>
      <c r="F346" s="1" t="s">
        <v>1474</v>
      </c>
      <c r="G346" s="1" t="n">
        <v>-108.7086649</v>
      </c>
      <c r="H346" s="1" t="n">
        <v>32.3503605</v>
      </c>
      <c r="I346" s="1" t="s">
        <v>1180</v>
      </c>
      <c r="J346" s="1" t="s">
        <v>1475</v>
      </c>
      <c r="K346" s="1" t="s">
        <v>20</v>
      </c>
      <c r="L346" s="1" t="s">
        <v>1175</v>
      </c>
      <c r="M346" s="1" t="s">
        <v>143</v>
      </c>
      <c r="N346" s="1" t="s">
        <v>39</v>
      </c>
      <c r="O346" s="1" t="s">
        <v>1476</v>
      </c>
      <c r="P346" s="1" t="n">
        <f aca="false">IF(A346=O346, 1, 0)</f>
        <v>0</v>
      </c>
    </row>
    <row r="347" customFormat="false" ht="15" hidden="false" customHeight="false" outlineLevel="0" collapsed="false">
      <c r="A347" s="1" t="s">
        <v>1477</v>
      </c>
      <c r="B347" s="1" t="n">
        <v>1922</v>
      </c>
      <c r="C347" s="1" t="s">
        <v>1478</v>
      </c>
      <c r="D347" s="5" t="n">
        <v>50000000</v>
      </c>
      <c r="E347" s="1" t="s">
        <v>1479</v>
      </c>
      <c r="F347" s="1" t="s">
        <v>1186</v>
      </c>
      <c r="G347" s="1" t="n">
        <v>-74.0059728</v>
      </c>
      <c r="H347" s="1" t="n">
        <v>40.7127753</v>
      </c>
      <c r="I347" s="1" t="s">
        <v>1260</v>
      </c>
      <c r="J347" s="1" t="s">
        <v>1480</v>
      </c>
      <c r="K347" s="1" t="s">
        <v>46</v>
      </c>
      <c r="L347" s="1" t="s">
        <v>1175</v>
      </c>
      <c r="M347" s="1" t="s">
        <v>30</v>
      </c>
      <c r="N347" s="1" t="s">
        <v>53</v>
      </c>
      <c r="O347" s="1" t="s">
        <v>1481</v>
      </c>
      <c r="P347" s="1" t="n">
        <f aca="false">IF(A347=O347, 1, 0)</f>
        <v>0</v>
      </c>
    </row>
    <row r="348" customFormat="false" ht="15" hidden="false" customHeight="false" outlineLevel="0" collapsed="false">
      <c r="A348" s="1" t="s">
        <v>1482</v>
      </c>
      <c r="B348" s="1" t="n">
        <v>1922</v>
      </c>
      <c r="C348" s="1" t="s">
        <v>1483</v>
      </c>
      <c r="D348" s="5" t="n">
        <v>100000</v>
      </c>
      <c r="E348" s="1" t="s">
        <v>1484</v>
      </c>
      <c r="F348" s="1" t="s">
        <v>46</v>
      </c>
      <c r="G348" s="1" t="s">
        <v>46</v>
      </c>
      <c r="H348" s="1" t="s">
        <v>46</v>
      </c>
      <c r="I348" s="1" t="s">
        <v>1260</v>
      </c>
      <c r="J348" s="1" t="s">
        <v>1485</v>
      </c>
      <c r="K348" s="1" t="s">
        <v>46</v>
      </c>
      <c r="L348" s="1" t="s">
        <v>1175</v>
      </c>
      <c r="M348" s="1" t="s">
        <v>30</v>
      </c>
      <c r="N348" s="1" t="s">
        <v>53</v>
      </c>
      <c r="O348" s="1" t="s">
        <v>1486</v>
      </c>
      <c r="P348" s="1" t="n">
        <f aca="false">IF(A348=O348, 1, 0)</f>
        <v>0</v>
      </c>
    </row>
    <row r="349" customFormat="false" ht="15" hidden="false" customHeight="false" outlineLevel="0" collapsed="false">
      <c r="A349" s="1" t="s">
        <v>1487</v>
      </c>
      <c r="B349" s="1" t="n">
        <v>1922</v>
      </c>
      <c r="C349" s="1" t="s">
        <v>1488</v>
      </c>
      <c r="D349" s="5" t="n">
        <v>100000</v>
      </c>
      <c r="E349" s="1" t="s">
        <v>1489</v>
      </c>
      <c r="F349" s="1" t="s">
        <v>1453</v>
      </c>
      <c r="G349" s="1" t="n">
        <v>-117.4260465</v>
      </c>
      <c r="H349" s="1" t="n">
        <v>47.6587802</v>
      </c>
      <c r="I349" s="1" t="s">
        <v>1260</v>
      </c>
      <c r="J349" s="1" t="s">
        <v>1490</v>
      </c>
      <c r="K349" s="1" t="s">
        <v>20</v>
      </c>
      <c r="L349" s="1" t="s">
        <v>1175</v>
      </c>
      <c r="M349" s="1" t="s">
        <v>30</v>
      </c>
      <c r="N349" s="1" t="s">
        <v>53</v>
      </c>
      <c r="O349" s="1" t="s">
        <v>1491</v>
      </c>
      <c r="P349" s="1" t="n">
        <f aca="false">IF(A349=O349, 1, 0)</f>
        <v>0</v>
      </c>
    </row>
    <row r="350" customFormat="false" ht="15" hidden="false" customHeight="false" outlineLevel="0" collapsed="false">
      <c r="A350" s="1" t="s">
        <v>1492</v>
      </c>
      <c r="B350" s="1" t="n">
        <v>1922</v>
      </c>
      <c r="C350" s="1" t="s">
        <v>1493</v>
      </c>
      <c r="D350" s="5" t="n">
        <v>1000000</v>
      </c>
      <c r="E350" s="1" t="s">
        <v>1494</v>
      </c>
      <c r="F350" s="1" t="s">
        <v>46</v>
      </c>
      <c r="G350" s="1" t="s">
        <v>46</v>
      </c>
      <c r="H350" s="1" t="s">
        <v>46</v>
      </c>
      <c r="I350" s="1" t="s">
        <v>1260</v>
      </c>
      <c r="J350" s="1" t="s">
        <v>1495</v>
      </c>
      <c r="K350" s="1" t="s">
        <v>46</v>
      </c>
      <c r="L350" s="1" t="s">
        <v>1175</v>
      </c>
      <c r="M350" s="1" t="s">
        <v>22</v>
      </c>
      <c r="N350" s="1" t="s">
        <v>279</v>
      </c>
      <c r="O350" s="1" t="s">
        <v>1496</v>
      </c>
      <c r="P350" s="1" t="n">
        <f aca="false">IF(A350=O350, 1, 0)</f>
        <v>0</v>
      </c>
    </row>
    <row r="351" customFormat="false" ht="15" hidden="false" customHeight="false" outlineLevel="0" collapsed="false">
      <c r="A351" s="1" t="s">
        <v>1497</v>
      </c>
      <c r="B351" s="1" t="n">
        <v>1922</v>
      </c>
      <c r="C351" s="1" t="s">
        <v>1498</v>
      </c>
      <c r="D351" s="1" t="n">
        <v>1500000</v>
      </c>
      <c r="E351" s="1" t="s">
        <v>1499</v>
      </c>
      <c r="F351" s="1" t="s">
        <v>1289</v>
      </c>
      <c r="G351" s="1" t="n">
        <v>-85.6023643</v>
      </c>
      <c r="H351" s="1" t="n">
        <v>44.3148443</v>
      </c>
      <c r="I351" s="1" t="s">
        <v>1204</v>
      </c>
      <c r="J351" s="1" t="s">
        <v>1500</v>
      </c>
      <c r="K351" s="1" t="s">
        <v>20</v>
      </c>
      <c r="L351" s="1" t="s">
        <v>1175</v>
      </c>
      <c r="M351" s="1" t="s">
        <v>30</v>
      </c>
      <c r="N351" s="1" t="s">
        <v>53</v>
      </c>
      <c r="O351" s="1" t="s">
        <v>1501</v>
      </c>
      <c r="P351" s="1" t="n">
        <f aca="false">IF(A351=O351, 1, 0)</f>
        <v>0</v>
      </c>
    </row>
    <row r="352" customFormat="false" ht="15" hidden="false" customHeight="false" outlineLevel="0" collapsed="false">
      <c r="A352" s="1" t="s">
        <v>1502</v>
      </c>
      <c r="B352" s="1" t="n">
        <v>1922</v>
      </c>
      <c r="C352" s="1" t="s">
        <v>1503</v>
      </c>
      <c r="D352" s="5" t="n">
        <v>80000000</v>
      </c>
      <c r="E352" s="1" t="s">
        <v>1504</v>
      </c>
      <c r="F352" s="1" t="s">
        <v>1505</v>
      </c>
      <c r="G352" s="1" t="n">
        <v>-92.9376887</v>
      </c>
      <c r="H352" s="1" t="n">
        <v>47.4271546</v>
      </c>
      <c r="I352" s="1" t="s">
        <v>1371</v>
      </c>
      <c r="J352" s="1" t="s">
        <v>1506</v>
      </c>
      <c r="K352" s="1" t="s">
        <v>20</v>
      </c>
      <c r="L352" s="1" t="s">
        <v>1175</v>
      </c>
      <c r="M352" s="1" t="s">
        <v>22</v>
      </c>
      <c r="N352" s="1" t="s">
        <v>715</v>
      </c>
      <c r="O352" s="1" t="s">
        <v>1507</v>
      </c>
      <c r="P352" s="1" t="n">
        <f aca="false">IF(A352=O352, 1, 0)</f>
        <v>0</v>
      </c>
    </row>
    <row r="353" customFormat="false" ht="15" hidden="false" customHeight="false" outlineLevel="0" collapsed="false">
      <c r="A353" s="1" t="s">
        <v>1508</v>
      </c>
      <c r="B353" s="1" t="n">
        <v>1922</v>
      </c>
      <c r="C353" s="1" t="s">
        <v>1509</v>
      </c>
      <c r="D353" s="5" t="n">
        <v>100000</v>
      </c>
      <c r="E353" s="1" t="s">
        <v>1510</v>
      </c>
      <c r="F353" s="1" t="s">
        <v>46</v>
      </c>
      <c r="G353" s="1" t="s">
        <v>46</v>
      </c>
      <c r="H353" s="1" t="s">
        <v>46</v>
      </c>
      <c r="I353" s="1" t="s">
        <v>1260</v>
      </c>
      <c r="J353" s="1" t="s">
        <v>1511</v>
      </c>
      <c r="K353" s="1" t="s">
        <v>46</v>
      </c>
      <c r="L353" s="1" t="s">
        <v>1175</v>
      </c>
      <c r="M353" s="1" t="s">
        <v>98</v>
      </c>
      <c r="N353" s="1" t="s">
        <v>1512</v>
      </c>
      <c r="O353" s="1" t="s">
        <v>1513</v>
      </c>
      <c r="P353" s="1" t="n">
        <f aca="false">IF(A353=O353, 1, 0)</f>
        <v>0</v>
      </c>
    </row>
    <row r="354" customFormat="false" ht="15" hidden="false" customHeight="false" outlineLevel="0" collapsed="false">
      <c r="A354" s="1" t="s">
        <v>1514</v>
      </c>
      <c r="B354" s="1" t="n">
        <v>1922</v>
      </c>
      <c r="C354" s="1" t="s">
        <v>1515</v>
      </c>
      <c r="D354" s="1" t="n">
        <v>250000</v>
      </c>
      <c r="E354" s="1" t="s">
        <v>1516</v>
      </c>
      <c r="F354" s="1" t="s">
        <v>46</v>
      </c>
      <c r="G354" s="1" t="s">
        <v>46</v>
      </c>
      <c r="H354" s="1" t="s">
        <v>46</v>
      </c>
      <c r="I354" s="1" t="s">
        <v>1260</v>
      </c>
      <c r="J354" s="1" t="s">
        <v>1517</v>
      </c>
      <c r="K354" s="1" t="s">
        <v>46</v>
      </c>
      <c r="L354" s="1" t="s">
        <v>1175</v>
      </c>
      <c r="M354" s="1" t="s">
        <v>22</v>
      </c>
      <c r="N354" s="2" t="s">
        <v>121</v>
      </c>
      <c r="O354" s="1" t="s">
        <v>1518</v>
      </c>
      <c r="P354" s="1" t="n">
        <f aca="false">IF(A354=O354, 1, 0)</f>
        <v>0</v>
      </c>
    </row>
    <row r="355" customFormat="false" ht="15" hidden="false" customHeight="false" outlineLevel="0" collapsed="false">
      <c r="A355" s="1" t="s">
        <v>1519</v>
      </c>
      <c r="B355" s="1" t="n">
        <v>1922</v>
      </c>
      <c r="C355" s="1" t="s">
        <v>1520</v>
      </c>
      <c r="D355" s="5" t="n">
        <v>1000000</v>
      </c>
      <c r="E355" s="1" t="s">
        <v>1521</v>
      </c>
      <c r="F355" s="1" t="s">
        <v>46</v>
      </c>
      <c r="G355" s="1" t="s">
        <v>46</v>
      </c>
      <c r="H355" s="1" t="s">
        <v>46</v>
      </c>
      <c r="I355" s="1" t="s">
        <v>1260</v>
      </c>
      <c r="J355" s="1" t="s">
        <v>1522</v>
      </c>
      <c r="K355" s="1" t="s">
        <v>46</v>
      </c>
      <c r="L355" s="1" t="s">
        <v>1175</v>
      </c>
      <c r="M355" s="1" t="s">
        <v>22</v>
      </c>
      <c r="N355" s="1" t="s">
        <v>23</v>
      </c>
      <c r="O355" s="1" t="s">
        <v>1523</v>
      </c>
      <c r="P355" s="1" t="n">
        <f aca="false">IF(A355=O355, 1, 0)</f>
        <v>0</v>
      </c>
    </row>
    <row r="356" customFormat="false" ht="15" hidden="false" customHeight="false" outlineLevel="0" collapsed="false">
      <c r="A356" s="1" t="s">
        <v>1524</v>
      </c>
      <c r="B356" s="1" t="n">
        <v>1922</v>
      </c>
      <c r="C356" s="1" t="s">
        <v>1525</v>
      </c>
      <c r="D356" s="1" t="n">
        <v>1500000</v>
      </c>
      <c r="E356" s="1" t="s">
        <v>1526</v>
      </c>
      <c r="F356" s="1" t="s">
        <v>1453</v>
      </c>
      <c r="G356" s="1" t="n">
        <v>-117.4260465</v>
      </c>
      <c r="H356" s="1" t="n">
        <v>47.6587802</v>
      </c>
      <c r="I356" s="1" t="s">
        <v>1211</v>
      </c>
      <c r="J356" s="1" t="s">
        <v>1527</v>
      </c>
      <c r="K356" s="1" t="s">
        <v>20</v>
      </c>
      <c r="L356" s="1" t="s">
        <v>1175</v>
      </c>
      <c r="M356" s="1" t="s">
        <v>1528</v>
      </c>
      <c r="N356" s="2" t="s">
        <v>47</v>
      </c>
      <c r="O356" s="1" t="s">
        <v>1529</v>
      </c>
      <c r="P356" s="1" t="n">
        <f aca="false">IF(A356=O356, 1, 0)</f>
        <v>0</v>
      </c>
    </row>
    <row r="357" customFormat="false" ht="15" hidden="false" customHeight="false" outlineLevel="0" collapsed="false">
      <c r="A357" s="1" t="s">
        <v>1530</v>
      </c>
      <c r="B357" s="1" t="n">
        <v>1922</v>
      </c>
      <c r="C357" s="1" t="s">
        <v>1531</v>
      </c>
      <c r="D357" s="5" t="n">
        <v>25000000</v>
      </c>
      <c r="E357" s="1" t="s">
        <v>1532</v>
      </c>
      <c r="F357" s="1" t="s">
        <v>1533</v>
      </c>
      <c r="G357" s="1" t="n">
        <v>-123.1207375</v>
      </c>
      <c r="H357" s="1" t="n">
        <v>49.2827291</v>
      </c>
      <c r="I357" s="1" t="s">
        <v>1204</v>
      </c>
      <c r="J357" s="1" t="s">
        <v>1534</v>
      </c>
      <c r="K357" s="1" t="s">
        <v>57</v>
      </c>
      <c r="L357" s="1" t="s">
        <v>1175</v>
      </c>
      <c r="M357" s="1" t="s">
        <v>30</v>
      </c>
      <c r="N357" s="2" t="s">
        <v>31</v>
      </c>
      <c r="O357" s="1" t="s">
        <v>1535</v>
      </c>
      <c r="P357" s="1" t="n">
        <f aca="false">IF(A357=O357, 1, 0)</f>
        <v>0</v>
      </c>
    </row>
    <row r="358" customFormat="false" ht="15" hidden="false" customHeight="false" outlineLevel="0" collapsed="false">
      <c r="A358" s="1" t="s">
        <v>1536</v>
      </c>
      <c r="B358" s="1" t="n">
        <v>1922</v>
      </c>
      <c r="C358" s="1" t="s">
        <v>1537</v>
      </c>
      <c r="D358" s="1" t="n">
        <v>50000</v>
      </c>
      <c r="E358" s="1" t="s">
        <v>1538</v>
      </c>
      <c r="F358" s="1" t="s">
        <v>1295</v>
      </c>
      <c r="G358" s="1" t="n">
        <v>-122.4194155</v>
      </c>
      <c r="H358" s="1" t="n">
        <v>37.7749295</v>
      </c>
      <c r="I358" s="1" t="s">
        <v>1260</v>
      </c>
      <c r="J358" s="1" t="s">
        <v>1539</v>
      </c>
      <c r="K358" s="1" t="s">
        <v>20</v>
      </c>
      <c r="L358" s="1" t="s">
        <v>1175</v>
      </c>
      <c r="M358" s="1" t="s">
        <v>30</v>
      </c>
      <c r="N358" s="1" t="s">
        <v>53</v>
      </c>
      <c r="O358" s="1" t="s">
        <v>1540</v>
      </c>
      <c r="P358" s="1" t="n">
        <f aca="false">IF(A358=O358, 1, 0)</f>
        <v>0</v>
      </c>
    </row>
    <row r="359" customFormat="false" ht="15" hidden="false" customHeight="false" outlineLevel="0" collapsed="false">
      <c r="A359" s="1" t="s">
        <v>1541</v>
      </c>
      <c r="B359" s="1" t="n">
        <v>1922</v>
      </c>
      <c r="C359" s="1" t="s">
        <v>1542</v>
      </c>
      <c r="D359" s="1" t="n">
        <v>8300250</v>
      </c>
      <c r="E359" s="1" t="s">
        <v>1543</v>
      </c>
      <c r="F359" s="1" t="s">
        <v>1354</v>
      </c>
      <c r="G359" s="1" t="n">
        <v>-85.323214</v>
      </c>
      <c r="H359" s="1" t="n">
        <v>51.253775</v>
      </c>
      <c r="I359" s="1" t="s">
        <v>1239</v>
      </c>
      <c r="J359" s="1" t="s">
        <v>1544</v>
      </c>
      <c r="K359" s="1" t="s">
        <v>57</v>
      </c>
      <c r="L359" s="1" t="s">
        <v>1175</v>
      </c>
      <c r="M359" s="1" t="s">
        <v>30</v>
      </c>
      <c r="N359" s="2" t="s">
        <v>31</v>
      </c>
      <c r="O359" s="1" t="s">
        <v>1545</v>
      </c>
      <c r="P359" s="1" t="n">
        <f aca="false">IF(A359=O359, 1, 0)</f>
        <v>0</v>
      </c>
    </row>
    <row r="360" customFormat="false" ht="15" hidden="false" customHeight="false" outlineLevel="0" collapsed="false">
      <c r="A360" s="1" t="s">
        <v>1546</v>
      </c>
      <c r="B360" s="1" t="n">
        <v>1922</v>
      </c>
      <c r="C360" s="1" t="s">
        <v>1547</v>
      </c>
      <c r="D360" s="5" t="n">
        <v>500000</v>
      </c>
      <c r="E360" s="1" t="s">
        <v>1548</v>
      </c>
      <c r="F360" s="1" t="s">
        <v>46</v>
      </c>
      <c r="G360" s="1" t="s">
        <v>46</v>
      </c>
      <c r="H360" s="1" t="s">
        <v>46</v>
      </c>
      <c r="I360" s="1" t="s">
        <v>1239</v>
      </c>
      <c r="J360" s="1" t="s">
        <v>1549</v>
      </c>
      <c r="K360" s="1" t="s">
        <v>46</v>
      </c>
      <c r="L360" s="1" t="s">
        <v>1175</v>
      </c>
      <c r="M360" s="1" t="s">
        <v>22</v>
      </c>
      <c r="N360" s="1" t="s">
        <v>23</v>
      </c>
      <c r="O360" s="1" t="s">
        <v>1550</v>
      </c>
      <c r="P360" s="1" t="n">
        <f aca="false">IF(A360=O360, 1, 0)</f>
        <v>0</v>
      </c>
    </row>
    <row r="361" customFormat="false" ht="15" hidden="false" customHeight="false" outlineLevel="0" collapsed="false">
      <c r="A361" s="1" t="s">
        <v>1551</v>
      </c>
      <c r="B361" s="1" t="n">
        <v>1922</v>
      </c>
      <c r="C361" s="1" t="s">
        <v>1552</v>
      </c>
      <c r="D361" s="5" t="n">
        <v>25000000</v>
      </c>
      <c r="E361" s="1" t="s">
        <v>1553</v>
      </c>
      <c r="F361" s="1" t="s">
        <v>1554</v>
      </c>
      <c r="G361" s="1" t="n">
        <v>-106.4508639</v>
      </c>
      <c r="H361" s="1" t="n">
        <v>52.9399159</v>
      </c>
      <c r="I361" s="1" t="s">
        <v>1239</v>
      </c>
      <c r="J361" s="1" t="s">
        <v>1555</v>
      </c>
      <c r="K361" s="1" t="s">
        <v>57</v>
      </c>
      <c r="L361" s="1" t="s">
        <v>1175</v>
      </c>
      <c r="M361" s="1" t="s">
        <v>46</v>
      </c>
      <c r="N361" s="2" t="s">
        <v>47</v>
      </c>
      <c r="O361" s="1" t="s">
        <v>1556</v>
      </c>
      <c r="P361" s="1" t="n">
        <f aca="false">IF(A361=O361, 1, 0)</f>
        <v>0</v>
      </c>
    </row>
    <row r="362" customFormat="false" ht="15" hidden="false" customHeight="false" outlineLevel="0" collapsed="false">
      <c r="A362" s="1" t="n">
        <v>61046</v>
      </c>
      <c r="B362" s="1" t="n">
        <v>1889</v>
      </c>
      <c r="C362" s="1" t="s">
        <v>702</v>
      </c>
      <c r="D362" s="1" t="n">
        <v>48685.49172</v>
      </c>
      <c r="E362" s="1" t="s">
        <v>1557</v>
      </c>
      <c r="F362" s="1" t="s">
        <v>1558</v>
      </c>
      <c r="G362" s="1" t="n">
        <v>-95.7813885</v>
      </c>
      <c r="H362" s="1" t="n">
        <v>36.0628961</v>
      </c>
      <c r="I362" s="1" t="s">
        <v>18</v>
      </c>
      <c r="J362" s="6" t="s">
        <v>1559</v>
      </c>
      <c r="K362" s="1" t="s">
        <v>20</v>
      </c>
      <c r="L362" s="1" t="s">
        <v>21</v>
      </c>
      <c r="M362" s="1" t="s">
        <v>171</v>
      </c>
      <c r="N362" s="1" t="s">
        <v>23</v>
      </c>
      <c r="O362" s="1" t="s">
        <v>1560</v>
      </c>
      <c r="P362" s="1" t="n">
        <v>1</v>
      </c>
    </row>
    <row r="363" customFormat="false" ht="15" hidden="false" customHeight="false" outlineLevel="0" collapsed="false">
      <c r="A363" s="1" t="n">
        <v>104948</v>
      </c>
      <c r="B363" s="1" t="n">
        <v>1891</v>
      </c>
      <c r="C363" s="1" t="s">
        <v>1561</v>
      </c>
      <c r="D363" s="1" t="n">
        <v>486144.9</v>
      </c>
      <c r="E363" s="1" t="s">
        <v>1562</v>
      </c>
      <c r="F363" s="1" t="s">
        <v>236</v>
      </c>
      <c r="G363" s="1" t="n">
        <v>-78.6766374</v>
      </c>
      <c r="H363" s="1" t="n">
        <v>35.7893925</v>
      </c>
      <c r="I363" s="1" t="s">
        <v>18</v>
      </c>
      <c r="J363" s="1" t="s">
        <v>1563</v>
      </c>
      <c r="K363" s="1" t="s">
        <v>20</v>
      </c>
      <c r="L363" s="1" t="s">
        <v>21</v>
      </c>
      <c r="M363" s="1" t="s">
        <v>98</v>
      </c>
      <c r="N363" s="1" t="s">
        <v>39</v>
      </c>
      <c r="O363" s="1" t="s">
        <v>1564</v>
      </c>
      <c r="P363" s="1" t="n">
        <v>1</v>
      </c>
    </row>
    <row r="364" customFormat="false" ht="15" hidden="false" customHeight="false" outlineLevel="0" collapsed="false">
      <c r="A364" s="1" t="n">
        <v>176007</v>
      </c>
      <c r="B364" s="1" t="n">
        <v>1894</v>
      </c>
      <c r="C364" s="1" t="s">
        <v>1565</v>
      </c>
      <c r="D364" s="1" t="n">
        <v>1121951</v>
      </c>
      <c r="E364" s="1" t="s">
        <v>1566</v>
      </c>
      <c r="F364" s="1" t="s">
        <v>62</v>
      </c>
      <c r="G364" s="1" t="n">
        <v>-0.1277583</v>
      </c>
      <c r="H364" s="1" t="n">
        <v>51.50735</v>
      </c>
      <c r="I364" s="1" t="s">
        <v>63</v>
      </c>
      <c r="J364" s="6" t="s">
        <v>1567</v>
      </c>
      <c r="K364" s="1" t="s">
        <v>45</v>
      </c>
      <c r="L364" s="1" t="s">
        <v>21</v>
      </c>
      <c r="M364" s="1" t="s">
        <v>38</v>
      </c>
      <c r="N364" s="1" t="s">
        <v>23</v>
      </c>
      <c r="O364" s="1" t="s">
        <v>1568</v>
      </c>
      <c r="P364" s="1" t="n">
        <v>1</v>
      </c>
    </row>
    <row r="365" customFormat="false" ht="15" hidden="false" customHeight="false" outlineLevel="0" collapsed="false">
      <c r="A365" s="1" t="n">
        <v>260192</v>
      </c>
      <c r="B365" s="1" t="n">
        <v>1903</v>
      </c>
      <c r="C365" s="1" t="s">
        <v>1569</v>
      </c>
      <c r="D365" s="1" t="n">
        <v>48638.13</v>
      </c>
      <c r="E365" s="1" t="s">
        <v>1570</v>
      </c>
      <c r="F365" s="1" t="s">
        <v>278</v>
      </c>
      <c r="G365" s="1" t="n">
        <v>-3.74922</v>
      </c>
      <c r="H365" s="1" t="n">
        <v>40.46367</v>
      </c>
      <c r="I365" s="1" t="s">
        <v>18</v>
      </c>
      <c r="J365" s="6" t="s">
        <v>1571</v>
      </c>
      <c r="K365" s="1" t="s">
        <v>278</v>
      </c>
      <c r="L365" s="1" t="s">
        <v>21</v>
      </c>
      <c r="M365" s="1" t="s">
        <v>98</v>
      </c>
      <c r="N365" s="1" t="s">
        <v>23</v>
      </c>
      <c r="O365" s="1" t="s">
        <v>1572</v>
      </c>
      <c r="P365" s="1" t="n">
        <v>1</v>
      </c>
    </row>
    <row r="366" customFormat="false" ht="15" hidden="false" customHeight="false" outlineLevel="0" collapsed="false">
      <c r="A366" s="1" t="n">
        <v>473215</v>
      </c>
      <c r="B366" s="1" t="n">
        <v>1911</v>
      </c>
      <c r="C366" s="1" t="s">
        <v>1573</v>
      </c>
      <c r="D366" s="1" t="n">
        <v>1088965</v>
      </c>
      <c r="E366" s="1" t="s">
        <v>1574</v>
      </c>
      <c r="F366" s="1" t="s">
        <v>62</v>
      </c>
      <c r="G366" s="1" t="n">
        <v>-0.1277583</v>
      </c>
      <c r="H366" s="1" t="n">
        <v>51.5073509</v>
      </c>
      <c r="I366" s="1" t="s">
        <v>18</v>
      </c>
      <c r="J366" s="6" t="s">
        <v>1575</v>
      </c>
      <c r="K366" s="1" t="s">
        <v>45</v>
      </c>
      <c r="L366" s="1" t="s">
        <v>21</v>
      </c>
      <c r="M366" s="1" t="s">
        <v>46</v>
      </c>
      <c r="N366" s="2" t="s">
        <v>47</v>
      </c>
      <c r="O366" s="1" t="s">
        <v>1576</v>
      </c>
      <c r="P366" s="1" t="n">
        <v>1</v>
      </c>
    </row>
    <row r="367" customFormat="false" ht="15" hidden="false" customHeight="false" outlineLevel="0" collapsed="false">
      <c r="A367" s="1" t="n">
        <v>502735</v>
      </c>
      <c r="B367" s="1" t="n">
        <v>1911</v>
      </c>
      <c r="C367" s="1" t="s">
        <v>1577</v>
      </c>
      <c r="D367" s="1" t="n">
        <v>12834.22</v>
      </c>
      <c r="E367" s="1" t="s">
        <v>1578</v>
      </c>
      <c r="F367" s="1" t="s">
        <v>478</v>
      </c>
      <c r="G367" s="1" t="n">
        <v>-2.0571868</v>
      </c>
      <c r="H367" s="1" t="n">
        <v>52.8792745</v>
      </c>
      <c r="I367" s="1" t="s">
        <v>18</v>
      </c>
      <c r="J367" s="6" t="s">
        <v>1579</v>
      </c>
      <c r="K367" s="1" t="s">
        <v>45</v>
      </c>
      <c r="L367" s="1" t="s">
        <v>21</v>
      </c>
      <c r="M367" s="1" t="s">
        <v>30</v>
      </c>
      <c r="N367" s="1" t="s">
        <v>53</v>
      </c>
      <c r="O367" s="1" t="s">
        <v>1580</v>
      </c>
      <c r="P367" s="1" t="n">
        <v>1</v>
      </c>
    </row>
    <row r="368" customFormat="false" ht="15" hidden="false" customHeight="false" outlineLevel="0" collapsed="false">
      <c r="A368" s="1" t="n">
        <v>1016046</v>
      </c>
      <c r="B368" s="1" t="n">
        <v>1920</v>
      </c>
      <c r="C368" s="1" t="s">
        <v>1581</v>
      </c>
      <c r="D368" s="1" t="n">
        <v>442673.7494</v>
      </c>
      <c r="E368" s="1" t="s">
        <v>1582</v>
      </c>
      <c r="F368" s="1" t="s">
        <v>62</v>
      </c>
      <c r="G368" s="1" t="n">
        <v>-0.1277583</v>
      </c>
      <c r="H368" s="1" t="n">
        <v>51.50735</v>
      </c>
      <c r="I368" s="1" t="s">
        <v>18</v>
      </c>
      <c r="J368" s="1" t="s">
        <v>1583</v>
      </c>
      <c r="K368" s="1" t="s">
        <v>45</v>
      </c>
      <c r="L368" s="1" t="s">
        <v>21</v>
      </c>
      <c r="M368" s="1" t="s">
        <v>46</v>
      </c>
      <c r="N368" s="1" t="s">
        <v>47</v>
      </c>
      <c r="O368" s="1" t="s">
        <v>1584</v>
      </c>
      <c r="P368" s="1" t="n">
        <v>1</v>
      </c>
    </row>
    <row r="369" customFormat="false" ht="15" hidden="false" customHeight="false" outlineLevel="0" collapsed="false">
      <c r="A369" s="1" t="n">
        <v>1059043</v>
      </c>
      <c r="B369" s="1" t="n">
        <v>1921</v>
      </c>
      <c r="C369" s="1" t="s">
        <v>1585</v>
      </c>
      <c r="D369" s="1" t="n">
        <v>3175520</v>
      </c>
      <c r="E369" s="1" t="s">
        <v>1586</v>
      </c>
      <c r="F369" s="1" t="s">
        <v>1587</v>
      </c>
      <c r="G369" s="1" t="n">
        <v>-1.470085</v>
      </c>
      <c r="H369" s="1" t="n">
        <v>53.38113</v>
      </c>
      <c r="I369" s="1" t="s">
        <v>63</v>
      </c>
      <c r="J369" s="1" t="s">
        <v>1588</v>
      </c>
      <c r="K369" s="1" t="s">
        <v>45</v>
      </c>
      <c r="L369" s="1" t="s">
        <v>21</v>
      </c>
      <c r="M369" s="1" t="s">
        <v>22</v>
      </c>
      <c r="N369" s="1" t="s">
        <v>238</v>
      </c>
      <c r="O369" s="1" t="s">
        <v>1589</v>
      </c>
      <c r="P369" s="1" t="n">
        <v>1</v>
      </c>
    </row>
    <row r="370" customFormat="false" ht="15" hidden="false" customHeight="false" outlineLevel="0" collapsed="false">
      <c r="A370" s="1" t="n">
        <v>1063853</v>
      </c>
      <c r="B370" s="1" t="n">
        <v>1921</v>
      </c>
      <c r="C370" s="1" t="s">
        <v>1590</v>
      </c>
      <c r="D370" s="1" t="n">
        <v>2309469</v>
      </c>
      <c r="E370" s="1" t="s">
        <v>1591</v>
      </c>
      <c r="F370" s="1" t="s">
        <v>1592</v>
      </c>
      <c r="G370" s="1" t="n">
        <v>-96.85059</v>
      </c>
      <c r="H370" s="1" t="n">
        <v>32.86123</v>
      </c>
      <c r="I370" s="1" t="s">
        <v>18</v>
      </c>
      <c r="J370" s="1" t="s">
        <v>1563</v>
      </c>
      <c r="K370" s="1" t="s">
        <v>20</v>
      </c>
      <c r="L370" s="1" t="s">
        <v>21</v>
      </c>
      <c r="M370" s="1" t="s">
        <v>98</v>
      </c>
      <c r="N370" s="1" t="s">
        <v>39</v>
      </c>
      <c r="O370" s="1" t="s">
        <v>1564</v>
      </c>
      <c r="P370" s="1" t="n">
        <v>1</v>
      </c>
    </row>
    <row r="371" customFormat="false" ht="15" hidden="false" customHeight="false" outlineLevel="0" collapsed="false">
      <c r="A371" s="1" t="n">
        <v>1115391</v>
      </c>
      <c r="B371" s="1" t="n">
        <v>1922</v>
      </c>
      <c r="C371" s="1" t="s">
        <v>751</v>
      </c>
      <c r="D371" s="1" t="n">
        <v>1550044</v>
      </c>
      <c r="E371" s="1" t="s">
        <v>1593</v>
      </c>
      <c r="F371" s="1" t="s">
        <v>87</v>
      </c>
      <c r="G371" s="1" t="n">
        <v>28.04731</v>
      </c>
      <c r="H371" s="1" t="n">
        <v>-26.2041</v>
      </c>
      <c r="I371" s="1" t="s">
        <v>18</v>
      </c>
      <c r="J371" s="6" t="s">
        <v>1594</v>
      </c>
      <c r="K371" s="1" t="s">
        <v>89</v>
      </c>
      <c r="L371" s="1" t="s">
        <v>21</v>
      </c>
      <c r="M371" s="1" t="s">
        <v>22</v>
      </c>
      <c r="N371" s="2" t="s">
        <v>121</v>
      </c>
      <c r="O371" s="1" t="s">
        <v>1595</v>
      </c>
      <c r="P371" s="1" t="n">
        <v>1</v>
      </c>
    </row>
    <row r="372" customFormat="false" ht="15" hidden="false" customHeight="false" outlineLevel="0" collapsed="false">
      <c r="A372" s="1" t="s">
        <v>1596</v>
      </c>
      <c r="B372" s="1" t="n">
        <v>1922</v>
      </c>
      <c r="C372" s="1" t="s">
        <v>1597</v>
      </c>
      <c r="D372" s="1" t="n">
        <v>50000</v>
      </c>
      <c r="E372" s="1" t="s">
        <v>1598</v>
      </c>
      <c r="F372" s="1" t="s">
        <v>1172</v>
      </c>
      <c r="G372" s="1" t="n">
        <v>-110.3625658</v>
      </c>
      <c r="H372" s="1" t="n">
        <v>46.8796822</v>
      </c>
      <c r="I372" s="1" t="s">
        <v>1204</v>
      </c>
      <c r="J372" s="6" t="s">
        <v>1599</v>
      </c>
      <c r="K372" s="1" t="s">
        <v>20</v>
      </c>
      <c r="L372" s="1" t="s">
        <v>1175</v>
      </c>
      <c r="M372" s="1" t="s">
        <v>143</v>
      </c>
      <c r="N372" s="1" t="s">
        <v>23</v>
      </c>
      <c r="O372" s="1" t="s">
        <v>1600</v>
      </c>
      <c r="P372" s="1" t="n">
        <v>1</v>
      </c>
    </row>
    <row r="373" customFormat="false" ht="15" hidden="false" customHeight="false" outlineLevel="0" collapsed="false">
      <c r="A373" s="1" t="n">
        <v>1075677</v>
      </c>
      <c r="B373" s="1" t="n">
        <v>1922</v>
      </c>
      <c r="C373" s="1" t="s">
        <v>1601</v>
      </c>
      <c r="D373" s="1" t="n">
        <v>2214349</v>
      </c>
      <c r="E373" s="1" t="s">
        <v>1602</v>
      </c>
      <c r="F373" s="1" t="s">
        <v>534</v>
      </c>
      <c r="G373" s="1" t="n">
        <v>-75.59937</v>
      </c>
      <c r="H373" s="1" t="n">
        <v>38.36067</v>
      </c>
      <c r="I373" s="1" t="s">
        <v>18</v>
      </c>
      <c r="J373" s="1" t="s">
        <v>1603</v>
      </c>
      <c r="K373" s="1" t="s">
        <v>20</v>
      </c>
      <c r="L373" s="1" t="s">
        <v>21</v>
      </c>
      <c r="M373" s="1" t="s">
        <v>30</v>
      </c>
      <c r="N373" s="1" t="s">
        <v>31</v>
      </c>
      <c r="O373" s="1" t="s">
        <v>1604</v>
      </c>
      <c r="P373" s="1" t="n">
        <v>0</v>
      </c>
    </row>
    <row r="374" customFormat="false" ht="15" hidden="false" customHeight="false" outlineLevel="0" collapsed="false">
      <c r="A374" s="1" t="n">
        <v>1078960</v>
      </c>
      <c r="B374" s="1" t="n">
        <v>1922</v>
      </c>
      <c r="C374" s="1" t="s">
        <v>1605</v>
      </c>
      <c r="D374" s="1" t="n">
        <v>1594331</v>
      </c>
      <c r="E374" s="1" t="s">
        <v>1606</v>
      </c>
      <c r="F374" s="1" t="s">
        <v>1607</v>
      </c>
      <c r="G374" s="1" t="n">
        <v>-95.93588</v>
      </c>
      <c r="H374" s="1" t="n">
        <v>36.80031</v>
      </c>
      <c r="I374" s="1" t="s">
        <v>18</v>
      </c>
      <c r="J374" s="1" t="s">
        <v>1608</v>
      </c>
      <c r="K374" s="1" t="s">
        <v>20</v>
      </c>
      <c r="L374" s="1" t="s">
        <v>21</v>
      </c>
      <c r="M374" s="1" t="s">
        <v>30</v>
      </c>
      <c r="N374" s="1" t="s">
        <v>31</v>
      </c>
      <c r="O374" s="1" t="s">
        <v>1609</v>
      </c>
      <c r="P374" s="1" t="n">
        <v>0</v>
      </c>
    </row>
    <row r="375" customFormat="false" ht="15" hidden="false" customHeight="false" outlineLevel="0" collapsed="false">
      <c r="A375" s="1" t="n">
        <v>1083202</v>
      </c>
      <c r="B375" s="1" t="n">
        <v>1922</v>
      </c>
      <c r="C375" s="1" t="s">
        <v>1610</v>
      </c>
      <c r="D375" s="1" t="n">
        <v>4000000</v>
      </c>
      <c r="E375" s="1" t="s">
        <v>1611</v>
      </c>
      <c r="F375" s="1" t="s">
        <v>470</v>
      </c>
      <c r="G375" s="1" t="n">
        <v>-85.32321</v>
      </c>
      <c r="H375" s="1" t="n">
        <v>51.25377</v>
      </c>
      <c r="I375" s="1" t="s">
        <v>18</v>
      </c>
      <c r="J375" s="1" t="s">
        <v>1612</v>
      </c>
      <c r="K375" s="1" t="s">
        <v>57</v>
      </c>
      <c r="L375" s="1" t="s">
        <v>21</v>
      </c>
      <c r="M375" s="1" t="s">
        <v>30</v>
      </c>
      <c r="N375" s="1" t="s">
        <v>31</v>
      </c>
      <c r="O375" s="1" t="s">
        <v>1613</v>
      </c>
      <c r="P375" s="1" t="n">
        <v>0</v>
      </c>
    </row>
    <row r="376" customFormat="false" ht="15" hidden="false" customHeight="false" outlineLevel="0" collapsed="false">
      <c r="A376" s="1" t="n">
        <v>1083780</v>
      </c>
      <c r="B376" s="1" t="n">
        <v>1922</v>
      </c>
      <c r="C376" s="1" t="s">
        <v>367</v>
      </c>
      <c r="D376" s="1" t="n">
        <v>292294.1</v>
      </c>
      <c r="E376" s="1" t="s">
        <v>1614</v>
      </c>
      <c r="F376" s="1" t="s">
        <v>87</v>
      </c>
      <c r="G376" s="1" t="n">
        <v>28.04731</v>
      </c>
      <c r="H376" s="1" t="n">
        <v>-26.2041</v>
      </c>
      <c r="I376" s="1" t="s">
        <v>30</v>
      </c>
      <c r="J376" s="1" t="s">
        <v>1615</v>
      </c>
      <c r="K376" s="1" t="s">
        <v>89</v>
      </c>
      <c r="L376" s="1" t="s">
        <v>21</v>
      </c>
      <c r="M376" s="1" t="s">
        <v>30</v>
      </c>
      <c r="N376" s="1" t="s">
        <v>31</v>
      </c>
      <c r="O376" s="1" t="s">
        <v>1616</v>
      </c>
      <c r="P376" s="1" t="n">
        <v>0</v>
      </c>
    </row>
    <row r="377" customFormat="false" ht="15" hidden="false" customHeight="false" outlineLevel="0" collapsed="false">
      <c r="A377" s="1" t="n">
        <v>1084724</v>
      </c>
      <c r="B377" s="1" t="n">
        <v>1922</v>
      </c>
      <c r="C377" s="1" t="s">
        <v>1011</v>
      </c>
      <c r="D377" s="1" t="n">
        <v>664304.7</v>
      </c>
      <c r="E377" s="1" t="s">
        <v>1617</v>
      </c>
      <c r="F377" s="1" t="s">
        <v>464</v>
      </c>
      <c r="G377" s="1" t="n">
        <v>-3.17909</v>
      </c>
      <c r="H377" s="1" t="n">
        <v>51.48158</v>
      </c>
      <c r="I377" s="1" t="s">
        <v>18</v>
      </c>
      <c r="J377" s="1" t="s">
        <v>1618</v>
      </c>
      <c r="K377" s="1" t="s">
        <v>45</v>
      </c>
      <c r="L377" s="1" t="s">
        <v>21</v>
      </c>
      <c r="M377" s="1" t="s">
        <v>30</v>
      </c>
      <c r="N377" s="1" t="s">
        <v>31</v>
      </c>
      <c r="O377" s="1" t="s">
        <v>1014</v>
      </c>
      <c r="P377" s="1" t="n">
        <v>0</v>
      </c>
    </row>
    <row r="378" customFormat="false" ht="15" hidden="false" customHeight="false" outlineLevel="0" collapsed="false">
      <c r="A378" s="1" t="n">
        <v>1092327</v>
      </c>
      <c r="B378" s="1" t="n">
        <v>1922</v>
      </c>
      <c r="C378" s="1" t="s">
        <v>1076</v>
      </c>
      <c r="D378" s="1" t="n">
        <v>19929141</v>
      </c>
      <c r="E378" s="1" t="s">
        <v>1619</v>
      </c>
      <c r="F378" s="1" t="s">
        <v>87</v>
      </c>
      <c r="G378" s="1" t="n">
        <v>28.04731</v>
      </c>
      <c r="H378" s="1" t="n">
        <v>-26.2041</v>
      </c>
      <c r="I378" s="1" t="s">
        <v>28</v>
      </c>
      <c r="J378" s="1" t="s">
        <v>882</v>
      </c>
      <c r="K378" s="1" t="s">
        <v>89</v>
      </c>
      <c r="L378" s="1" t="s">
        <v>21</v>
      </c>
      <c r="M378" s="1" t="s">
        <v>30</v>
      </c>
      <c r="N378" s="1" t="s">
        <v>31</v>
      </c>
      <c r="O378" s="1" t="s">
        <v>883</v>
      </c>
      <c r="P378" s="1" t="n">
        <v>0</v>
      </c>
    </row>
    <row r="379" customFormat="false" ht="15" hidden="false" customHeight="false" outlineLevel="0" collapsed="false">
      <c r="A379" s="1" t="n">
        <v>1092702</v>
      </c>
      <c r="B379" s="1" t="n">
        <v>1922</v>
      </c>
      <c r="C379" s="1" t="s">
        <v>1620</v>
      </c>
      <c r="D379" s="1" t="n">
        <v>1660762</v>
      </c>
      <c r="E379" s="1" t="s">
        <v>1621</v>
      </c>
      <c r="F379" s="1" t="s">
        <v>1558</v>
      </c>
      <c r="G379" s="1" t="n">
        <v>-95.78139</v>
      </c>
      <c r="H379" s="1" t="n">
        <v>36.0629</v>
      </c>
      <c r="I379" s="1" t="s">
        <v>30</v>
      </c>
      <c r="J379" s="1" t="s">
        <v>1622</v>
      </c>
      <c r="K379" s="1" t="s">
        <v>20</v>
      </c>
      <c r="L379" s="1" t="s">
        <v>21</v>
      </c>
      <c r="M379" s="1" t="s">
        <v>30</v>
      </c>
      <c r="N379" s="1" t="s">
        <v>31</v>
      </c>
      <c r="O379" s="1" t="s">
        <v>1623</v>
      </c>
      <c r="P379" s="1" t="n">
        <v>0</v>
      </c>
    </row>
    <row r="380" customFormat="false" ht="15" hidden="false" customHeight="false" outlineLevel="0" collapsed="false">
      <c r="A380" s="1" t="n">
        <v>1098388</v>
      </c>
      <c r="B380" s="1" t="n">
        <v>1922</v>
      </c>
      <c r="C380" s="1" t="s">
        <v>496</v>
      </c>
      <c r="D380" s="1" t="n">
        <v>1107174</v>
      </c>
      <c r="E380" s="1" t="s">
        <v>1624</v>
      </c>
      <c r="F380" s="1" t="s">
        <v>327</v>
      </c>
      <c r="G380" s="1" t="n">
        <v>-122.4194</v>
      </c>
      <c r="H380" s="1" t="n">
        <v>37.77493</v>
      </c>
      <c r="I380" s="1" t="s">
        <v>28</v>
      </c>
      <c r="J380" s="1" t="s">
        <v>1625</v>
      </c>
      <c r="K380" s="1" t="s">
        <v>20</v>
      </c>
      <c r="L380" s="1" t="s">
        <v>21</v>
      </c>
      <c r="M380" s="1" t="s">
        <v>30</v>
      </c>
      <c r="N380" s="1" t="s">
        <v>31</v>
      </c>
      <c r="O380" s="1" t="s">
        <v>1626</v>
      </c>
      <c r="P380" s="1" t="n">
        <v>0</v>
      </c>
    </row>
    <row r="381" customFormat="false" ht="15" hidden="false" customHeight="false" outlineLevel="0" collapsed="false">
      <c r="A381" s="1" t="n">
        <v>1099467</v>
      </c>
      <c r="B381" s="1" t="n">
        <v>1922</v>
      </c>
      <c r="C381" s="1" t="s">
        <v>1627</v>
      </c>
      <c r="D381" s="1" t="n">
        <v>132860.9</v>
      </c>
      <c r="E381" s="1" t="s">
        <v>1628</v>
      </c>
      <c r="F381" s="1" t="s">
        <v>1629</v>
      </c>
      <c r="G381" s="1" t="n">
        <v>-97.14168</v>
      </c>
      <c r="H381" s="1" t="n">
        <v>32.56319</v>
      </c>
      <c r="I381" s="1" t="s">
        <v>18</v>
      </c>
      <c r="J381" s="1" t="s">
        <v>1001</v>
      </c>
      <c r="K381" s="1" t="s">
        <v>20</v>
      </c>
      <c r="L381" s="1" t="s">
        <v>21</v>
      </c>
      <c r="M381" s="1" t="s">
        <v>30</v>
      </c>
      <c r="N381" s="1" t="s">
        <v>31</v>
      </c>
      <c r="O381" s="1" t="s">
        <v>1002</v>
      </c>
      <c r="P381" s="1" t="n">
        <v>0</v>
      </c>
    </row>
    <row r="382" customFormat="false" ht="15" hidden="false" customHeight="false" outlineLevel="0" collapsed="false">
      <c r="A382" s="1" t="n">
        <v>1109670</v>
      </c>
      <c r="B382" s="1" t="n">
        <v>1922</v>
      </c>
      <c r="C382" s="1" t="s">
        <v>1630</v>
      </c>
      <c r="D382" s="1" t="n">
        <v>44286.98</v>
      </c>
      <c r="E382" s="1" t="s">
        <v>1631</v>
      </c>
      <c r="F382" s="1" t="s">
        <v>62</v>
      </c>
      <c r="G382" s="1" t="n">
        <v>-0.1277583</v>
      </c>
      <c r="H382" s="1" t="n">
        <v>51.50735</v>
      </c>
      <c r="I382" s="1" t="s">
        <v>18</v>
      </c>
      <c r="J382" s="1" t="s">
        <v>1632</v>
      </c>
      <c r="K382" s="1" t="s">
        <v>45</v>
      </c>
      <c r="L382" s="1" t="s">
        <v>21</v>
      </c>
      <c r="M382" s="1" t="s">
        <v>30</v>
      </c>
      <c r="N382" s="1" t="s">
        <v>31</v>
      </c>
      <c r="O382" s="1" t="s">
        <v>1633</v>
      </c>
      <c r="P382" s="1" t="n">
        <v>0</v>
      </c>
    </row>
    <row r="383" customFormat="false" ht="15" hidden="false" customHeight="false" outlineLevel="0" collapsed="false">
      <c r="A383" s="1" t="n">
        <v>1111773</v>
      </c>
      <c r="B383" s="1" t="n">
        <v>1922</v>
      </c>
      <c r="C383" s="1" t="s">
        <v>1634</v>
      </c>
      <c r="D383" s="1" t="n">
        <v>1107174</v>
      </c>
      <c r="E383" s="1" t="s">
        <v>1635</v>
      </c>
      <c r="F383" s="1" t="s">
        <v>167</v>
      </c>
      <c r="G383" s="1" t="n">
        <v>-81.1831</v>
      </c>
      <c r="H383" s="1" t="n">
        <v>43.23256</v>
      </c>
      <c r="I383" s="1" t="s">
        <v>30</v>
      </c>
      <c r="J383" s="1" t="s">
        <v>1615</v>
      </c>
      <c r="K383" s="1" t="s">
        <v>57</v>
      </c>
      <c r="L383" s="1" t="s">
        <v>21</v>
      </c>
      <c r="M383" s="1" t="s">
        <v>30</v>
      </c>
      <c r="N383" s="1" t="s">
        <v>31</v>
      </c>
      <c r="O383" s="1" t="s">
        <v>1616</v>
      </c>
      <c r="P383" s="1" t="n">
        <v>0</v>
      </c>
    </row>
    <row r="384" customFormat="false" ht="15" hidden="false" customHeight="false" outlineLevel="0" collapsed="false">
      <c r="A384" s="0" t="s">
        <v>1636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2021-11-18T22:12:41Z</dcterms:created>
  <dc:creator/>
  <dc:description/>
  <dc:language>en-US</dc:language>
  <cp:lastModifiedBy/>
  <dcterms:modified xsi:type="dcterms:W3CDTF">2026-06-20T17:14:31Z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