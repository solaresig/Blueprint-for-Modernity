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mybt" sheetId="1" state="visible" r:id="rId3"/>
    <sheet name="ammt" sheetId="2" state="visible" r:id="rId4"/>
    <sheet name="mmmt" sheetId="3" state="visible" r:id="rId5"/>
    <sheet name="alumnit" sheetId="4" state="visible" r:id="rId6"/>
    <sheet name="aime" sheetId="5" state="visible" r:id="rId7"/>
    <sheet name="mybprueba" sheetId="6" state="visible" r:id="rId8"/>
    <sheet name="mybprueba (2)" sheetId="7" state="visible" r:id="rId9"/>
    <sheet name="Sheet1" sheetId="8" state="visible" r:id="rId10"/>
    <sheet name="matching test" sheetId="9" state="visible" r:id="rId11"/>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tc={06DF9050-C0AD-4E7C-AA08-90580002F655}</author>
    <author>tc={0710E73E-783A-469B-B312-E19705CEC59D}</author>
    <author>tc={0797736C-C7C7-489E-96ED-0A2C68A93AF2}</author>
    <author>tc={0881623A-4201-460F-B274-4D70D706A6CE}</author>
    <author>tc={0A4680F5-5201-4B9C-BFC9-464E6358269C}</author>
    <author>tc={19EFC38B-50D4-4E97-932B-FE336D32ECDD}</author>
    <author>tc={2138A98B-837A-4BE6-913C-2166F7AB2CCA}</author>
    <author>tc={271582B2-70F6-4577-8B46-94B968F1CE26}</author>
    <author>tc={29D80408-5BA0-4F37-BA50-798FA0CFC081}</author>
    <author>tc={2BA80700-A149-4A07-95CA-4BBE4C5F0971}</author>
    <author>tc={33619EB0-6A29-4163-A4CA-0AFA76247C71}</author>
    <author>tc={3F989162-1E12-4BB9-8E36-995E2F6F717E}</author>
    <author>tc={4975EA02-95C4-427E-BB95-99CE6326239A}</author>
    <author>tc={4F6D7C59-4414-4094-8ACB-A603C884690B}</author>
    <author>tc={58493878-6A19-4AEA-84FD-0DECD59590F6}</author>
    <author>tc={5BAA384F-7E3F-4335-80C1-0CCA514746DF}</author>
    <author>tc={5D37BDB0-AF82-4BFC-B684-5A873B43DA44}</author>
    <author>tc={5FE3E16F-2D94-43A4-8874-76733EC8D0B6}</author>
    <author>tc={63B992ED-DFCB-4B49-B61E-F29302FD9E56}</author>
    <author>tc={66C842C1-1717-4D26-9CBD-445A5075A037}</author>
    <author>tc={6FE52310-FD24-4B5B-8194-8EA58FB213DC}</author>
    <author>tc={747393B4-075A-43D2-882E-08F660B2BEDF}</author>
    <author>tc={79EA80F5-2B14-4553-8AC9-CF2F1324D7E5}</author>
    <author>tc={862E0815-37D2-4CAA-87B0-D76CBCAF5F18}</author>
    <author>tc={8C50064A-90C3-47C0-AB65-2EC1622A1828}</author>
    <author>tc={A57D19F3-B141-4F50-BE52-AED48600C691}</author>
    <author>tc={A621A1B5-E786-41BE-BA97-64753E6B9F46}</author>
    <author>tc={A823474A-934F-416D-A6A2-23BA3200168F}</author>
    <author>tc={B13CAEDD-88AF-4142-B08D-11918CC199E9}</author>
    <author>tc={B2743D19-E3CF-43BB-ADC5-94F8E0E0D45C}</author>
    <author>tc={C421963B-3A32-4FE8-858C-73F7C947FFED}</author>
    <author>tc={C4F80DEF-5842-41DF-BF3C-DDC6D18641ED}</author>
    <author>tc={CF9B8AC8-DE82-4245-B1D8-7540A839358E}</author>
    <author>tc={D233CD48-4331-46D5-B7C6-EC5F3190378A}</author>
    <author>tc={D51FB62E-873E-4DD5-848E-33971DD65791}</author>
    <author>tc={D58D44E1-E207-45A8-B3D7-780884C9E2A9}</author>
    <author>tc={DABC9A9E-1C07-4A89-A34F-CECB04067376}</author>
    <author>tc={DE5981E0-2F05-4DED-B63E-250E38B752C2}</author>
    <author>tc={E23A351E-58F8-463B-8D62-D0EEA8082C7A}</author>
    <author>tc={EBC219D4-7AAF-4CF9-B3C9-98446C0FCF4A}</author>
    <author>tc={FEFB8407-4C47-4E5F-8333-E5E21EABBC23}</author>
  </authors>
  <commentList>
    <comment ref="C93" authorId="2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is the right company but it is copied wrong. t or f?
Reply:
    a</t>
        </r>
      </text>
    </comment>
    <comment ref="C94"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Same as above</t>
        </r>
      </text>
    </comment>
    <comment ref="C113" authorId="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text error</t>
        </r>
      </text>
    </comment>
    <comment ref="I191" authorId="2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broken hill?</t>
        </r>
      </text>
    </comment>
    <comment ref="J19" authorId="2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text, company, and location lead me to a number of possible instances in the manual. How should I classify this line?</t>
        </r>
      </text>
    </comment>
    <comment ref="J3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Similar problem here as with myb47091</t>
        </r>
      </text>
    </comment>
    <comment ref="J39" authorId="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Similar problem as with myb47091</t>
        </r>
      </text>
    </comment>
    <comment ref="J41" authorId="4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 found this company but the text wasn't associated with it</t>
        </r>
      </text>
    </comment>
    <comment ref="J64" authorId="3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Can't find this one</t>
        </r>
      </text>
    </comment>
    <comment ref="J75" authorId="3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line is a copy of myb215149</t>
        </r>
      </text>
    </comment>
    <comment ref="J174" authorId="3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How do I go about solving this one?</t>
        </r>
      </text>
    </comment>
    <comment ref="J188" authorId="3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cant find this one</t>
        </r>
      </text>
    </comment>
    <comment ref="J206" authorId="2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can't find it
Reply:
    highlight yellow</t>
        </r>
      </text>
    </comment>
    <comment ref="J211" authorId="1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cant find it</t>
        </r>
      </text>
    </comment>
    <comment ref="J213" authorId="1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cant find it</t>
        </r>
      </text>
    </comment>
    <comment ref="J219" authorId="3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cant find it</t>
        </r>
      </text>
    </comment>
    <comment ref="J226" authorId="2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Something is wrong with this text</t>
        </r>
      </text>
    </comment>
    <comment ref="J238" authorId="2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text is off, can't find it anywhere</t>
        </r>
      </text>
    </comment>
    <comment ref="J274"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Don't know which instance of this text to refer to to check the location</t>
        </r>
      </text>
    </comment>
    <comment ref="O33" authorId="3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is just off by a few characters
Reply:
    a mistake</t>
        </r>
      </text>
    </comment>
    <comment ref="O38"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is an "a"</t>
        </r>
      </text>
    </comment>
    <comment ref="O66" authorId="1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is an "a"</t>
        </r>
      </text>
    </comment>
    <comment ref="O72" authorId="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How to classify when something is extracted but nothing should be?
Reply:
    b</t>
        </r>
      </text>
    </comment>
    <comment ref="O73" authorId="1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same</t>
        </r>
      </text>
    </comment>
    <comment ref="O126" authorId="2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couldnt find the text, but the company and loc are good</t>
        </r>
      </text>
    </comment>
    <comment ref="O147" authorId="3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 should be an R?</t>
        </r>
      </text>
    </comment>
    <comment ref="O260" authorId="1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 large fraction of the errors in this column are because it lists the previous mining comany's name rather than the correct one.</t>
        </r>
      </text>
    </comment>
    <comment ref="R51" authorId="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t>
        </r>
      </text>
    </comment>
    <comment ref="U18" authorId="2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is a tricky one, but it is actually correct. The firm had offices in london, and their main operation was in Colombia, but it also owned properties in Bolivia.</t>
        </r>
      </text>
    </comment>
    <comment ref="U54" authorId="3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t>
        </r>
      </text>
    </comment>
    <comment ref="U114" authorId="1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Transvaal?</t>
        </r>
      </text>
    </comment>
    <comment ref="U131" authorId="3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t>
        </r>
      </text>
    </comment>
    <comment ref="U177" authorId="1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"nine miles east of" is in the manual, but is not quite the location
Reply:
    b</t>
        </r>
      </text>
    </comment>
    <comment ref="U217" authorId="2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t>
        </r>
      </text>
    </comment>
    <comment ref="U240" authorId="1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Rosario is included in the name of a company in the text, but not a location</t>
        </r>
      </text>
    </comment>
    <comment ref="U364" authorId="1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Portland is part of the office address, but it is not in portland?</t>
        </r>
      </text>
    </comment>
    <comment ref="U377" authorId="3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Portland House, London
Reply:
    ?</t>
        </r>
      </text>
    </comment>
    <comment ref="U393" authorId="1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Salisbury House?</t>
        </r>
      </text>
    </comment>
    <comment ref="W49" authorId="2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 became frederick and M. became morton. Mistake?</t>
        </r>
      </text>
    </comment>
    <comment ref="W133" authorId="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is this a mistake?</t>
        </r>
      </text>
    </comment>
    <comment ref="W270"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H. to Howard</t>
        </r>
      </text>
    </comment>
  </commentList>
</comments>
</file>

<file path=xl/comments2.xml><?xml version="1.0" encoding="utf-8"?>
<comments xmlns="http://schemas.openxmlformats.org/spreadsheetml/2006/main" xmlns:xdr="http://schemas.openxmlformats.org/drawingml/2006/spreadsheetDrawing">
  <authors>
    <author>tc={08A3A584-32CA-45E2-AEAA-7D289993300B}</author>
    <author>tc={0FC0380B-F6C2-4A97-8E08-E7EE6B263527}</author>
    <author>tc={0FF9116C-57BD-41DF-8066-AD2F1B407119}</author>
    <author>tc={1C7D5343-75C8-4541-B471-483B6406E0CB}</author>
    <author>tc={1DFE5BA7-61A8-414A-BDC5-36827EADEE45}</author>
    <author>tc={2FCF9476-3137-4213-A399-96FA0D04F8BF}</author>
    <author>tc={319F41DC-10E9-405C-B85E-26B11DBCDCE9}</author>
    <author>tc={33DB9444-E2F3-4B6A-B0D9-2BC313525F82}</author>
    <author>tc={4002BAF6-0593-4143-B702-4B64A533D4AE}</author>
    <author>tc={448907D0-D80D-4D67-9782-F5955A90A3A9}</author>
    <author>tc={4697069B-40DC-48A5-ADD8-B8D698084F69}</author>
    <author>tc={519800C2-7F9F-42DE-8CE5-1545EC66743D}</author>
    <author>tc={59657766-7695-4C09-84F1-59D5A6D7EC28}</author>
    <author>tc={5F9C78A4-377F-4641-86A3-705C7F14921D}</author>
    <author>tc={65232CF9-A6A1-4B8E-8FEA-B518F495C63A}</author>
    <author>tc={68B3B45D-E3D4-4A6B-873B-1E9790AFFB67}</author>
    <author>tc={76F24FD8-B221-4271-86F6-370450155349}</author>
    <author>tc={79C7F518-EB70-45E2-B6EF-B4C7F7D68FD3}</author>
    <author>tc={82374F43-8CC2-4287-A93D-4FCEDF121974}</author>
    <author>tc={825F1673-DDE1-41DC-B792-C84F92D81A70}</author>
    <author>tc={85BE8CF1-C62F-4C97-9667-E12BA433D568}</author>
    <author>tc={899FF884-9A6C-491C-9ED9-F01AB45F7861}</author>
    <author>tc={8C7A8060-7518-4DCB-984E-F5C27EFC9026}</author>
    <author>tc={99C20DF5-99DF-4727-B660-A9EC6B946007}</author>
    <author>tc={9B157C46-BF1A-461F-AD48-AB119673D907}</author>
    <author>tc={9DC36BD2-67D5-4009-8F81-EB6ABC731327}</author>
    <author>tc={A2675595-7E4D-4314-BD64-A7C2B5C175ED}</author>
    <author>tc={AFA33CD4-1B0F-49E0-9442-2341F24915F9}</author>
    <author>tc={C2F57468-CA16-427A-A83D-B96DAC2DFB2F}</author>
    <author>tc={CADC9EAC-F981-4613-9062-684600998FD2}</author>
    <author>tc={D07118CC-BD4F-4A2C-B034-7539171EB2B4}</author>
    <author>tc={D98151ED-CC9F-4990-9832-F29A0A4BFB3D}</author>
    <author>tc={DF3CAAF8-2D74-4019-9449-E24B69698520}</author>
    <author>tc={E18E103E-9D50-4C39-8768-1FF68ABB3B20}</author>
    <author>tc={EDCF1A2C-3AD6-4B53-9D2C-281344103747}</author>
    <author>tc={F1175231-6A32-47B2-9343-968F55AA8BD9}</author>
  </authors>
  <commentList>
    <comment ref="G195" authorId="1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What is this column? is this an acceptable entry?</t>
        </r>
      </text>
    </comment>
    <comment ref="G220" authorId="1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Arizona?</t>
        </r>
      </text>
    </comment>
    <comment ref="G246" authorId="1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Delaware?</t>
        </r>
      </text>
    </comment>
    <comment ref="N230" authorId="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&amp;?</t>
        </r>
      </text>
    </comment>
    <comment ref="N236" authorId="2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&amp;?</t>
        </r>
      </text>
    </comment>
    <comment ref="N239"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&amp;?</t>
        </r>
      </text>
    </comment>
    <comment ref="N251" authorId="3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t>
        </r>
      </text>
    </comment>
    <comment ref="N254" authorId="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 this line</t>
        </r>
      </text>
    </comment>
    <comment ref="N262" authorId="3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 this line</t>
        </r>
      </text>
    </comment>
    <comment ref="N264" authorId="2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&amp;</t>
        </r>
      </text>
    </comment>
    <comment ref="N292" authorId="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&amp;</t>
        </r>
      </text>
    </comment>
    <comment ref="N298" authorId="2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&amp;</t>
        </r>
      </text>
    </comment>
    <comment ref="N310" authorId="2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&amp;</t>
        </r>
      </text>
    </comment>
    <comment ref="N312"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&amp;</t>
        </r>
      </text>
    </comment>
    <comment ref="N334" authorId="1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&amp;</t>
        </r>
      </text>
    </comment>
    <comment ref="N344" authorId="2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&amp;</t>
        </r>
      </text>
    </comment>
    <comment ref="N345" authorId="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 name</t>
        </r>
      </text>
    </comment>
    <comment ref="N349" authorId="3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&amp;</t>
        </r>
      </text>
    </comment>
    <comment ref="N350" authorId="2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&amp;</t>
        </r>
      </text>
    </comment>
    <comment ref="N35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&amp;</t>
        </r>
      </text>
    </comment>
    <comment ref="N361" authorId="2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&amp;</t>
        </r>
      </text>
    </comment>
    <comment ref="N364"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&amp;</t>
        </r>
      </text>
    </comment>
    <comment ref="N373" authorId="1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Too much info
Reply:
    a?</t>
        </r>
      </text>
    </comment>
    <comment ref="N376" authorId="3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&amp;</t>
        </r>
      </text>
    </comment>
    <comment ref="N380" authorId="3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 name</t>
        </r>
      </text>
    </comment>
    <comment ref="N384" authorId="2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&amp;</t>
        </r>
      </text>
    </comment>
    <comment ref="O343" authorId="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bonds = stock?</t>
        </r>
      </text>
    </comment>
    <comment ref="S142"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Here, is duluth an acceptable loc?</t>
        </r>
      </text>
    </comment>
    <comment ref="S170" authorId="2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 loc</t>
        </r>
      </text>
    </comment>
    <comment ref="S208" authorId="2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 loc</t>
        </r>
      </text>
    </comment>
    <comment ref="S216" authorId="1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 loc</t>
        </r>
      </text>
    </comment>
    <comment ref="S250" authorId="3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 loc</t>
        </r>
      </text>
    </comment>
    <comment ref="S330" authorId="1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 loc</t>
        </r>
      </text>
    </comment>
    <comment ref="U176" authorId="1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sure which is first name or last name here</t>
        </r>
      </text>
    </comment>
    <comment ref="X138" authorId="1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Says Chief instead of Chief Engineer</t>
        </r>
      </text>
    </comment>
    <comment ref="X180" authorId="1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"Chief" Engineer?</t>
        </r>
      </text>
    </comment>
  </commentList>
</comments>
</file>

<file path=xl/comments3.xml><?xml version="1.0" encoding="utf-8"?>
<comments xmlns="http://schemas.openxmlformats.org/spreadsheetml/2006/main" xmlns:xdr="http://schemas.openxmlformats.org/drawingml/2006/spreadsheetDrawing">
  <authors>
    <author>tc={01548027-506A-42FE-AF5D-457B29C61F2D}</author>
    <author>tc={230CA186-B4FB-4E5F-8628-7D235D4821DE}</author>
    <author>tc={393344B7-BD9B-48F1-AFAA-9B5588DCFE35}</author>
    <author>tc={4901A619-21A3-4B3F-A21C-ED94E4FD38CD}</author>
    <author>tc={4BCFC15D-0779-434D-B014-4F7824497FA6}</author>
    <author>tc={60E1847A-92A9-46D5-A2A2-1321145491C8}</author>
    <author>tc={7287B969-3288-4F8A-82A1-3085743B3687}</author>
    <author>tc={7BB80CEA-E3B6-457F-95B2-DE1A40656A6C}</author>
    <author>tc={823ABAA1-0512-4BEC-A6B0-DA4268535397}</author>
    <author>tc={9D785C44-4678-4DD7-A7F3-B8F91042F1E3}</author>
    <author>tc={9E3D087B-22CF-41F7-9CB2-F9C0F39F3F1A}</author>
    <author>tc={A00E7659-B25A-4BF3-864B-5327ECC8EDB0}</author>
    <author>tc={AB39BB5B-34B2-4858-BE82-CEC1A4DF18DD}</author>
    <author>tc={B5B7E917-51A9-4A17-8046-704716E75D0D}</author>
    <author>tc={BCEEED42-2104-4C4E-A22C-FCFE9A3366B1}</author>
    <author>tc={C0434BA7-0C71-4BC4-ACAD-C5C11B2DD877}</author>
    <author>tc={CB77A284-CE7B-496D-AF4E-C0D453B6CBE4}</author>
    <author>tc={CE41EF30-A6D0-4BAA-AC82-E80727738BDA}</author>
    <author>tc={CFD9F799-9F81-458C-AA30-1CF47EE4AC06}</author>
    <author>tc={D4876775-F32F-4685-B80E-463F9C2528AD}</author>
    <author>tc={DBB58BE5-EB6F-47CF-825B-7A651F32B9EB}</author>
    <author>tc={F05C9C1C-9D09-4D47-B372-88BCC37EDAD9}</author>
  </authors>
  <commentList>
    <comment ref="G30" authorId="1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Should be owned?</t>
        </r>
      </text>
    </comment>
    <comment ref="L60" authorId="1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is this okay? or is it an error?</t>
        </r>
      </text>
    </comment>
    <comment ref="Q71" authorId="1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says "la constancia" twice</t>
        </r>
      </text>
    </comment>
    <comment ref="Q337" authorId="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 think these should all be "Mexican Mining Department"</t>
        </r>
      </text>
    </comment>
    <comment ref="T131" authorId="1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 these</t>
        </r>
      </text>
    </comment>
    <comment ref="T147" authorId="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t>
        </r>
      </text>
    </comment>
    <comment ref="T153" authorId="1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t>
        </r>
      </text>
    </comment>
    <comment ref="T223" authorId="1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t>
        </r>
      </text>
    </comment>
    <comment ref="T233" authorId="1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t>
        </r>
      </text>
    </comment>
    <comment ref="T246" authorId="1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
        </r>
      </text>
    </comment>
    <comment ref="T329" authorId="2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t>
        </r>
      </text>
    </comment>
    <comment ref="Y40" authorId="1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Partial address?</t>
        </r>
      </text>
    </comment>
    <comment ref="Y60" authorId="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t>
        </r>
      </text>
    </comment>
    <comment ref="Y62"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 it's missing the apt. number</t>
        </r>
      </text>
    </comment>
    <comment ref="Y6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t>
        </r>
      </text>
    </comment>
    <comment ref="Y118" authorId="2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t>
        </r>
      </text>
    </comment>
    <comment ref="Y144"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t>
        </r>
      </text>
    </comment>
    <comment ref="Y230"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 - incomplete?</t>
        </r>
      </text>
    </comment>
    <comment ref="Y253" authorId="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incomplete</t>
        </r>
      </text>
    </comment>
    <comment ref="Y299" authorId="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 here and below</t>
        </r>
      </text>
    </comment>
    <comment ref="Y326" authorId="1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incomplete</t>
        </r>
      </text>
    </comment>
    <comment ref="AB313"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t>
        </r>
      </text>
    </comment>
  </commentList>
</comments>
</file>

<file path=xl/comments4.xml><?xml version="1.0" encoding="utf-8"?>
<comments xmlns="http://schemas.openxmlformats.org/spreadsheetml/2006/main" xmlns:xdr="http://schemas.openxmlformats.org/drawingml/2006/spreadsheetDrawing">
  <authors>
    <author>tc={1117BFC6-5928-4AFD-A1F5-1A53D56A23DA}</author>
    <author>tc={2BAF973A-46BB-45D9-8428-0AD2D0628F25}</author>
    <author>tc={2BF54DD4-8E32-4529-B553-BD2014B8D75F}</author>
    <author>tc={2E5517E5-359B-4EA1-8C3F-912F70D39992}</author>
    <author>tc={5255E260-EACA-48C3-BB06-EF86F59F24C7}</author>
    <author>tc={5335AE6F-4E83-4583-864D-96B709ED4002}</author>
    <author>tc={6306221C-8A53-4A70-978B-50588BEA0DF4}</author>
    <author>tc={6E2B454C-123E-4A7A-9206-ED5B5AE31135}</author>
    <author>tc={790F8E61-A198-4CC3-961A-E21C65E82A24}</author>
    <author>tc={81F33E34-7A30-4CC6-9CC7-ABCD283F7E9D}</author>
    <author>tc={84394724-E15F-4713-ACA8-A29312A7FFBE}</author>
    <author>tc={85F147C6-E5DB-4D59-B990-B232B73B2856}</author>
    <author>tc={936FCFD9-CA11-4B3E-AD5D-C667735785A7}</author>
    <author>tc={98DA8DAE-CE62-4E01-963E-148014FA4F99}</author>
    <author>tc={B6584715-3121-42B9-A65B-2841C89B70BE}</author>
    <author>tc={B9A63235-8796-421E-B1FE-8F1E7C0E6E94}</author>
    <author>tc={BCDA3BDC-786D-4FBC-8969-609B7E7FED1E}</author>
    <author>tc={C7C3F1CD-9308-4525-8BAC-143E8A8A70A3}</author>
    <author>tc={CDB138DE-E511-4894-AA39-0205C8BF4C0E}</author>
    <author>tc={D1CBC377-190B-4EF3-A2DA-80D3D68BFCD9}</author>
    <author>tc={D5A42D46-7961-48E2-8782-10563A823188}</author>
    <author>tc={D6305529-8D0C-4ADC-B34C-374FCE1B7B5F}</author>
    <author>tc={E0583BEA-036E-477A-BA61-B73250547252}</author>
    <author>tc={E855911F-2F5F-4FE6-9733-8DA01CD44C49}</author>
    <author>tc={ED55DBAF-F453-4AD7-B376-31D39A98CB3A}</author>
    <author>tc={F0D4D390-6FF8-4D15-8738-0E2FC14CE652}</author>
    <author>tc={F234CB0D-1F4B-4C86-807C-5DDAF363DBD7}</author>
    <author>tc={F481B6F8-69ED-4058-862F-203626E66D92}</author>
  </authors>
  <commentList>
    <comment ref="C157" authorId="2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ALL are mistakes (mito year col - 1915)</t>
        </r>
      </text>
    </comment>
    <comment ref="J28" authorId="2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the pdf says these are students from 1868 - 1905, so the year is not known
Reply:
    should be NA</t>
        </r>
      </text>
    </comment>
    <comment ref="J31" authorId="1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found one in 1866 and 1868</t>
        </r>
      </text>
    </comment>
    <comment ref="J32" authorId="1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got his diploma in 1871
Reply:
    no mistake</t>
        </r>
      </text>
    </comment>
    <comment ref="J40" authorId="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dipl 1883</t>
        </r>
      </text>
    </comment>
    <comment ref="J70" authorId="2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 have noticed a trend of these being off by a year (listing the year before what it should be)</t>
        </r>
      </text>
    </comment>
    <comment ref="J132" authorId="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There are a number of fred moores and I'm not sure which one is the target line</t>
        </r>
      </text>
    </comment>
    <comment ref="K21" authorId="2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or a?
Reply:
    b</t>
        </r>
      </text>
    </comment>
    <comment ref="K54"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von Wolff</t>
        </r>
      </text>
    </comment>
    <comment ref="M158"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the mito extraction consistently makes mistakes on the middle name</t>
        </r>
      </text>
    </comment>
    <comment ref="M281" authorId="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student?</t>
        </r>
      </text>
    </comment>
    <comment ref="M333" authorId="1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 string of these entries incorrectly have the middle initial the same as the first name initial</t>
        </r>
      </text>
    </comment>
    <comment ref="N160" authorId="2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sugar expert</t>
        </r>
      </text>
    </comment>
    <comment ref="N179" authorId="1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doesnt list him as an engineer</t>
        </r>
      </text>
    </comment>
    <comment ref="N181"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doesnt list him as a director</t>
        </r>
      </text>
    </comment>
    <comment ref="N224" authorId="2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"engineering dept"</t>
        </r>
      </text>
    </comment>
    <comment ref="N227" authorId="1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assistant mechanical supt.
Reply:
    all highlighted here are just missing a part of the correct title... still count as a mistake?</t>
        </r>
      </text>
    </comment>
    <comment ref="N228" authorId="1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supt. of construction</t>
        </r>
      </text>
    </comment>
    <comment ref="N229" authorId="2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assistant supt.</t>
        </r>
      </text>
    </comment>
    <comment ref="N233" authorId="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general manager</t>
        </r>
      </text>
    </comment>
    <comment ref="N242" authorId="1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assistant engineer</t>
        </r>
      </text>
    </comment>
    <comment ref="O218" authorId="2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 - says "Care of Detroit..."</t>
        </r>
      </text>
    </comment>
    <comment ref="O227" authorId="1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katahdin pulp and paper co.</t>
        </r>
      </text>
    </comment>
    <comment ref="O22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united states ..</t>
        </r>
      </text>
    </comment>
    <comment ref="O234" authorId="1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passaic valley</t>
        </r>
      </text>
    </comment>
    <comment ref="O236" authorId="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capen's school for girls</t>
        </r>
      </text>
    </comment>
    <comment ref="O239"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boston &amp; maine</t>
        </r>
      </text>
    </comment>
    <comment ref="O241" authorId="1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railway &amp; power</t>
        </r>
      </text>
    </comment>
  </commentList>
</comments>
</file>

<file path=xl/comments5.xml><?xml version="1.0" encoding="utf-8"?>
<comments xmlns="http://schemas.openxmlformats.org/spreadsheetml/2006/main" xmlns:xdr="http://schemas.openxmlformats.org/drawingml/2006/spreadsheetDrawing">
  <authors>
    <author>tc={28774B37-D449-4847-A241-743CA85ECD3C}</author>
    <author>tc={57307E90-CE69-4790-BA43-7BC1960329C0}</author>
    <author>tc={57F5C7B2-AFDB-4B97-901F-264FDF86273F}</author>
    <author>tc={5F5BF88F-C423-41F6-B3A5-2CD020942E2E}</author>
    <author>tc={6A4D8374-8B05-429A-846A-BD4A67083D50}</author>
    <author>tc={E0F57914-0964-4D1C-B617-383E8EB33AE2}</author>
  </authors>
  <commentList>
    <comment ref="B169"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Look at the 1885 list, page 42</t>
        </r>
      </text>
    </comment>
    <comment ref="C195"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can find this, but can't find prof or loc</t>
        </r>
      </text>
    </comment>
    <comment ref="C198"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can find this, but can't find prof or loc</t>
        </r>
      </text>
    </comment>
    <comment ref="C222"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found in 1901a
Reply:
    I don't have a 1900 manual to search in</t>
        </r>
      </text>
    </comment>
    <comment ref="L3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program must have found this info somewhere else?</t>
        </r>
      </text>
    </comment>
    <comment ref="N5" authorId="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org in loc</t>
        </r>
      </text>
    </comment>
  </commentList>
</comments>
</file>

<file path=xl/sharedStrings.xml><?xml version="1.0" encoding="utf-8"?>
<sst xmlns="http://schemas.openxmlformats.org/spreadsheetml/2006/main" count="17321" uniqueCount="8892">
  <si>
    <t xml:space="preserve">id</t>
  </si>
  <si>
    <t xml:space="preserve">year</t>
  </si>
  <si>
    <t xml:space="preserve">company</t>
  </si>
  <si>
    <t xml:space="preserve">capital</t>
  </si>
  <si>
    <t xml:space="preserve">office</t>
  </si>
  <si>
    <t xml:space="preserve">yearg</t>
  </si>
  <si>
    <t xml:space="preserve">situated</t>
  </si>
  <si>
    <t xml:space="preserve">mine</t>
  </si>
  <si>
    <t xml:space="preserve">loc</t>
  </si>
  <si>
    <t xml:space="preserve">text</t>
  </si>
  <si>
    <t xml:space="preserve">lastname</t>
  </si>
  <si>
    <t xml:space="preserve">firstname</t>
  </si>
  <si>
    <t xml:space="preserve">middlename</t>
  </si>
  <si>
    <t xml:space="preserve">prof</t>
  </si>
  <si>
    <t xml:space="preserve">cerco</t>
  </si>
  <si>
    <t xml:space="preserve">totco</t>
  </si>
  <si>
    <t xml:space="preserve">extracted/actual</t>
  </si>
  <si>
    <t xml:space="preserve">positive</t>
  </si>
  <si>
    <t xml:space="preserve">negative</t>
  </si>
  <si>
    <t xml:space="preserve">myb1734</t>
  </si>
  <si>
    <t xml:space="preserve">AUSTRIAN OZOKERIT COMPANY</t>
  </si>
  <si>
    <t xml:space="preserve">kensington</t>
  </si>
  <si>
    <t xml:space="preserve">C. J. Elers, 6 Kensington Court</t>
  </si>
  <si>
    <t xml:space="preserve">t</t>
  </si>
  <si>
    <t xml:space="preserve">f</t>
  </si>
  <si>
    <t xml:space="preserve">myb6799</t>
  </si>
  <si>
    <t xml:space="preserve">COMPANY LIMITED</t>
  </si>
  <si>
    <t xml:space="preserve">mysore</t>
  </si>
  <si>
    <t xml:space="preserve">over by the Mysore- Wynaad Consolidated Gold Mining Company, Limited.</t>
  </si>
  <si>
    <t xml:space="preserve">b</t>
  </si>
  <si>
    <t xml:space="preserve">myb13850</t>
  </si>
  <si>
    <t xml:space="preserve">MOUNT TAOAHONG EXPLOBATION</t>
  </si>
  <si>
    <t xml:space="preserve">london</t>
  </si>
  <si>
    <t xml:space="preserve">The dividend for 1685 was 5 per cent., and for 1886, 6 per cent. The</t>
  </si>
  <si>
    <t xml:space="preserve">myb14328</t>
  </si>
  <si>
    <t xml:space="preserve">MORFA DU MINING COMPANY</t>
  </si>
  <si>
    <t xml:space="preserve">limited.</t>
  </si>
  <si>
    <t xml:space="preserve">code</t>
  </si>
  <si>
    <t xml:space="preserve">myb17600</t>
  </si>
  <si>
    <t xml:space="preserve">OPAL MINES OF QUEENSLAND LIMITED</t>
  </si>
  <si>
    <t xml:space="preserve">queensland</t>
  </si>
  <si>
    <t xml:space="preserve">shares, of which 15,000 were taken by the vendor in addition to £27,500 in cash</t>
  </si>
  <si>
    <t xml:space="preserve">myb19077</t>
  </si>
  <si>
    <t xml:space="preserve">POLYEAR TIN MINING COMPANY LIMITED</t>
  </si>
  <si>
    <t xml:space="preserve">cornwall</t>
  </si>
  <si>
    <t xml:space="preserve">The capital is £10,000 in shares of £1 each.</t>
  </si>
  <si>
    <t xml:space="preserve">myb19678</t>
  </si>
  <si>
    <t xml:space="preserve">RAVENSCLIFF MINING COMPANY LIMITED</t>
  </si>
  <si>
    <t xml:space="preserve">new zealand</t>
  </si>
  <si>
    <t xml:space="preserve">necessary capital, to comply with the terms of the Act in this respect within a reasonable</t>
  </si>
  <si>
    <t xml:space="preserve">myb20945</t>
  </si>
  <si>
    <t xml:space="preserve">broad street london</t>
  </si>
  <si>
    <t xml:space="preserve">winchester</t>
  </si>
  <si>
    <t xml:space="preserve">1, Winchester House, Old Broad Street, E.C.</t>
  </si>
  <si>
    <t xml:space="preserve">myb21637</t>
  </si>
  <si>
    <t xml:space="preserve">PLUMAS EUREKA MINE</t>
  </si>
  <si>
    <t xml:space="preserve">plumas</t>
  </si>
  <si>
    <t xml:space="preserve">Seventy-Six Mine, 6,003 tons; Seventy-Six Ravine Mine, 8,160 tons; Elizal eth Mine, 20;</t>
  </si>
  <si>
    <t xml:space="preserve">types of mistakes on true positives</t>
  </si>
  <si>
    <t xml:space="preserve">myb23491</t>
  </si>
  <si>
    <t xml:space="preserve">TINDENE MINING COMPANY LIMITED</t>
  </si>
  <si>
    <t xml:space="preserve">aldersgate street merchant</t>
  </si>
  <si>
    <t xml:space="preserve">.1. M Call, Whipps Cross, Walthamstow, provision merchant 800</t>
  </si>
  <si>
    <t xml:space="preserve">no mistake</t>
  </si>
  <si>
    <t xml:space="preserve">myb27537</t>
  </si>
  <si>
    <t xml:space="preserve">BELL STONE SLATE QUARRIES COMPANY</t>
  </si>
  <si>
    <t xml:space="preserve">broadway</t>
  </si>
  <si>
    <t xml:space="preserve">1886 £4,329.</t>
  </si>
  <si>
    <t xml:space="preserve">source to text (OCR misreads the text, extra spaces, wrong characters, etc.)</t>
  </si>
  <si>
    <t xml:space="preserve">a</t>
  </si>
  <si>
    <t xml:space="preserve">myb31676</t>
  </si>
  <si>
    <t xml:space="preserve">DAN O CONNELL GOLD MINING COMPANY</t>
  </si>
  <si>
    <t xml:space="preserve">comprising togother an area of about 50 acres, both held under the usual</t>
  </si>
  <si>
    <t xml:space="preserve">text to classification</t>
  </si>
  <si>
    <t xml:space="preserve">myb32402</t>
  </si>
  <si>
    <t xml:space="preserve">DISRAELI MINE SYNDICATE COMPANY LIMITED</t>
  </si>
  <si>
    <t xml:space="preserve">broad street b</t>
  </si>
  <si>
    <t xml:space="preserve">This company was registered on the 10th February, 1885, to acquire and work a</t>
  </si>
  <si>
    <t xml:space="preserve">myb37847</t>
  </si>
  <si>
    <t xml:space="preserve">LINARES LEAD MINING COMPANY LIMITED</t>
  </si>
  <si>
    <t xml:space="preserve">linares</t>
  </si>
  <si>
    <t xml:space="preserve">1875 . 15s. Od.</t>
  </si>
  <si>
    <t xml:space="preserve">Progress indicator</t>
  </si>
  <si>
    <t xml:space="preserve">myb42349</t>
  </si>
  <si>
    <t xml:space="preserve">DIRECTORS</t>
  </si>
  <si>
    <t xml:space="preserve">experienced, which have much delayed progress, but your directors are pleased to report that</t>
  </si>
  <si>
    <t xml:space="preserve">myb43124</t>
  </si>
  <si>
    <t xml:space="preserve">NORTH KENNEDY COMPANY LIMITED</t>
  </si>
  <si>
    <t xml:space="preserve">wales</t>
  </si>
  <si>
    <t xml:space="preserve">extraction. The directors hero particularly refer to the discovery made iu the Fort una level ; which, according to the last advices received, is already sending to the crusher mineral of the</t>
  </si>
  <si>
    <t xml:space="preserve">myb45795</t>
  </si>
  <si>
    <t xml:space="preserve">REMEDIOS COLOMBIA UNITED GOLD MINES</t>
  </si>
  <si>
    <t xml:space="preserve">bolivia</t>
  </si>
  <si>
    <t xml:space="preserve">amount of £4,400 were also issued in exchange for the debentures of the old</t>
  </si>
  <si>
    <t xml:space="preserve">myb47091</t>
  </si>
  <si>
    <t xml:space="preserve">franklin</t>
  </si>
  <si>
    <t xml:space="preserve">COMPANY, LIMITED.</t>
  </si>
  <si>
    <t xml:space="preserve">myb50222</t>
  </si>
  <si>
    <t xml:space="preserve">UNITED MAY LUNDY GOLD COMPANY LIMITED</t>
  </si>
  <si>
    <t xml:space="preserve">colorado</t>
  </si>
  <si>
    <t xml:space="preserve">The authorised capital is £150,000, in fully-paid shares of £1 each. Tho</t>
  </si>
  <si>
    <t xml:space="preserve">myb51339</t>
  </si>
  <si>
    <t xml:space="preserve">WEST ARGENTINE GOLD COMPANY LIMITED</t>
  </si>
  <si>
    <t xml:space="preserve">£9o 13s. 5d. per ton, £0,709 9s. ; discounts from merchants, £18 4s. 10d., which with the Inlance</t>
  </si>
  <si>
    <t xml:space="preserve">myb54857</t>
  </si>
  <si>
    <t xml:space="preserve">HOMESTEAD KOMATI GOLDFIELDS OF SOUTH</t>
  </si>
  <si>
    <t xml:space="preserve">sierra</t>
  </si>
  <si>
    <t xml:space="preserve">gold</t>
  </si>
  <si>
    <t xml:space="preserve">homestead</t>
  </si>
  <si>
    <t xml:space="preserve">komati</t>
  </si>
  <si>
    <t xml:space="preserve">board</t>
  </si>
  <si>
    <t xml:space="preserve">myb59106</t>
  </si>
  <si>
    <t xml:space="preserve">ANGLO ASIATIC SYNDICATE LIMITED</t>
  </si>
  <si>
    <t xml:space="preserve">mexico</t>
  </si>
  <si>
    <t xml:space="preserve">The bullion produced during the year 18 7 realised £105,687 18s. 8 1., and for the first nine</t>
  </si>
  <si>
    <t xml:space="preserve">myb62668</t>
  </si>
  <si>
    <t xml:space="preserve">CLONCURRY COPPER AND SMELTING COMPANY</t>
  </si>
  <si>
    <t xml:space="preserve">glasgow</t>
  </si>
  <si>
    <t xml:space="preserve">CLONCURRY COPPER AND SMELTHTG.</t>
  </si>
  <si>
    <t xml:space="preserve">myb69619</t>
  </si>
  <si>
    <t xml:space="preserve">AND PUBLIC WORKS SYNDICATE LIMITED</t>
  </si>
  <si>
    <t xml:space="preserve">brazil</t>
  </si>
  <si>
    <t xml:space="preserve">exploring mining properties, Ac., in Brazil and elsewhere.</t>
  </si>
  <si>
    <t xml:space="preserve">myb75402</t>
  </si>
  <si>
    <t xml:space="preserve">QUEEN CHARLOTTE SOUND GOLD MINE LIMITED</t>
  </si>
  <si>
    <t xml:space="preserve">and this sample, not picked in any way and without any visible signs of gold, yielded, on assay</t>
  </si>
  <si>
    <t xml:space="preserve">myb75700</t>
  </si>
  <si>
    <t xml:space="preserve">REPUBLICAN MOUNTAIN SILVER MINES LIMITED</t>
  </si>
  <si>
    <t xml:space="preserve">georgetown</t>
  </si>
  <si>
    <t xml:space="preserve">vendor in fall payment for the property, and are not entitled to any dividend</t>
  </si>
  <si>
    <t xml:space="preserve">myb85575</t>
  </si>
  <si>
    <t xml:space="preserve">KANYA EXPLORATION COMPANY LIMITED</t>
  </si>
  <si>
    <t xml:space="preserve">s of territories</t>
  </si>
  <si>
    <t xml:space="preserve">covered by the grant ; and prospecting work, conducted under the supervision of Mr. A. 8.</t>
  </si>
  <si>
    <t xml:space="preserve">a/b</t>
  </si>
  <si>
    <t xml:space="preserve">myb87517</t>
  </si>
  <si>
    <t xml:space="preserve">MORGENZON GOLD MINING COMPANY LIMITED</t>
  </si>
  <si>
    <t xml:space="preserve">johannesburg</t>
  </si>
  <si>
    <t xml:space="preserve">No. 73, granted by the Government of the South African Republic for 15 years,</t>
  </si>
  <si>
    <t xml:space="preserve">myb88079</t>
  </si>
  <si>
    <t xml:space="preserve">NIGEL GOLD MINING COMPANY LIMITED</t>
  </si>
  <si>
    <t xml:space="preserve">heidelberg</t>
  </si>
  <si>
    <t xml:space="preserve">THIS company was formed in July, 1888, for the purpose of acquiring a mining</t>
  </si>
  <si>
    <t xml:space="preserve">myb90530</t>
  </si>
  <si>
    <t xml:space="preserve">MINING AND EXPLORATION CO LTD</t>
  </si>
  <si>
    <t xml:space="preserve">australia</t>
  </si>
  <si>
    <t xml:space="preserve">and £32,132 5s. paid up ; the 100 founders shares and 20,000 ordinary shares</t>
  </si>
  <si>
    <t xml:space="preserve">myb93188</t>
  </si>
  <si>
    <t xml:space="preserve">ZAMBESI CONCESSIONS COMPANY LIMITED</t>
  </si>
  <si>
    <t xml:space="preserve">Directors.</t>
  </si>
  <si>
    <t xml:space="preserve">myb95061</t>
  </si>
  <si>
    <t xml:space="preserve">BAHANCANNE COPFEH</t>
  </si>
  <si>
    <t xml:space="preserve">NA</t>
  </si>
  <si>
    <t xml:space="preserve">is common and the fee 2s. 6d. per deed.</t>
  </si>
  <si>
    <t xml:space="preserve">myb97309</t>
  </si>
  <si>
    <t xml:space="preserve">CENTRAL ARGENTINE GOLD FIELDS LIMITED</t>
  </si>
  <si>
    <t xml:space="preserve">florence</t>
  </si>
  <si>
    <t xml:space="preserve">Sarawak Coal Concession acquired in April, 1889 , which gives the right to mine for cos ,</t>
  </si>
  <si>
    <t xml:space="preserve">myb97977</t>
  </si>
  <si>
    <t xml:space="preserve">UNION CORPORATION LTD</t>
  </si>
  <si>
    <t xml:space="preserve">somerset</t>
  </si>
  <si>
    <t xml:space="preserve">the proportion which the amount of capital subscribed bears to the nominal</t>
  </si>
  <si>
    <t xml:space="preserve">myb100462</t>
  </si>
  <si>
    <t xml:space="preserve">ENGLISH CROWN SPELTER COMPANY LIMITED</t>
  </si>
  <si>
    <t xml:space="preserve">swansea</t>
  </si>
  <si>
    <t xml:space="preserve">creation of 16,000 new shares of £1 each, and the £4 shares were sub-divided</t>
  </si>
  <si>
    <t xml:space="preserve">myb103335</t>
  </si>
  <si>
    <t xml:space="preserve">ISLE OF MAN MINING COMPANY LIMITED</t>
  </si>
  <si>
    <t xml:space="preserve">Beckwith e shaft has been sunk 17 fathoms, or deep enough for another level below the</t>
  </si>
  <si>
    <t xml:space="preserve">myb107969</t>
  </si>
  <si>
    <t xml:space="preserve">NEW MINERA MININ G</t>
  </si>
  <si>
    <t xml:space="preserve">lima</t>
  </si>
  <si>
    <t xml:space="preserve">25th August and 9th September, 1890, to wind up the oompany voluntarily and</t>
  </si>
  <si>
    <t xml:space="preserve">myb119202</t>
  </si>
  <si>
    <t xml:space="preserve">SYNDICATE LIMITED</t>
  </si>
  <si>
    <t xml:space="preserve">myb123322</t>
  </si>
  <si>
    <t xml:space="preserve">NORTH AFRICAN EXPLORATION SYNDICATE</t>
  </si>
  <si>
    <t xml:space="preserve">transvaal</t>
  </si>
  <si>
    <t xml:space="preserve">Offloes.</t>
  </si>
  <si>
    <t xml:space="preserve">myb124568</t>
  </si>
  <si>
    <t xml:space="preserve">SHEBA GOLD MINING COMPANY LIMITED</t>
  </si>
  <si>
    <t xml:space="preserve">the 31st March, 1838. The accounts to the 30th September, 1839, showed a profit or the twelve</t>
  </si>
  <si>
    <t xml:space="preserve">myb127174</t>
  </si>
  <si>
    <t xml:space="preserve">WEST AFRICAN CONCESSIONS SYNDICATE</t>
  </si>
  <si>
    <t xml:space="preserve">western</t>
  </si>
  <si>
    <t xml:space="preserve">Government.</t>
  </si>
  <si>
    <t xml:space="preserve">myb129379</t>
  </si>
  <si>
    <t xml:space="preserve">AVALA QUICKSILVER MINES LIMITED</t>
  </si>
  <si>
    <t xml:space="preserve">In 1890 Mr. Weifert one of the Servian directors , who was one of the vendors, agreed to find a sufficient sum of money to carry the works to a greater</t>
  </si>
  <si>
    <t xml:space="preserve">myb133288</t>
  </si>
  <si>
    <t xml:space="preserve">DON PEDRO GOLD MINING COMPANY LIMITED</t>
  </si>
  <si>
    <t xml:space="preserve">england</t>
  </si>
  <si>
    <t xml:space="preserve">of mining account of £12,541 9s., making a total debit of £66,346 15s 4d.</t>
  </si>
  <si>
    <t xml:space="preserve">myb138263</t>
  </si>
  <si>
    <t xml:space="preserve">MESQUITAL DEL ORO MINING COMPANY</t>
  </si>
  <si>
    <t xml:space="preserve">zacatecas</t>
  </si>
  <si>
    <t xml:space="preserve">Zacatecas, Republic of Mexico, and in 1886 the company purchased the adjoining</t>
  </si>
  <si>
    <t xml:space="preserve">myb146526</t>
  </si>
  <si>
    <t xml:space="preserve">:ne whole business.</t>
  </si>
  <si>
    <t xml:space="preserve">myb154294</t>
  </si>
  <si>
    <t xml:space="preserve">LONDON AND FOREIGN CONTRACT CORPORATION</t>
  </si>
  <si>
    <t xml:space="preserve">This syndicate was registered on the 16th January, 1888, to acquire concessions,</t>
  </si>
  <si>
    <t xml:space="preserve">registered</t>
  </si>
  <si>
    <t xml:space="preserve">this</t>
  </si>
  <si>
    <t xml:space="preserve">syndicate</t>
  </si>
  <si>
    <t xml:space="preserve">myb155873</t>
  </si>
  <si>
    <t xml:space="preserve">NEW MYNPACHT GOLD MINING COMPANY</t>
  </si>
  <si>
    <t xml:space="preserve">Potchefstroom District, Transvaal, formerly the property of the Mynpacht Lui-</t>
  </si>
  <si>
    <t xml:space="preserve">myb160413</t>
  </si>
  <si>
    <t xml:space="preserve">ACHILLES GOLDFIELDS LIMITED</t>
  </si>
  <si>
    <t xml:space="preserve">F. M. Eden, Chairman.</t>
  </si>
  <si>
    <t xml:space="preserve">eddy</t>
  </si>
  <si>
    <t xml:space="preserve">frederick</t>
  </si>
  <si>
    <t xml:space="preserve">morton</t>
  </si>
  <si>
    <t xml:space="preserve">chair</t>
  </si>
  <si>
    <t xml:space="preserve">myb160514</t>
  </si>
  <si>
    <t xml:space="preserve">ALADDIN S LAMP GOLD MINING COMPANY LIMITED</t>
  </si>
  <si>
    <t xml:space="preserve">Proprietary Company for 20 years from the 1st March, 1892, subject to a royalty</t>
  </si>
  <si>
    <t xml:space="preserve">myb162808</t>
  </si>
  <si>
    <t xml:space="preserve">BLINMAN MINING COMPANY LIMITED</t>
  </si>
  <si>
    <t xml:space="preserve">21st December, 1885, to acquire from Henry Keudrick, as liquidator of the Cor</t>
  </si>
  <si>
    <t xml:space="preserve">myb171939</t>
  </si>
  <si>
    <t xml:space="preserve">NEW MOUNT ALBION SILVER</t>
  </si>
  <si>
    <t xml:space="preserve">pachuca</t>
  </si>
  <si>
    <t xml:space="preserve">working the silver-mining grants known as San Miguel del Tajo, La Union, and</t>
  </si>
  <si>
    <t xml:space="preserve">myb173419</t>
  </si>
  <si>
    <t xml:space="preserve">OURAY GOLD MINING COMPANY LIMITED</t>
  </si>
  <si>
    <t xml:space="preserve">united states</t>
  </si>
  <si>
    <t xml:space="preserve">have been suspended, and the company is practicajly defunct.</t>
  </si>
  <si>
    <t xml:space="preserve">myb177208</t>
  </si>
  <si>
    <t xml:space="preserve">SPANISH COPPER CQMEANY LIMITED</t>
  </si>
  <si>
    <t xml:space="preserve">M. Mnmford. 2, Tokenhouse Buildings, E.C.</t>
  </si>
  <si>
    <t xml:space="preserve">myb179154</t>
  </si>
  <si>
    <t xml:space="preserve">WESTWOETH GOLD FIELDS</t>
  </si>
  <si>
    <t xml:space="preserve">as either to be paid off by the vendors or a corresponding reduction made in the</t>
  </si>
  <si>
    <t xml:space="preserve">myb180450</t>
  </si>
  <si>
    <t xml:space="preserve">BANTJES REEF GOLD MINING COMPANY</t>
  </si>
  <si>
    <t xml:space="preserve">The authorised capital is £95,000, in 95,000 shares of £1 each, of which 83,000</t>
  </si>
  <si>
    <t xml:space="preserve">myb180875</t>
  </si>
  <si>
    <t xml:space="preserve">BBITISH SOUTH AFRICA</t>
  </si>
  <si>
    <t xml:space="preserve">oaxaca</t>
  </si>
  <si>
    <t xml:space="preserve">including the region to the north and west of the Bechuanaland Protectorate,</t>
  </si>
  <si>
    <t xml:space="preserve">myb192007</t>
  </si>
  <si>
    <t xml:space="preserve">BAYLEY S WEST EXTENDED LIMITED</t>
  </si>
  <si>
    <t xml:space="preserve">hopewell</t>
  </si>
  <si>
    <t xml:space="preserve">October, 1801, as to the joint management and use of plant.</t>
  </si>
  <si>
    <t xml:space="preserve">myb194632</t>
  </si>
  <si>
    <t xml:space="preserve">CENTRAL COLLIERIES LIMITED</t>
  </si>
  <si>
    <t xml:space="preserve">marshall</t>
  </si>
  <si>
    <t xml:space="preserve">are not obtainable. Transfer form, common ; fee, 2s. 6d. per deed.</t>
  </si>
  <si>
    <t xml:space="preserve">myb195436</t>
  </si>
  <si>
    <t xml:space="preserve">COHTEZ MINES</t>
  </si>
  <si>
    <t xml:space="preserve">with the balance from September, 1891, made £15,398 10s. 9d. available for</t>
  </si>
  <si>
    <t xml:space="preserve">myb195639</t>
  </si>
  <si>
    <t xml:space="preserve">CRACKER CREEK GOLD MINES COMPANY LIMITED</t>
  </si>
  <si>
    <t xml:space="preserve">oregon</t>
  </si>
  <si>
    <t xml:space="preserve">CRACKER CREEK GOLD MINES COMPANY, LIMITED.</t>
  </si>
  <si>
    <t xml:space="preserve">myb195811</t>
  </si>
  <si>
    <t xml:space="preserve">CUE GOLDFIELD OF WESTERN AUSTRALIA</t>
  </si>
  <si>
    <t xml:space="preserve">Australian Government are for periods of 21 years, renewable in perpetuity, at a</t>
  </si>
  <si>
    <t xml:space="preserve">myb198587</t>
  </si>
  <si>
    <t xml:space="preserve">GOLDEN FEATHER LIMITED</t>
  </si>
  <si>
    <t xml:space="preserve">Agents in America. Bankers. Solicitors.</t>
  </si>
  <si>
    <t xml:space="preserve">myb206195</t>
  </si>
  <si>
    <t xml:space="preserve">france</t>
  </si>
  <si>
    <t xml:space="preserve">1878 9</t>
  </si>
  <si>
    <t xml:space="preserve">myb206913</t>
  </si>
  <si>
    <t xml:space="preserve">Charles Henry Turner, Kelson, N.Z.</t>
  </si>
  <si>
    <t xml:space="preserve">myb213759</t>
  </si>
  <si>
    <t xml:space="preserve">TPHEEGAT COAL</t>
  </si>
  <si>
    <t xml:space="preserve">dalton</t>
  </si>
  <si>
    <t xml:space="preserve">s Denny-Dalton Syndicate, Limited, about 1,300 acres of land, forming a</t>
  </si>
  <si>
    <t xml:space="preserve">myb215149</t>
  </si>
  <si>
    <t xml:space="preserve">GOLD FIELDS OF MASHONALAND LIMITED</t>
  </si>
  <si>
    <t xml:space="preserve">is company was registered on the 21st February, 1893, for the purpose of</t>
  </si>
  <si>
    <t xml:space="preserve">myb216558</t>
  </si>
  <si>
    <t xml:space="preserve">KOBOLONDO DEVELOPMENT SYNDICATE LTD</t>
  </si>
  <si>
    <t xml:space="preserve">1893, showed expenditure to date, £2,008 7s. ; cash balances, £356 7s. Id.</t>
  </si>
  <si>
    <t xml:space="preserve">myb222618</t>
  </si>
  <si>
    <t xml:space="preserve">MINE LIMITED</t>
  </si>
  <si>
    <t xml:space="preserve">All work has remained suspended and the mine shut down since April, 1892. The</t>
  </si>
  <si>
    <t xml:space="preserve">myb224504</t>
  </si>
  <si>
    <t xml:space="preserve">VILLAGE MAIN REEF GOLD MINING CO LTD</t>
  </si>
  <si>
    <t xml:space="preserve">west for 37,000 fully-paid shares.</t>
  </si>
  <si>
    <t xml:space="preserve">myb225024</t>
  </si>
  <si>
    <t xml:space="preserve">WOLHUTER GOLD MINING COMPANY LIMITED</t>
  </si>
  <si>
    <t xml:space="preserve">Mink. The large amount of development work done during the pa t year have greatlv</t>
  </si>
  <si>
    <t xml:space="preserve">myb225838</t>
  </si>
  <si>
    <t xml:space="preserve">MINING DIRECTORS</t>
  </si>
  <si>
    <t xml:space="preserve">victoria road old cliarlton</t>
  </si>
  <si>
    <t xml:space="preserve">Barwell, Major-General William Harwell, 33, Victoria Road, Old Cliarlton, 8.E., is a director</t>
  </si>
  <si>
    <t xml:space="preserve">myb228991</t>
  </si>
  <si>
    <t xml:space="preserve">754 THM .</t>
  </si>
  <si>
    <t xml:space="preserve">colombia</t>
  </si>
  <si>
    <t xml:space="preserve">Randt Coal Mining and Land Company, Limited.</t>
  </si>
  <si>
    <t xml:space="preserve">myb231370</t>
  </si>
  <si>
    <t xml:space="preserve">AFRICAN GOLD RECOVERY COMPANY LIMITED</t>
  </si>
  <si>
    <t xml:space="preserve">placed to reserve, and the balance of £913 13s. 41. was carried forward. Thi</t>
  </si>
  <si>
    <t xml:space="preserve">myb234853</t>
  </si>
  <si>
    <t xml:space="preserve">myb235048</t>
  </si>
  <si>
    <t xml:space="preserve">DUTOITSPAN MINE LIMITED</t>
  </si>
  <si>
    <t xml:space="preserve">payable, the Griqnaland Company has the right to re-enter and take possession</t>
  </si>
  <si>
    <t xml:space="preserve">myb236115</t>
  </si>
  <si>
    <t xml:space="preserve">great namaqualand</t>
  </si>
  <si>
    <t xml:space="preserve">interest. Transfer form, common ; fee, 2s. 6d. per deed.</t>
  </si>
  <si>
    <t xml:space="preserve">myb251549</t>
  </si>
  <si>
    <t xml:space="preserve">ANGLO ALASKAN SYNDICATE LIMITED</t>
  </si>
  <si>
    <t xml:space="preserve">THIS syndicate was registered on the 11th March, 1809, and is a reconstruction</t>
  </si>
  <si>
    <t xml:space="preserve">myb252170</t>
  </si>
  <si>
    <t xml:space="preserve">ARIZONA COPPER COMPANY LIMITED</t>
  </si>
  <si>
    <t xml:space="preserve">shares £131,625 have been issued and are now converted into fully-paid</t>
  </si>
  <si>
    <t xml:space="preserve">myb252386</t>
  </si>
  <si>
    <t xml:space="preserve">ATLIN LAKE COMPANY LIMITED</t>
  </si>
  <si>
    <t xml:space="preserve">prescott</t>
  </si>
  <si>
    <t xml:space="preserve">Directors Qualification, £100 .</t>
  </si>
  <si>
    <t xml:space="preserve">myb253695</t>
  </si>
  <si>
    <t xml:space="preserve">BLAINSCOUGH CVOLLIERY COMPANY LIMITED</t>
  </si>
  <si>
    <t xml:space="preserve">darlington</t>
  </si>
  <si>
    <t xml:space="preserve">The accounts are made up half-yearly to the 30th June and 81st December,</t>
  </si>
  <si>
    <t xml:space="preserve">myb258586</t>
  </si>
  <si>
    <t xml:space="preserve">EDINBURGH COLLIERIES CO LTD</t>
  </si>
  <si>
    <t xml:space="preserve">Robert Thomas Moore, M.E. I Alexander H. Nasmyth. l Adam Nimrnc.</t>
  </si>
  <si>
    <t xml:space="preserve">moore</t>
  </si>
  <si>
    <t xml:space="preserve">robert</t>
  </si>
  <si>
    <t xml:space="preserve">thomas</t>
  </si>
  <si>
    <t xml:space="preserve">nash</t>
  </si>
  <si>
    <t xml:space="preserve">alexander</t>
  </si>
  <si>
    <t xml:space="preserve">myb260430</t>
  </si>
  <si>
    <t xml:space="preserve">GLENAVON RHONDDA COLLIERIES COMPANYI</t>
  </si>
  <si>
    <t xml:space="preserve">6,105 preference and 15.000 ordinary being issued credited as paid. There are</t>
  </si>
  <si>
    <t xml:space="preserve">myb261902</t>
  </si>
  <si>
    <t xml:space="preserve">HUTTI NIZAM S GOLD MINES LTD</t>
  </si>
  <si>
    <t xml:space="preserve">cannon street ec</t>
  </si>
  <si>
    <t xml:space="preserve">Bankers N ational Bank of India, Limited.</t>
  </si>
  <si>
    <t xml:space="preserve">myb271839</t>
  </si>
  <si>
    <t xml:space="preserve">SHELTON IRON STEEL AND COAL CO LTD</t>
  </si>
  <si>
    <t xml:space="preserve">april</t>
  </si>
  <si>
    <t xml:space="preserve">and 21,966 ordinary shares have been issued and are fully paid. The preference</t>
  </si>
  <si>
    <t xml:space="preserve">myb272594</t>
  </si>
  <si>
    <t xml:space="preserve">SYHELAIEIMITED</t>
  </si>
  <si>
    <t xml:space="preserve">united kingdom</t>
  </si>
  <si>
    <t xml:space="preserve">shire, or elsewhere in the United Kingdom.</t>
  </si>
  <si>
    <t xml:space="preserve">myb275015</t>
  </si>
  <si>
    <t xml:space="preserve">WELCOME HILL MOEL Y GROESAU MINES</t>
  </si>
  <si>
    <t xml:space="preserve">Festiniog, 1,072 acres in extent, with an option over an adjoining block</t>
  </si>
  <si>
    <t xml:space="preserve">myb279132</t>
  </si>
  <si>
    <t xml:space="preserve">GREAT BOULDER NO LTD</t>
  </si>
  <si>
    <t xml:space="preserve">kalgoorlie</t>
  </si>
  <si>
    <t xml:space="preserve">per ton. Estimated ore reserves at December 31st, 1906 : 383,410 tons, assay</t>
  </si>
  <si>
    <t xml:space="preserve">myb281049</t>
  </si>
  <si>
    <t xml:space="preserve">MINING AND GUARANTEE COMPANY LIMITED</t>
  </si>
  <si>
    <t xml:space="preserve">The authorised capital is £130,000, in 130,000 shares of £1 each ; 65,005 shares</t>
  </si>
  <si>
    <t xml:space="preserve">myb284283</t>
  </si>
  <si>
    <t xml:space="preserve">VICTORIAN CORNISH GOLD MINES LIMITED</t>
  </si>
  <si>
    <t xml:space="preserve">all the shares</t>
  </si>
  <si>
    <t xml:space="preserve">myb286531</t>
  </si>
  <si>
    <t xml:space="preserve">APEX MINES LTD</t>
  </si>
  <si>
    <t xml:space="preserve">in July, 1895, 25,000 shares being issued to shareholders at 35s. each and 31,500</t>
  </si>
  <si>
    <t xml:space="preserve">myb288485</t>
  </si>
  <si>
    <t xml:space="preserve">C ASSI NGA CONCESSIONS LI MITE D</t>
  </si>
  <si>
    <t xml:space="preserve">about square miles in the</t>
  </si>
  <si>
    <t xml:space="preserve">canada</t>
  </si>
  <si>
    <t xml:space="preserve">rights over a dirtriot of about 11,000 square miles in the territories of the</t>
  </si>
  <si>
    <t xml:space="preserve">myb300828</t>
  </si>
  <si>
    <t xml:space="preserve">FIGG S PEAK DEVELOPMENT</t>
  </si>
  <si>
    <t xml:space="preserve">eight shares of the former company, further capital being raised by an issue of</t>
  </si>
  <si>
    <t xml:space="preserve">myb304160</t>
  </si>
  <si>
    <t xml:space="preserve">SOUTH AFKICAN COMPANY</t>
  </si>
  <si>
    <t xml:space="preserve">The accounts for year ended December 31st, 1905, submitted in Johannes</t>
  </si>
  <si>
    <t xml:space="preserve">myb310176</t>
  </si>
  <si>
    <t xml:space="preserve">ATLANTIC FINANCE CORPORATION</t>
  </si>
  <si>
    <t xml:space="preserve">british columbia</t>
  </si>
  <si>
    <t xml:space="preserve">are issued and fully paid. No prospectus was issued ; £7,500 working capital</t>
  </si>
  <si>
    <t xml:space="preserve">myb311920</t>
  </si>
  <si>
    <t xml:space="preserve">BRITISH AND ARGENTINE CORPORATION LIMITED</t>
  </si>
  <si>
    <t xml:space="preserve">BRITISH MOLYBDENITE Cbl ANY. LIMITED;</t>
  </si>
  <si>
    <t xml:space="preserve">myb312077</t>
  </si>
  <si>
    <t xml:space="preserve">BROOKE S A NT H RACITE SYNDI CATE LIMITED</t>
  </si>
  <si>
    <t xml:space="preserve">newcastle</t>
  </si>
  <si>
    <t xml:space="preserve">175,000. Transfer form, common ; fee, 2s. 6d.</t>
  </si>
  <si>
    <t xml:space="preserve">myb315363</t>
  </si>
  <si>
    <t xml:space="preserve">DEMERARA EXPLORATION COMPANY LIMITED</t>
  </si>
  <si>
    <t xml:space="preserve">buckingham</t>
  </si>
  <si>
    <t xml:space="preserve">issued and fully paid. No accounts received. Transfer form, common ; fee, 2 . 6d. denaby a nd ca7d£ by m ain co lQe rTe s, ltd. Directors Qualification, lourdinary shares £1,000 . J. Buckingham Pope, Chairman | John C. Cuninghame. | Capt. M. E. W. Pope.</t>
  </si>
  <si>
    <t xml:space="preserve">cundv</t>
  </si>
  <si>
    <t xml:space="preserve">john</t>
  </si>
  <si>
    <t xml:space="preserve">charles</t>
  </si>
  <si>
    <t xml:space="preserve">demond</t>
  </si>
  <si>
    <t xml:space="preserve">fee</t>
  </si>
  <si>
    <t xml:space="preserve">paid</t>
  </si>
  <si>
    <t xml:space="preserve">issued</t>
  </si>
  <si>
    <t xml:space="preserve">and</t>
  </si>
  <si>
    <t xml:space="preserve">popcke</t>
  </si>
  <si>
    <t xml:space="preserve">m</t>
  </si>
  <si>
    <t xml:space="preserve">e</t>
  </si>
  <si>
    <t xml:space="preserve">myb318578</t>
  </si>
  <si>
    <t xml:space="preserve">HARTON COAL COMPANY LIMITED</t>
  </si>
  <si>
    <t xml:space="preserve">durham</t>
  </si>
  <si>
    <t xml:space="preserve">Quarries, Marsden Estates, the South Shields, Marsden and Whitburn Colliery</t>
  </si>
  <si>
    <t xml:space="preserve">myb334502</t>
  </si>
  <si>
    <t xml:space="preserve">EASTERN FREEHOLDS GLADSTONE LIMITED</t>
  </si>
  <si>
    <t xml:space="preserve">The authorised capital is £4,000, in SO shares of £60 each ; all the shares</t>
  </si>
  <si>
    <t xml:space="preserve">myb336245</t>
  </si>
  <si>
    <t xml:space="preserve">LAKE JUKES COPPER COMPANY NO LIABILITY</t>
  </si>
  <si>
    <t xml:space="preserve">Auditors Ford, Rhodes &amp; Ford.</t>
  </si>
  <si>
    <t xml:space="preserve">myb337929</t>
  </si>
  <si>
    <t xml:space="preserve">NEW DAY DAWN AND NORFOLK MINES LTD</t>
  </si>
  <si>
    <t xml:space="preserve">Cjlonial SoSleiccirteotra ryCecil Adler. | Bankers Williams Deacon s Bank. and Offices F. H. Clark, Steamship Buildings, Currio Street,</t>
  </si>
  <si>
    <t xml:space="preserve">myb338329</t>
  </si>
  <si>
    <t xml:space="preserve">NORTH BROKEN HILL MININO</t>
  </si>
  <si>
    <t xml:space="preserve">NORTH KALGURLI COMPANY. LIMITED. Directors Qualification, one share .</t>
  </si>
  <si>
    <t xml:space="preserve">myb343500</t>
  </si>
  <si>
    <t xml:space="preserve">BANTJES CONSOLIDATED</t>
  </si>
  <si>
    <t xml:space="preserve">rhodesia</t>
  </si>
  <si>
    <t xml:space="preserve">inns was guaranteed at par by the New Rhodesia District Development Co., Ltd.</t>
  </si>
  <si>
    <t xml:space="preserve">myb344013</t>
  </si>
  <si>
    <t xml:space="preserve">BOOYSENS ESTATE LIMITED</t>
  </si>
  <si>
    <t xml:space="preserve">Secretaries and Offices Consolidated Gold Fields of South Africa, Limited, Gold Field</t>
  </si>
  <si>
    <t xml:space="preserve">myb345463</t>
  </si>
  <si>
    <t xml:space="preserve">CITY AND SUBUREAN GOLD MINING AND ESTATE COMPANY LIMITED</t>
  </si>
  <si>
    <t xml:space="preserve">inoluding deep levels. The northern portion of the estate adjoining Johannes</t>
  </si>
  <si>
    <t xml:space="preserve">myb345938</t>
  </si>
  <si>
    <t xml:space="preserve">CONSOLIDATED AFRICAN COPPER TRUST LIMITED</t>
  </si>
  <si>
    <t xml:space="preserve">Consolidated Exploration and Develop</t>
  </si>
  <si>
    <t xml:space="preserve">myb349300</t>
  </si>
  <si>
    <t xml:space="preserve">FRENCH AYRSHIRE AND LO MAGONDI DISTRICT D E VE LOPM E NT COMPANY LIMITED</t>
  </si>
  <si>
    <t xml:space="preserve">The reef series has been opened up from new deep level shafts, and a new</t>
  </si>
  <si>
    <t xml:space="preserve">myb351852</t>
  </si>
  <si>
    <t xml:space="preserve">JUPITEK GOLD</t>
  </si>
  <si>
    <t xml:space="preserve">£40,679. Freminm or reserve shares issned £612,500. The next accounts to be</t>
  </si>
  <si>
    <t xml:space="preserve">myb354125</t>
  </si>
  <si>
    <t xml:space="preserve">MAY CONSOLIDATED GOLD MINING COMPANY</t>
  </si>
  <si>
    <t xml:space="preserve">at par for 12 months. This option was exercised, and in June, 1895, the remain</t>
  </si>
  <si>
    <t xml:space="preserve">myb356356</t>
  </si>
  <si>
    <t xml:space="preserve">NEW MODDERFONTEIN GOLD</t>
  </si>
  <si>
    <t xml:space="preserve">aurora</t>
  </si>
  <si>
    <t xml:space="preserve">A 60-stamp mill was started in 1893 and Btopped in 1894; crushing was</t>
  </si>
  <si>
    <t xml:space="preserve">myb360129</t>
  </si>
  <si>
    <t xml:space="preserve">SIMMER AND JACK EAST LIMITED</t>
  </si>
  <si>
    <t xml:space="preserve">Witwatersrand, the northern boundary being about 4,000 feet south from the</t>
  </si>
  <si>
    <t xml:space="preserve">myb361990</t>
  </si>
  <si>
    <t xml:space="preserve">TRANSVAAL CONSOLIDATED LAND</t>
  </si>
  <si>
    <t xml:space="preserve">1906 : highest, 2J j lowest, 1 ; 1907 : highest 8J ; lowest, 1 i 1908 : highest,</t>
  </si>
  <si>
    <t xml:space="preserve">myb362129</t>
  </si>
  <si>
    <t xml:space="preserve">London Direetore. Sir Bartle C. A. Frere, Bart., D.S.O. | Nicol Brown, alternate M. T. Brown. | C. Pakeman.</t>
  </si>
  <si>
    <t xml:space="preserve">bartholomew</t>
  </si>
  <si>
    <t xml:space="preserve">direetore</t>
  </si>
  <si>
    <t xml:space="preserve">brown</t>
  </si>
  <si>
    <t xml:space="preserve">nicol</t>
  </si>
  <si>
    <t xml:space="preserve">painter</t>
  </si>
  <si>
    <t xml:space="preserve">myb362541</t>
  </si>
  <si>
    <t xml:space="preserve">TWEEFONTEIN COLLIERY LTD</t>
  </si>
  <si>
    <t xml:space="preserve">showed £7,758 profit for year, making credit balance £10,487 ; the dividend</t>
  </si>
  <si>
    <t xml:space="preserve">myb365922</t>
  </si>
  <si>
    <t xml:space="preserve">KWEI CHAU PROVINCE OF CHINA LIMITED</t>
  </si>
  <si>
    <t xml:space="preserve">quicksilver and 18,554 lbs. cinnabar ; work mnch hindered by antagonistic</t>
  </si>
  <si>
    <t xml:space="preserve">myb371417</t>
  </si>
  <si>
    <t xml:space="preserve">DERRY AND ANTRIM ORE COMPANY LIMITED</t>
  </si>
  <si>
    <t xml:space="preserve">ireland</t>
  </si>
  <si>
    <t xml:space="preserve">20,178 acres in the Downhill, 328 acres in the Draperstown, and 1,800 acres the Dungiven districts, in the Counties of Antrim and Derry, North Ireland, machinery, plant and about 40,000 tons of oxide ore at grass. The property</t>
  </si>
  <si>
    <t xml:space="preserve">myb374644</t>
  </si>
  <si>
    <t xml:space="preserve">HEATH S DEE COLLIERIES LIMITED</t>
  </si>
  <si>
    <t xml:space="preserve">hedley</t>
  </si>
  <si>
    <t xml:space="preserve">28th, 1908, it was resolved to wind up voluntarily ; liquidator, H. E. Williams,</t>
  </si>
  <si>
    <t xml:space="preserve">myb374691</t>
  </si>
  <si>
    <t xml:space="preserve">HTCKLETON MAIN COLLIERY COMPANY LI MITE D</t>
  </si>
  <si>
    <t xml:space="preserve">Telegrams : Axiopolis, London. Phone : 3189 Wall.</t>
  </si>
  <si>
    <t xml:space="preserve">myb376102</t>
  </si>
  <si>
    <t xml:space="preserve">KESHAN COLLIERIES LIMITED</t>
  </si>
  <si>
    <t xml:space="preserve">I Auditors Henry John Burgess 4 Co.</t>
  </si>
  <si>
    <t xml:space="preserve">myb376808</t>
  </si>
  <si>
    <t xml:space="preserve">LE ROI MINING COMPANY LIMITED</t>
  </si>
  <si>
    <t xml:space="preserve">Dividends paid : 5s. per Bhare November 7th, 1899; Is. 6d. February 28tb,</t>
  </si>
  <si>
    <t xml:space="preserve">myb378422</t>
  </si>
  <si>
    <t xml:space="preserve">MIDLAND COAL COKE AND IBON</t>
  </si>
  <si>
    <t xml:space="preserve">staffordshire</t>
  </si>
  <si>
    <t xml:space="preserve">exchange for fully-paid shares of the old company and 12s. 6d. called up,</t>
  </si>
  <si>
    <t xml:space="preserve">myb382352</t>
  </si>
  <si>
    <t xml:space="preserve">PEKIN SYNDICATE LIMITED</t>
  </si>
  <si>
    <t xml:space="preserve">which period the company is to work the railway on behalf of the Government</t>
  </si>
  <si>
    <t xml:space="preserve">myb386382</t>
  </si>
  <si>
    <t xml:space="preserve">TOMBOY GOLD MINES CO LTD</t>
  </si>
  <si>
    <t xml:space="preserve">durango</t>
  </si>
  <si>
    <t xml:space="preserve">350,000 ordinary shares of £1 each ; all the preference and 300,000 ordinary</t>
  </si>
  <si>
    <t xml:space="preserve">myb388082</t>
  </si>
  <si>
    <t xml:space="preserve">WEST CANADIAN ALLUVIALS LIMITED</t>
  </si>
  <si>
    <t xml:space="preserve">WEST SILKSTONE COLLIERY COMPANY, LIMITED. Directors Qualification, 100 shares S. W. Wells ; T. L. Wells ; A. Mitchell. Secretary and Offices A. Mitchel , Silkstone Common, Silkstone, near Biirnslcy.</t>
  </si>
  <si>
    <t xml:space="preserve">myb390776</t>
  </si>
  <si>
    <t xml:space="preserve">CROYDON CONSOLS LIMITED</t>
  </si>
  <si>
    <t xml:space="preserve">CROY DON CONSOLS, LIMITED.</t>
  </si>
  <si>
    <t xml:space="preserve">myb392790</t>
  </si>
  <si>
    <t xml:space="preserve">COMPANY Q LIMITED</t>
  </si>
  <si>
    <t xml:space="preserve">W. F. Turner, Chairman. | K. Davis. I Carl Gopner, | Jobann Senear.</t>
  </si>
  <si>
    <t xml:space="preserve">davis</t>
  </si>
  <si>
    <t xml:space="preserve">kilmund</t>
  </si>
  <si>
    <t xml:space="preserve">goodwin</t>
  </si>
  <si>
    <t xml:space="preserve">carl</t>
  </si>
  <si>
    <t xml:space="preserve">selvey</t>
  </si>
  <si>
    <t xml:space="preserve">jobann</t>
  </si>
  <si>
    <t xml:space="preserve">turner</t>
  </si>
  <si>
    <t xml:space="preserve">walton</t>
  </si>
  <si>
    <t xml:space="preserve">myb394089</t>
  </si>
  <si>
    <t xml:space="preserve">NEW ZEALAND CROWN MINES COMPANY LTD</t>
  </si>
  <si>
    <t xml:space="preserve">valley</t>
  </si>
  <si>
    <t xml:space="preserve">and promoters, the Urey Valley Coal Synd., Ltd., wag £100,000, in 6,000 fallypaid</t>
  </si>
  <si>
    <t xml:space="preserve">myb396448</t>
  </si>
  <si>
    <t xml:space="preserve">WESTPORT COAL COMPANY LIMITED</t>
  </si>
  <si>
    <t xml:space="preserve">bourne</t>
  </si>
  <si>
    <t xml:space="preserve">XDi l cctoi s</t>
  </si>
  <si>
    <t xml:space="preserve">myb397074</t>
  </si>
  <si>
    <t xml:space="preserve">AFRICAN AND GENERAL EXPLORING COMPANY</t>
  </si>
  <si>
    <t xml:space="preserve">River Colony, Rhodesia and Cape Colony also mineral rights over 41,289 acres;</t>
  </si>
  <si>
    <t xml:space="preserve">myb399078</t>
  </si>
  <si>
    <t xml:space="preserve">BRAKPAN MINES LIMITED</t>
  </si>
  <si>
    <t xml:space="preserve">Telegrams : Braking, Johannesburg. Paris Agency Oompagnie Francaise do Mines d Or et de 1 Afrique dn Snd, 20, Rue Taitbout. London Secretary and Offices J. H. JefferyB, F.C.I.S., B, London Wall Buildings, E.C.</t>
  </si>
  <si>
    <t xml:space="preserve">myb402659</t>
  </si>
  <si>
    <t xml:space="preserve">EASTERN BANKET RHODESIA LIMITED</t>
  </si>
  <si>
    <t xml:space="preserve">shares are issued, 75,Ou0 credited as fully paid and 50,000 10s. lid. paid ; the last</t>
  </si>
  <si>
    <t xml:space="preserve">myb404318</t>
  </si>
  <si>
    <t xml:space="preserve">GLOBE AND PHOENIX GOLD MINING CO LTD</t>
  </si>
  <si>
    <t xml:space="preserve">phoenix</t>
  </si>
  <si>
    <t xml:space="preserve">in November, 1899, when 12,500 shares were issued to shareholders at £4. The</t>
  </si>
  <si>
    <t xml:space="preserve">myb405246</t>
  </si>
  <si>
    <t xml:space="preserve">HENDEHSON TRANSVAAL ESTATES</t>
  </si>
  <si>
    <t xml:space="preserve">P. Ross Frames. 1</t>
  </si>
  <si>
    <t xml:space="preserve">fqnrandahalf</t>
  </si>
  <si>
    <t xml:space="preserve">p</t>
  </si>
  <si>
    <t xml:space="preserve">ross</t>
  </si>
  <si>
    <t xml:space="preserve">myb406387</t>
  </si>
  <si>
    <t xml:space="preserve">KLEINFONTEIN ESTATES</t>
  </si>
  <si>
    <t xml:space="preserve">A share register is kept in London. Transfer form, common ; fee, 2s. 6d.</t>
  </si>
  <si>
    <t xml:space="preserve">myb412336</t>
  </si>
  <si>
    <t xml:space="preserve">PIGG S PEAK DEVELOPMENT COMPANY LIMITED</t>
  </si>
  <si>
    <t xml:space="preserve">barberton</t>
  </si>
  <si>
    <t xml:space="preserve">large area, the surface rights having terminated in April, 1909. A 20-stamp mill</t>
  </si>
  <si>
    <t xml:space="preserve">myb412961</t>
  </si>
  <si>
    <t xml:space="preserve">RAND AGENCY LIMITED</t>
  </si>
  <si>
    <t xml:space="preserve">the General Mining and Finance Corpn., Ltd., at a commission of Is. per share,</t>
  </si>
  <si>
    <t xml:space="preserve">myb412999</t>
  </si>
  <si>
    <t xml:space="preserve">BAND INVESTMENT</t>
  </si>
  <si>
    <t xml:space="preserve">take one-half of available surplus profits in any year after 10 per cent, has been</t>
  </si>
  <si>
    <t xml:space="preserve">myb414228</t>
  </si>
  <si>
    <t xml:space="preserve">NEW RIETFONTEIN ESTATE GOLD MINES LIMITED</t>
  </si>
  <si>
    <t xml:space="preserve">The 21st November, 1906, was aopointed settling day in shares Nos. 75,001</t>
  </si>
  <si>
    <t xml:space="preserve">myb416046</t>
  </si>
  <si>
    <t xml:space="preserve">TUE MIKING</t>
  </si>
  <si>
    <t xml:space="preserve">loss debit balanoe, £4,710; cash £3, calls unpaid, £457 ; creditors £2,570.</t>
  </si>
  <si>
    <t xml:space="preserve">myb416948</t>
  </si>
  <si>
    <t xml:space="preserve">STJAKIN MINING</t>
  </si>
  <si>
    <t xml:space="preserve">salisbury</t>
  </si>
  <si>
    <t xml:space="preserve">J. W. Brigstock.</t>
  </si>
  <si>
    <t xml:space="preserve">bright</t>
  </si>
  <si>
    <t xml:space="preserve">myb416983</t>
  </si>
  <si>
    <t xml:space="preserve">Hon. Mark Francis Napier. j Bobert Taylor. Managers and Consulting Engineers John Taylor &amp; Sons, 6, Queen St. Place, E.C. Solicitors Francis &amp; Johnson.</t>
  </si>
  <si>
    <t xml:space="preserve">myb417343</t>
  </si>
  <si>
    <t xml:space="preserve">TANGANYIKA CONCESSIONS LIMITED</t>
  </si>
  <si>
    <t xml:space="preserve">shares and debentures in the Rhodesia-Katanga Junction Railway and Mineral</t>
  </si>
  <si>
    <t xml:space="preserve">myb418663</t>
  </si>
  <si>
    <t xml:space="preserve">UNION CONSOLIDATED DRIFT MINES LIMITED</t>
  </si>
  <si>
    <t xml:space="preserve">sheffield</t>
  </si>
  <si>
    <t xml:space="preserve">Baron Baeyens. President. Robert Williams, Vice-Pretidtnt. J. Jadot. I J. Cornet. I Lord Arthur Butler. | Tyndale Whit . | Sheffield Neave.</t>
  </si>
  <si>
    <t xml:space="preserve">butler</t>
  </si>
  <si>
    <t xml:space="preserve">lord</t>
  </si>
  <si>
    <t xml:space="preserve">arthur</t>
  </si>
  <si>
    <t xml:space="preserve">cornell</t>
  </si>
  <si>
    <t xml:space="preserve">james</t>
  </si>
  <si>
    <t xml:space="preserve">neame</t>
  </si>
  <si>
    <t xml:space="preserve">robbins</t>
  </si>
  <si>
    <t xml:space="preserve">baron</t>
  </si>
  <si>
    <t xml:space="preserve">baeyens</t>
  </si>
  <si>
    <t xml:space="preserve">whit</t>
  </si>
  <si>
    <t xml:space="preserve">tyndale</t>
  </si>
  <si>
    <t xml:space="preserve">white</t>
  </si>
  <si>
    <t xml:space="preserve">myb420886</t>
  </si>
  <si>
    <t xml:space="preserve">WORCESTER EXPLORATION GOLD MINING CO LTD</t>
  </si>
  <si>
    <t xml:space="preserve">This company was registered in Cape Colony August, 1887, and acquired nine</t>
  </si>
  <si>
    <t xml:space="preserve">myb423212</t>
  </si>
  <si>
    <t xml:space="preserve">MISCJCLLAXMOUS COMPANIES</t>
  </si>
  <si>
    <t xml:space="preserve">austin</t>
  </si>
  <si>
    <t xml:space="preserve">coupany held 2,760,000 shares in the treasury, and had liquid assets value</t>
  </si>
  <si>
    <t xml:space="preserve">myb424187</t>
  </si>
  <si>
    <t xml:space="preserve">BLAENAVON CO LTD</t>
  </si>
  <si>
    <t xml:space="preserve">cardiff</t>
  </si>
  <si>
    <t xml:space="preserve">1882-3 ... g</t>
  </si>
  <si>
    <t xml:space="preserve">myb427651</t>
  </si>
  <si>
    <t xml:space="preserve">COBALT CENTRAL MINES COMPANY</t>
  </si>
  <si>
    <t xml:space="preserve">ontario</t>
  </si>
  <si>
    <t xml:space="preserve">myb431527</t>
  </si>
  <si>
    <t xml:space="preserve">FORTUNA COMPANY LIMITED</t>
  </si>
  <si>
    <t xml:space="preserve">shares rank alike for further profits ; the preference have priority as to capital.</t>
  </si>
  <si>
    <t xml:space="preserve">myb431583</t>
  </si>
  <si>
    <t xml:space="preserve">FRANCIA GOLD AND SILVER LIMITED</t>
  </si>
  <si>
    <t xml:space="preserve">The balance sheet at December 31st, 1907, showed cash £3,952, debtors £253,</t>
  </si>
  <si>
    <t xml:space="preserve">myb435017</t>
  </si>
  <si>
    <t xml:space="preserve">KENT COAL CONCESSIONS LIMITED</t>
  </si>
  <si>
    <t xml:space="preserve">This company was registered January 26 h, 1909, to acquire from C. H. Bull,</t>
  </si>
  <si>
    <t xml:space="preserve">myb435892</t>
  </si>
  <si>
    <t xml:space="preserve">LITTLETON COLLIERIES LIMITED</t>
  </si>
  <si>
    <t xml:space="preserve">birmingham</t>
  </si>
  <si>
    <t xml:space="preserve">Auditors Sharp, Parsons &amp; Co. Seoretary and Offices T. Elson, 120, Colmore Row, Birmingham.</t>
  </si>
  <si>
    <t xml:space="preserve">myb437350</t>
  </si>
  <si>
    <t xml:space="preserve">MOTTEAM WOOD COLLIEBY</t>
  </si>
  <si>
    <t xml:space="preserve">vulcan</t>
  </si>
  <si>
    <t xml:space="preserve">put for 1906-7, 111,803 tons ; 1907 8, 83,708 tons ; for 1908-9, 61,569 tons.</t>
  </si>
  <si>
    <t xml:space="preserve">myb438619</t>
  </si>
  <si>
    <t xml:space="preserve">high street newport hon</t>
  </si>
  <si>
    <t xml:space="preserve">newport</t>
  </si>
  <si>
    <t xml:space="preserve">Secretary and Offloes A. B. Moilett, King s Chambers. High Street, Newport, Hon.</t>
  </si>
  <si>
    <t xml:space="preserve">myb438621</t>
  </si>
  <si>
    <t xml:space="preserve">This company was registered February 24th, 1873, and owns the Celynen</t>
  </si>
  <si>
    <t xml:space="preserve">myb440077</t>
  </si>
  <si>
    <t xml:space="preserve">OSWALDTWISTLE COLLIERIES LIMITED</t>
  </si>
  <si>
    <t xml:space="preserve">cumberland</t>
  </si>
  <si>
    <t xml:space="preserve">all the shares are issued and fully paid. No accounts</t>
  </si>
  <si>
    <t xml:space="preserve">myb443550</t>
  </si>
  <si>
    <t xml:space="preserve">SANTA ISABEL UNITED GOLD MINES LIMITED</t>
  </si>
  <si>
    <t xml:space="preserve">spain</t>
  </si>
  <si>
    <t xml:space="preserve">67,008 to 75,007 ; August loth, 1905, in Nos. 75,008 to 80,007 ; November 18th,</t>
  </si>
  <si>
    <t xml:space="preserve">myb448479</t>
  </si>
  <si>
    <t xml:space="preserve">WHITWICK COLLIERY COMPANY LIMITED</t>
  </si>
  <si>
    <t xml:space="preserve">Errington Brewia, Chairman. | Thomas Boam. | J. H, Whitaker. | W. E. Ison. 1 G, A. Lewis.</t>
  </si>
  <si>
    <t xml:space="preserve">bnuneau</t>
  </si>
  <si>
    <t xml:space="preserve">brewer</t>
  </si>
  <si>
    <t xml:space="preserve">errington</t>
  </si>
  <si>
    <t xml:space="preserve">myb450498</t>
  </si>
  <si>
    <t xml:space="preserve">BROKEN HILL JUNCTION NORTH SILVER MINING COMPANY NO LIABILITY</t>
  </si>
  <si>
    <t xml:space="preserve">Secretary and Offloes Charles Lloyd, F.C.I.S., 4 8, Salisbury House, E.C.</t>
  </si>
  <si>
    <t xml:space="preserve">myb451474</t>
  </si>
  <si>
    <t xml:space="preserve">ASTYRA MINING COMPANY LIMITED</t>
  </si>
  <si>
    <t xml:space="preserve">oldham</t>
  </si>
  <si>
    <t xml:space="preserve">and fully paid.</t>
  </si>
  <si>
    <t xml:space="preserve">page</t>
  </si>
  <si>
    <t xml:space="preserve">fully</t>
  </si>
  <si>
    <t xml:space="preserve">myb453148</t>
  </si>
  <si>
    <t xml:space="preserve">KALGOORLIE AMALGAMATED LIMITED</t>
  </si>
  <si>
    <t xml:space="preserve">The authorised capital is £30,000, in 300,000 shares of 2s. each ; 244,609 shares</t>
  </si>
  <si>
    <t xml:space="preserve">myb462824</t>
  </si>
  <si>
    <t xml:space="preserve">CONSOLIDATED UOLD FIELDS</t>
  </si>
  <si>
    <t xml:space="preserve">B. Kitzinger and J. S. Wetzlar, Managing in London. J. G. Hamilton, M.V.O., Managing in Johannetburg.</t>
  </si>
  <si>
    <t xml:space="preserve">myb465439</t>
  </si>
  <si>
    <t xml:space="preserve">FRANK SMITH DIAMOND ESTATES AND EXPLORATION COMPANY LIMITED</t>
  </si>
  <si>
    <t xml:space="preserve">nine miles east of</t>
  </si>
  <si>
    <t xml:space="preserve">khares. Boring operations, to prove the extension of the Main Reef scries, are</t>
  </si>
  <si>
    <t xml:space="preserve">myb468062</t>
  </si>
  <si>
    <t xml:space="preserve">KAFUE COPPER DEVELOPMENT CO LTD</t>
  </si>
  <si>
    <t xml:space="preserve">£237,796, in 324,408 shares of 10s. each and 75,592 shares of £1 each ; the 10s.</t>
  </si>
  <si>
    <t xml:space="preserve">myb469252</t>
  </si>
  <si>
    <t xml:space="preserve">LOMAH STCESSEL BANKET JRHODESIA LIMITED</t>
  </si>
  <si>
    <t xml:space="preserve">was resolved to wind up voluntarily, the undertaking having been</t>
  </si>
  <si>
    <t xml:space="preserve">myb470660</t>
  </si>
  <si>
    <t xml:space="preserve">MINING VENTUR E ST M I TED</t>
  </si>
  <si>
    <t xml:space="preserve">iMlNNIE REEF GOLD MINING SYNDICATE. LIMITED.</t>
  </si>
  <si>
    <t xml:space="preserve">myb475232</t>
  </si>
  <si>
    <t xml:space="preserve">FOUNDED</t>
  </si>
  <si>
    <t xml:space="preserve">siberia</t>
  </si>
  <si>
    <t xml:space="preserve">of German Statesmen and Leading</t>
  </si>
  <si>
    <t xml:space="preserve">myb476847</t>
  </si>
  <si>
    <t xml:space="preserve">ROODEPOORT UNITED MAIN REEF GOLD MINING COMPANY LIMITED</t>
  </si>
  <si>
    <t xml:space="preserve">also water rights and bewaarplatsen,</t>
  </si>
  <si>
    <t xml:space="preserve">myb491068</t>
  </si>
  <si>
    <t xml:space="preserve">CROSBY STEAM GA E AND VALVE COMPANY</t>
  </si>
  <si>
    <t xml:space="preserve">CROSBY STEAM GA6E AND VALVE COMPANY,</t>
  </si>
  <si>
    <t xml:space="preserve">myb491851</t>
  </si>
  <si>
    <t xml:space="preserve">FALMOUTH CONSOLIDATED</t>
  </si>
  <si>
    <t xml:space="preserve">of Kea, Cornwall. The consideration was £80,000, payable £5,000 cash and</t>
  </si>
  <si>
    <t xml:space="preserve">myb493722</t>
  </si>
  <si>
    <t xml:space="preserve">HAMSTEAD COLLIERY COMPANY LIMITED</t>
  </si>
  <si>
    <t xml:space="preserve">i dated October 22nd, 1908 ; no later report received.</t>
  </si>
  <si>
    <t xml:space="preserve">myb493762</t>
  </si>
  <si>
    <t xml:space="preserve">Hilda, and Boldon Collieries, situate in the parishes of Jarrow, Whitburn, Westoe</t>
  </si>
  <si>
    <t xml:space="preserve">myb498786</t>
  </si>
  <si>
    <t xml:space="preserve">MINING ASSOCIATION LIMITED</t>
  </si>
  <si>
    <t xml:space="preserve">moorgate street k</t>
  </si>
  <si>
    <t xml:space="preserve">moorgate street e</t>
  </si>
  <si>
    <t xml:space="preserve">Auditor H. H. Oakes. | Offices llasildon House, Moorgate Street, K.C.</t>
  </si>
  <si>
    <t xml:space="preserve">myb506688</t>
  </si>
  <si>
    <t xml:space="preserve">SPANISH AMERICAN DEVELOPMENT SYND LTD</t>
  </si>
  <si>
    <t xml:space="preserve">part of £300,000 six per cent, debentures redeemable at par July 1st, 1918, or</t>
  </si>
  <si>
    <t xml:space="preserve">myb508650</t>
  </si>
  <si>
    <t xml:space="preserve">VAGLIANO ANTHRACITE COLLIERIES LI M ITED</t>
  </si>
  <si>
    <t xml:space="preserve">taking the remainder. When the sum of £12,000 shall have been paid in dividends</t>
  </si>
  <si>
    <t xml:space="preserve">myb511063</t>
  </si>
  <si>
    <t xml:space="preserve">BLACKWATER MINES</t>
  </si>
  <si>
    <t xml:space="preserve">The accounts for year ended December 81st, 1909, submitted September 27th,</t>
  </si>
  <si>
    <t xml:space="preserve">myb511632</t>
  </si>
  <si>
    <t xml:space="preserve">BROKEN HILL CJOUMNPACNTYI NNO NLOIARBITLITT Y STL</t>
  </si>
  <si>
    <t xml:space="preserve">broken</t>
  </si>
  <si>
    <t xml:space="preserve">The authorised capital is £155,000, in 100,000 ten per cent, cumulative prefer</t>
  </si>
  <si>
    <t xml:space="preserve">myb511776</t>
  </si>
  <si>
    <t xml:space="preserve">NO LIABILITY</t>
  </si>
  <si>
    <t xml:space="preserve">tons yielded 25,422 tons lead, 23,857 tons zinc and 1,141,175 ozs. silver ; costs</t>
  </si>
  <si>
    <t xml:space="preserve">myb512179</t>
  </si>
  <si>
    <t xml:space="preserve">CHILLAGOE LIMITED</t>
  </si>
  <si>
    <t xml:space="preserve">chillagoe</t>
  </si>
  <si>
    <t xml:space="preserve">interest absorbed £28,665, various charges £10,531, writton off mines develop,</t>
  </si>
  <si>
    <t xml:space="preserve">myb514126</t>
  </si>
  <si>
    <t xml:space="preserve">KA RA K AMI NE S LIMITED</t>
  </si>
  <si>
    <t xml:space="preserve">karaka creek in the</t>
  </si>
  <si>
    <t xml:space="preserve">E. F. Adams. Estimated ore reserves 150,000 tons value 52s. 6d. per ton.</t>
  </si>
  <si>
    <t xml:space="preserve">myb523563</t>
  </si>
  <si>
    <t xml:space="preserve">CONSOLIDATED COMPANY BULTFONTEIN MINE</t>
  </si>
  <si>
    <t xml:space="preserve">6tb, 1911, shawed gold receipts £360,211 and a profit of £87,974, making</t>
  </si>
  <si>
    <t xml:space="preserve">myb523938</t>
  </si>
  <si>
    <t xml:space="preserve">CROWN DIAMOND MINING AND EXPLORATION COMPANY LIMITED</t>
  </si>
  <si>
    <t xml:space="preserve">myb525536</t>
  </si>
  <si>
    <t xml:space="preserve">ELANDS LAAGTE COLLIERIES LIMITED</t>
  </si>
  <si>
    <t xml:space="preserve">chilian</t>
  </si>
  <si>
    <t xml:space="preserve">2T35. Latest price, 2g, 2j.</t>
  </si>
  <si>
    <t xml:space="preserve">myb527908</t>
  </si>
  <si>
    <t xml:space="preserve">HARMONY PROPRIETARY COMPANY LIMITED</t>
  </si>
  <si>
    <t xml:space="preserve">HABMONY PROPRIETARY oontinued.</t>
  </si>
  <si>
    <t xml:space="preserve">myb531964</t>
  </si>
  <si>
    <t xml:space="preserve">MOZAMBIQUE COMPANY</t>
  </si>
  <si>
    <t xml:space="preserve">harrison street johannesburg</t>
  </si>
  <si>
    <t xml:space="preserve">Direotors. J. A. Cohen, Chairman. | B. T. N. James. | J. H. Rainier. | E. Booth. SecretIajoryndaonnd Offloes H. Williams, City House, Harrison Street, Johannesburg. Agents Transvaal Agency, Ltd., 10-11, Austin Friars, E.C. This company was registered in the Transvaal December 30th, 1905, to acquire</t>
  </si>
  <si>
    <t xml:space="preserve">myb534429</t>
  </si>
  <si>
    <t xml:space="preserve">NIGERIAN TIN COBPN</t>
  </si>
  <si>
    <t xml:space="preserve">manager Mr. A. W. Hooke, an engineer of wide experience in alluvial tin</t>
  </si>
  <si>
    <t xml:space="preserve">myb536511</t>
  </si>
  <si>
    <t xml:space="preserve">WOLVERHAMPTON LTD</t>
  </si>
  <si>
    <t xml:space="preserve">WOLVERHAMPTON,</t>
  </si>
  <si>
    <t xml:space="preserve">myb536560</t>
  </si>
  <si>
    <t xml:space="preserve">D DAVIS</t>
  </si>
  <si>
    <t xml:space="preserve">non-sectarian and non-political</t>
  </si>
  <si>
    <t xml:space="preserve">myb537987</t>
  </si>
  <si>
    <t xml:space="preserve">ROODEPOOBT UNITED MAIN REEF</t>
  </si>
  <si>
    <t xml:space="preserve">roodepoort</t>
  </si>
  <si>
    <t xml:space="preserve">hares are issued and are fully paid. The capital was increased from £70,000 to</t>
  </si>
  <si>
    <t xml:space="preserve">myb539923</t>
  </si>
  <si>
    <t xml:space="preserve">SOUTH AFBICAN GOLD MINES</t>
  </si>
  <si>
    <t xml:space="preserve">State Hand, Ltd., £5,000, uncalled capital £20,869 ; creditors £1,627.</t>
  </si>
  <si>
    <t xml:space="preserve">myb540557</t>
  </si>
  <si>
    <t xml:space="preserve">SUM SYNDICATE LIMITED</t>
  </si>
  <si>
    <t xml:space="preserve">cleveland</t>
  </si>
  <si>
    <t xml:space="preserve">1911: highest, lg ; lowest, - g. Latest pi ice, J . SUSANNA MINES, LIMITED.</t>
  </si>
  <si>
    <t xml:space="preserve">myb541609</t>
  </si>
  <si>
    <t xml:space="preserve">TRANSVAAL ESTATES</t>
  </si>
  <si>
    <t xml:space="preserve">shares £350,691 are issued and fully paid. The capital was originally £150,000</t>
  </si>
  <si>
    <t xml:space="preserve">myb541749</t>
  </si>
  <si>
    <t xml:space="preserve">TBANSVAAL GOLD MINING ESTATES</t>
  </si>
  <si>
    <t xml:space="preserve">was increased from £10,000, in November, IPOS. In November, 1906, share</t>
  </si>
  <si>
    <t xml:space="preserve">myb545259</t>
  </si>
  <si>
    <t xml:space="preserve">ADELAIDE GOLD MINING COMPANY LIMITED</t>
  </si>
  <si>
    <t xml:space="preserve">6th, 1911, showed debit balance increased from £358,742 to £422,589 ; stocks on</t>
  </si>
  <si>
    <t xml:space="preserve">myb545974</t>
  </si>
  <si>
    <t xml:space="preserve">CESSION KWEI CHAU PROVINCE OF CHINA LIMITED</t>
  </si>
  <si>
    <t xml:space="preserve">This company was registered March 7th, 1906, being a reconstruction of a com</t>
  </si>
  <si>
    <t xml:space="preserve">myb546898</t>
  </si>
  <si>
    <t xml:space="preserve">BALAGHAT GOLD MINING COMPANY LIMITED</t>
  </si>
  <si>
    <t xml:space="preserve">Ore stamped and gold produced since 1901 :</t>
  </si>
  <si>
    <t xml:space="preserve">myb548648</t>
  </si>
  <si>
    <t xml:space="preserve">RUCE COPPER M</t>
  </si>
  <si>
    <t xml:space="preserve">BKUSEH TfNTAND RUBBER ESTATES. LTPT Directors Qualification,</t>
  </si>
  <si>
    <t xml:space="preserve">estate</t>
  </si>
  <si>
    <t xml:space="preserve">bkuseh</t>
  </si>
  <si>
    <t xml:space="preserve">tfntand</t>
  </si>
  <si>
    <t xml:space="preserve">myb551904</t>
  </si>
  <si>
    <t xml:space="preserve">DOLCOATH MINE LTD</t>
  </si>
  <si>
    <t xml:space="preserve">Tec. 31 t, 1908</t>
  </si>
  <si>
    <t xml:space="preserve">myb554030</t>
  </si>
  <si>
    <t xml:space="preserve">GAS WAIT COLLIERIES LIMITED</t>
  </si>
  <si>
    <t xml:space="preserve">the Levant and Botallack mines. The c nsideration was £32,250 in fully paid</t>
  </si>
  <si>
    <t xml:space="preserve">myb558736</t>
  </si>
  <si>
    <t xml:space="preserve">LEWIS MERTHYR CONSOLIDATED COLLIERIES LIMITED</t>
  </si>
  <si>
    <t xml:space="preserve">LIGHTNING CREEK BRITISH COLUMBI i</t>
  </si>
  <si>
    <t xml:space="preserve">myb560421</t>
  </si>
  <si>
    <t xml:space="preserve">MEXICAN CENTRAL SYNDICATE LIMITED</t>
  </si>
  <si>
    <t xml:space="preserve">highest, 6£; lowest, 2 ; 1909: highest, 6 ; lowest, 4J: 1910: highest, 9f;</t>
  </si>
  <si>
    <t xml:space="preserve">myb562653</t>
  </si>
  <si>
    <t xml:space="preserve">NEWPORT ABERCARN BLACK VEIN STEAM COAL</t>
  </si>
  <si>
    <t xml:space="preserve">1883-4 ... 10 10</t>
  </si>
  <si>
    <t xml:space="preserve">myb562859</t>
  </si>
  <si>
    <t xml:space="preserve">NORGERIC SYNDICATE LIMITED</t>
  </si>
  <si>
    <t xml:space="preserve">into immediate possession of the property and paying to the company until</t>
  </si>
  <si>
    <t xml:space="preserve">myb569402</t>
  </si>
  <si>
    <t xml:space="preserve">SWEDISH IRON MINES AND FURNACES L N B</t>
  </si>
  <si>
    <t xml:space="preserve">Transfer form, common j fee, 2s. 6d. The 21st March, 1900, wa3 appointed witling clay in ordinary shares No3. 1 to 19,900 and deferred Nos. 1 to 2,0X , and</t>
  </si>
  <si>
    <t xml:space="preserve">myb571294</t>
  </si>
  <si>
    <t xml:space="preserve">VVALTER SCOTT LIMITED</t>
  </si>
  <si>
    <t xml:space="preserve">1903 , £18,000, directors fees £1,750, carried to special reserve £17,357, leaving</t>
  </si>
  <si>
    <t xml:space="preserve">myb571687</t>
  </si>
  <si>
    <t xml:space="preserve">WEST BRITISH DEVELOPMENT SYNDICATE LTD</t>
  </si>
  <si>
    <t xml:space="preserve">liverpool</t>
  </si>
  <si>
    <t xml:space="preserve">Solicitors -Lightbound, Owen ,v Co., Liverpool; O. H. Denroche, Dublin.</t>
  </si>
  <si>
    <t xml:space="preserve">myb572822</t>
  </si>
  <si>
    <t xml:space="preserve">WORTHINGTON COLLIERY AND PIPE CO LTD</t>
  </si>
  <si>
    <t xml:space="preserve">WOTHERTON BARYTES &amp; LEAD MINING CO.TlTD. Directors W. Toye, Chairman and Managing ; T. G. Marsh : P. J. Marsh.</t>
  </si>
  <si>
    <t xml:space="preserve">barwick</t>
  </si>
  <si>
    <t xml:space="preserve">wotherton</t>
  </si>
  <si>
    <t xml:space="preserve">lead</t>
  </si>
  <si>
    <t xml:space="preserve">marsell</t>
  </si>
  <si>
    <t xml:space="preserve">marsh</t>
  </si>
  <si>
    <t xml:space="preserve">thomai</t>
  </si>
  <si>
    <t xml:space="preserve">myb576926</t>
  </si>
  <si>
    <t xml:space="preserve">BOMA NIGERIMJIN COJEANY LIMITED</t>
  </si>
  <si>
    <t xml:space="preserve">Cv E. Pearson.</t>
  </si>
  <si>
    <t xml:space="preserve">pearse</t>
  </si>
  <si>
    <t xml:space="preserve">cv</t>
  </si>
  <si>
    <t xml:space="preserve">myb580378</t>
  </si>
  <si>
    <t xml:space="preserve">D N T SYNDICA FE LIMITED</t>
  </si>
  <si>
    <t xml:space="preserve">i119 WnmF J M- mm</t>
  </si>
  <si>
    <t xml:space="preserve">myb581997</t>
  </si>
  <si>
    <t xml:space="preserve">EASTERN G VQLD MINES LIMITED</t>
  </si>
  <si>
    <t xml:space="preserve">..r f umv-ÃƒÆ Ã Â w ,s.Zm1-1:q- e4 2,-4 -P.41 -</t>
  </si>
  <si>
    <t xml:space="preserve">myb582316</t>
  </si>
  <si>
    <t xml:space="preserve">EMIR TIN SYNDICATEI LIMITED</t>
  </si>
  <si>
    <t xml:space="preserve">bnad street hi use</t>
  </si>
  <si>
    <t xml:space="preserve">1912, shareholders in the Gold Coast Couso idsted Lands, Ltd., were invited</t>
  </si>
  <si>
    <t xml:space="preserve">myb582950</t>
  </si>
  <si>
    <t xml:space="preserve">FERREIRA DIAMONDSI LIMITED</t>
  </si>
  <si>
    <t xml:space="preserve">1912 . On May 10th, 1912, it was resolved to wind up voluntarily and sell the</t>
  </si>
  <si>
    <t xml:space="preserve">myb585554</t>
  </si>
  <si>
    <t xml:space="preserve">HONKO SYNDICATE LIMITED</t>
  </si>
  <si>
    <t xml:space="preserve">shares are issued and fully paid.</t>
  </si>
  <si>
    <t xml:space="preserve">myb591979</t>
  </si>
  <si>
    <t xml:space="preserve">NEW LYDENBURG MINERALS EXPLORING CO LTD</t>
  </si>
  <si>
    <t xml:space="preserve">claims adjoining. In 1889 the company was reconstructed. In 1891 the property</t>
  </si>
  <si>
    <t xml:space="preserve">myb593165</t>
  </si>
  <si>
    <t xml:space="preserve">NIGERIAN PLATEAU LTD</t>
  </si>
  <si>
    <t xml:space="preserve">the bauchi plateau</t>
  </si>
  <si>
    <t xml:space="preserve">corporation consist of alluvial mining leases over 1,812 acres and 8,280 yards of</t>
  </si>
  <si>
    <t xml:space="preserve">myb596037</t>
  </si>
  <si>
    <t xml:space="preserve">READ S DRIFT LAND COMPANY LIMITED</t>
  </si>
  <si>
    <t xml:space="preserve">settling day in shares Nos. 50,001 to 55,000; May 10th, 1906, in Nos. 55,001 to</t>
  </si>
  <si>
    <t xml:space="preserve">myb601411</t>
  </si>
  <si>
    <t xml:space="preserve">TRAIVSVAZE GBED MINING ESTATES LIMITED</t>
  </si>
  <si>
    <t xml:space="preserve">The authorised capital is £6t0,000, in 640,000 shares of £1 each; 604,225</t>
  </si>
  <si>
    <t xml:space="preserve">myb610979</t>
  </si>
  <si>
    <t xml:space="preserve">BROKEN HILL PROPRIETARY BLOCK CO LTD</t>
  </si>
  <si>
    <t xml:space="preserve">The authorised capital is £860,000, in 720,000 shares of 105. each; 672,705</t>
  </si>
  <si>
    <t xml:space="preserve">myb611529</t>
  </si>
  <si>
    <t xml:space="preserve">HISGELLANEQVUS COMPANIES</t>
  </si>
  <si>
    <t xml:space="preserve">visions for renewal, at a rent of four lacs of rupees per annum, the Government</t>
  </si>
  <si>
    <t xml:space="preserve">myb613477</t>
  </si>
  <si>
    <t xml:space="preserve">CHANGKAT SALAK RUBBER AND TIN LIMITED</t>
  </si>
  <si>
    <t xml:space="preserve">December, 1911, 2,500 acres. Tapping commencr i early in 1910; yield for</t>
  </si>
  <si>
    <t xml:space="preserve">myb613650</t>
  </si>
  <si>
    <t xml:space="preserve">CHESHIRE COPPER MINES LIMITED</t>
  </si>
  <si>
    <t xml:space="preserve">ofiered to shareholders in January, 1907, at 11s. each; the issue was under</t>
  </si>
  <si>
    <t xml:space="preserve">myb618438</t>
  </si>
  <si>
    <t xml:space="preserve">EVENOES MININGTSYNDICATE LIMITED</t>
  </si>
  <si>
    <t xml:space="preserve">Dl-X OOtOI I i . D. Miller, L lum mun and .lluna iny; I. Howl; G. .1. Lewil. Secretary Mans er C. F. Jackson, Exhsll ul iery, nsnr Bedworth. and dices A. Lole, Exhsll Colliery. neur Bedworth, Wsrwichhn e.</t>
  </si>
  <si>
    <t xml:space="preserve">myb620563</t>
  </si>
  <si>
    <t xml:space="preserve">GRAHAM ISLASNYNDDIC ABT CE LICMOITAEDL AND TIMBER</t>
  </si>
  <si>
    <t xml:space="preserve">GRAHAM ISLAND B. 1</t>
  </si>
  <si>
    <t xml:space="preserve">myb628686</t>
  </si>
  <si>
    <t xml:space="preserve">MEXICAN AGENCY LIMITED</t>
  </si>
  <si>
    <t xml:space="preserve">rosario</t>
  </si>
  <si>
    <t xml:space="preserve">The accounts for year ended December 31st, 1911, submitted July 3rd, 1912,</t>
  </si>
  <si>
    <t xml:space="preserve">myb630848</t>
  </si>
  <si>
    <t xml:space="preserve">IYALLB AND PIAK HILL</t>
  </si>
  <si>
    <t xml:space="preserve">in the Color district of Mysore, Southern India, held on lease for thirty years</t>
  </si>
  <si>
    <t xml:space="preserve">myb631839</t>
  </si>
  <si>
    <t xml:space="preserve">NEW DYNANT ANIHRACIVTE COLLIERY LIMITED</t>
  </si>
  <si>
    <t xml:space="preserve">NEW LYMNI. LIMITED. Direotors. J. G. Gordon. Chairman. , Sir H. L . J. Bunbury, Bart. l .1. E. 1 . 140m . in n p4. W. Ashworth, Lymni Mine, Polls Panhn, Cyprus. min Union of London and Smith s Bank, Ltd. L L</t>
  </si>
  <si>
    <t xml:space="preserve">myb633471</t>
  </si>
  <si>
    <t xml:space="preserve">NORTHERN MINES LIMITED</t>
  </si>
  <si>
    <t xml:space="preserve">norway</t>
  </si>
  <si>
    <t xml:space="preserve">per cent.; 1894, 3 per ccnt.; 1897, 2 per cent;</t>
  </si>
  <si>
    <t xml:space="preserve">myb634417</t>
  </si>
  <si>
    <t xml:space="preserve">OROYA LEONESAILIMITED</t>
  </si>
  <si>
    <t xml:space="preserve">area were estimated at £727,000 not. The plant consists of a 7b i oot close</t>
  </si>
  <si>
    <t xml:space="preserve">myb635294</t>
  </si>
  <si>
    <t xml:space="preserve">PEASE AND PARTNERS LIMITED</t>
  </si>
  <si>
    <t xml:space="preserve">yorkshire</t>
  </si>
  <si>
    <t xml:space="preserve">Output for year 1911-12, 1,904,185 tons of coal, a decrease of 220,877 tons</t>
  </si>
  <si>
    <t xml:space="preserve">myb635301</t>
  </si>
  <si>
    <t xml:space="preserve">The authorised capital</t>
  </si>
  <si>
    <t xml:space="preserve">myb639516</t>
  </si>
  <si>
    <t xml:space="preserve">S EL VZ DI A PEDENO MINING COMPANY LIMITED</t>
  </si>
  <si>
    <t xml:space="preserve">T vurun-i Hrn-mhon, Ils-lruth. 1 li-ine- 1 Ralrnth. Tm company was mgislnred July 2011:, N97. to noquire tin mining oonceuione</t>
  </si>
  <si>
    <t xml:space="preserve">?</t>
  </si>
  <si>
    <t xml:space="preserve">myb643656</t>
  </si>
  <si>
    <t xml:space="preserve">TROITZK GOLDFIELDS LIMITED</t>
  </si>
  <si>
    <t xml:space="preserve">russia</t>
  </si>
  <si>
    <t xml:space="preserve">Auditors W. 11. rest a in leeretary and Omens A. H..p ;lllll h,ozl; l l.l d</t>
  </si>
  <si>
    <t xml:space="preserve">myb644272</t>
  </si>
  <si>
    <t xml:space="preserve">UTAH APEX MINING COMPANY</t>
  </si>
  <si>
    <t xml:space="preserve">General Manager D. u. Jacklin ,McCornick Building. Salt Lake City, Utah. ssistant Genera Manager R. C. Gemmell. Mills Superintendent F. G.</t>
  </si>
  <si>
    <t xml:space="preserve">gelip</t>
  </si>
  <si>
    <t xml:space="preserve">r</t>
  </si>
  <si>
    <t xml:space="preserve">c</t>
  </si>
  <si>
    <t xml:space="preserve">manager</t>
  </si>
  <si>
    <t xml:space="preserve">myb648215</t>
  </si>
  <si>
    <t xml:space="preserve">AFRICAN AND COLONIAL COMPANY LIMITED</t>
  </si>
  <si>
    <t xml:space="preserve">October lst, 1913, showed cash £135, debtors £399; creditors £38,769; share</t>
  </si>
  <si>
    <t xml:space="preserve">myb651695</t>
  </si>
  <si>
    <t xml:space="preserve">MINING YEAR</t>
  </si>
  <si>
    <t xml:space="preserve">CHARTER TRUST AND AGENCY</t>
  </si>
  <si>
    <t xml:space="preserve">myb658526</t>
  </si>
  <si>
    <t xml:space="preserve">PLANTS DESIGNED SUPPLIED AND ERECTED</t>
  </si>
  <si>
    <t xml:space="preserve">Machine can be made to meet the widely varied conditions</t>
  </si>
  <si>
    <t xml:space="preserve">myb660658</t>
  </si>
  <si>
    <t xml:space="preserve">berlin</t>
  </si>
  <si>
    <t xml:space="preserve">Berlin Committee.</t>
  </si>
  <si>
    <t xml:space="preserve">myb663472</t>
  </si>
  <si>
    <t xml:space="preserve">NEW UNITED REEFS SHEBA LIMITED</t>
  </si>
  <si>
    <t xml:space="preserve">awaiting a favourable opportunity for dealing with the Lydenburg claims.</t>
  </si>
  <si>
    <t xml:space="preserve">myb675668</t>
  </si>
  <si>
    <t xml:space="preserve">ANCHOR TIN MINE LIMITED</t>
  </si>
  <si>
    <t xml:space="preserve">London Wall Buildings, E.0.</t>
  </si>
  <si>
    <t xml:space="preserve">myb680054</t>
  </si>
  <si>
    <t xml:space="preserve">and 240,000 were offered for subscription in February, 1913, at 40s. each, the sub</t>
  </si>
  <si>
    <t xml:space="preserve">myb685468</t>
  </si>
  <si>
    <t xml:space="preserve">DROMEDARY DEVELOPMEVNL QOMF ANY LIMITED</t>
  </si>
  <si>
    <t xml:space="preserve">The authorised capital is £450,000 in ordinary stock, all issued and fully paid.</t>
  </si>
  <si>
    <t xml:space="preserve">myb686369</t>
  </si>
  <si>
    <t xml:space="preserve">EL OBO MINING</t>
  </si>
  <si>
    <t xml:space="preserve">animas</t>
  </si>
  <si>
    <t xml:space="preserve">Animas, El Progreso, El Refugio, and Plomo Chico, comprising an area of</t>
  </si>
  <si>
    <t xml:space="preserve">myb687135</t>
  </si>
  <si>
    <t xml:space="preserve">FERNHILL COLLIERIES LTD</t>
  </si>
  <si>
    <t xml:space="preserve">new street leicester</t>
  </si>
  <si>
    <t xml:space="preserve">to 120.000.</t>
  </si>
  <si>
    <t xml:space="preserve">myb687275</t>
  </si>
  <si>
    <t xml:space="preserve">FIRST NEW B C GOLDFIELD CANADAI LIMIT ED</t>
  </si>
  <si>
    <t xml:space="preserve">1905-6, nil; 1908-7,3s.; 1907-8, nil; 19015-9, Is. 9341.; 1909-10, 10, d.; 1910-11, nil; 1911-12, 4s. 6d.</t>
  </si>
  <si>
    <t xml:space="preserve">myb692979</t>
  </si>
  <si>
    <t xml:space="preserve">KALKAN SYNDICATE LIMITED</t>
  </si>
  <si>
    <t xml:space="preserve">mining properties and carry on business as financiers. The company is interested</t>
  </si>
  <si>
    <t xml:space="preserve">myb694291</t>
  </si>
  <si>
    <t xml:space="preserve">LLVVYDCOED COL L ER ES LIMITED</t>
  </si>
  <si>
    <t xml:space="preserve">atlantic</t>
  </si>
  <si>
    <t xml:space="preserve">1902-3, 20 per cent. each year; 19051-4, 19045, and 1905-6,</t>
  </si>
  <si>
    <t xml:space="preserve">myb698150</t>
  </si>
  <si>
    <t xml:space="preserve">NEVADA DOUGLAS CQN LIDATED COPPER CO</t>
  </si>
  <si>
    <t xml:space="preserve">k street boston mass</t>
  </si>
  <si>
    <t xml:space="preserve">boston</t>
  </si>
  <si>
    <t xml:space="preserve">A. J. OrJe.m, Prnidenl. I J. G. Berrvhill, l icmPrsniilenf. I L. H. Curtis, Vise-Presidesf. G. Berryhill, jun. l J. . Cor-um. F. M. Orem. I W. C. Orem. General Man agar W. C. Orem. I Superintendent A. .7. 0mm. Secretary and Head omce F. M. Orem. 70, 1k Street, Boston, Mass.. U.B.A London Agent G. H. Johnson, Capel House, New Broad Street, 3-C</t>
  </si>
  <si>
    <t xml:space="preserve">hchwarz</t>
  </si>
  <si>
    <t xml:space="preserve">mm</t>
  </si>
  <si>
    <t xml:space="preserve">superintendent</t>
  </si>
  <si>
    <t xml:space="preserve">myb699157</t>
  </si>
  <si>
    <t xml:space="preserve">NEWBIGGIN COLLIERY COMPANY LIMITED</t>
  </si>
  <si>
    <t xml:space="preserve">Directors Qualification, £2,000 .</t>
  </si>
  <si>
    <t xml:space="preserve">myb700311</t>
  </si>
  <si>
    <t xml:space="preserve">NOVITA MINING</t>
  </si>
  <si>
    <t xml:space="preserve">Tms company was registered March 20th, 1912, to acquire and deal with mining</t>
  </si>
  <si>
    <t xml:space="preserve">myb710095</t>
  </si>
  <si>
    <t xml:space="preserve">MINING YEAR K</t>
  </si>
  <si>
    <t xml:space="preserve">Abercarn Coal Companies. In February, 1910, the company formed the</t>
  </si>
  <si>
    <t xml:space="preserve">myb716720</t>
  </si>
  <si>
    <t xml:space="preserve">BALKIS TLIMITED</t>
  </si>
  <si>
    <t xml:space="preserve">BALKIB</t>
  </si>
  <si>
    <t xml:space="preserve">myb718538</t>
  </si>
  <si>
    <t xml:space="preserve">NOMQFONTEIN</t>
  </si>
  <si>
    <t xml:space="preserve">25. 6d. per 100 or part of 100, with 1s. fee per warrant; charge for reconversion,</t>
  </si>
  <si>
    <t xml:space="preserve">myb719946</t>
  </si>
  <si>
    <t xml:space="preserve">BULAWAYO AND GENERAL EXPLORATION CO</t>
  </si>
  <si>
    <t xml:space="preserve">The Hon. J. A. de Grey, Chairman, 1 001. Sir H. Melliss, K.C.S.I. l R. R. Needham.</t>
  </si>
  <si>
    <t xml:space="preserve">gretton</t>
  </si>
  <si>
    <t xml:space="preserve">ja</t>
  </si>
  <si>
    <t xml:space="preserve">ade</t>
  </si>
  <si>
    <t xml:space="preserve">melbourne</t>
  </si>
  <si>
    <t xml:space="preserve">howard</t>
  </si>
  <si>
    <t xml:space="preserve">myb720904</t>
  </si>
  <si>
    <t xml:space="preserve">CAMBRIAN MINERAL AND METAL CO LTD</t>
  </si>
  <si>
    <t xml:space="preserve">ouray</t>
  </si>
  <si>
    <t xml:space="preserve">R. J. Frecheville. I J. A. Agnew. I L. Ohevrlllon.</t>
  </si>
  <si>
    <t xml:space="preserve">agnew</t>
  </si>
  <si>
    <t xml:space="preserve">jay</t>
  </si>
  <si>
    <t xml:space="preserve">frcndeville</t>
  </si>
  <si>
    <t xml:space="preserve">j</t>
  </si>
  <si>
    <t xml:space="preserve">ogle</t>
  </si>
  <si>
    <t xml:space="preserve">l</t>
  </si>
  <si>
    <t xml:space="preserve">myb724067</t>
  </si>
  <si>
    <t xml:space="preserve">CONSOLIDATED CAMBRIAN LIMITED</t>
  </si>
  <si>
    <t xml:space="preserve">stanhope</t>
  </si>
  <si>
    <t xml:space="preserve">Trustees for Debenture-Holders.</t>
  </si>
  <si>
    <t xml:space="preserve">myb726010</t>
  </si>
  <si>
    <t xml:space="preserve">DEVON UNITED MINES LIMITED</t>
  </si>
  <si>
    <t xml:space="preserve">secon .</t>
  </si>
  <si>
    <t xml:space="preserve">myb729081</t>
  </si>
  <si>
    <t xml:space="preserve">FFOSFACH COLLIERY COMPANY LIMITED</t>
  </si>
  <si>
    <t xml:space="preserve">1896 . Bi ,, 1901 25 ,, 1905 ... 20 ,, 1909 17 ,, 19M 27 ,,</t>
  </si>
  <si>
    <t xml:space="preserve">myb730071</t>
  </si>
  <si>
    <t xml:space="preserve">GENERAL EXPLORERS LIMITED</t>
  </si>
  <si>
    <t xml:space="preserve">Phone: 162 Wall.</t>
  </si>
  <si>
    <t xml:space="preserve">myb730079</t>
  </si>
  <si>
    <t xml:space="preserve">New Goch Gold Mines, Ltd. Van Ryn Gold Mines Estate, Ltd.</t>
  </si>
  <si>
    <t xml:space="preserve">myb736892</t>
  </si>
  <si>
    <t xml:space="preserve">LACE PROPRIETARY MINES LTD</t>
  </si>
  <si>
    <t xml:space="preserve">reef was struck in May, 1905, at depths of 1,170 and 1,350 ft. and again in Septem</t>
  </si>
  <si>
    <t xml:space="preserve">myb739403</t>
  </si>
  <si>
    <t xml:space="preserve">MASON AND BARRY LIMITED</t>
  </si>
  <si>
    <t xml:space="preserve">paris</t>
  </si>
  <si>
    <t xml:space="preserve">Dividends 1892, 2 per cent.; 1893, 2 per cent.; 1894, 2 per cent.; 1895,</t>
  </si>
  <si>
    <t xml:space="preserve">myb740434</t>
  </si>
  <si>
    <t xml:space="preserve">MOND NICKEL COMPANY</t>
  </si>
  <si>
    <t xml:space="preserve">accordance with the value of the assets, it was on July 6, 1914, resolved to wind</t>
  </si>
  <si>
    <t xml:space="preserve">myb750646</t>
  </si>
  <si>
    <t xml:space="preserve">R UKUBA TNTG</t>
  </si>
  <si>
    <t xml:space="preserve">Registered September 18, 1912, to acquire all or any of the assets and liabilities</t>
  </si>
  <si>
    <t xml:space="preserve">myb753106</t>
  </si>
  <si>
    <t xml:space="preserve">SOUTH AFRICAN COPPER TRUSTI LIMITED</t>
  </si>
  <si>
    <t xml:space="preserve">Registered August 21, 1903, to acquire and deal with mining properties in</t>
  </si>
  <si>
    <t xml:space="preserve">myb753946</t>
  </si>
  <si>
    <t xml:space="preserve">STAFFORD COAL AND IRON COMPANY LIMITED</t>
  </si>
  <si>
    <t xml:space="preserve">£6,505 cash and £20,000 in fully-paid shares. Total area now held, 80 acres.</t>
  </si>
  <si>
    <t xml:space="preserve">myb760725</t>
  </si>
  <si>
    <t xml:space="preserve">LIMITED KNIGHT S</t>
  </si>
  <si>
    <t xml:space="preserve">dividends absorbed £234,812, tax, 820., £26,790 leaving £67,815 carried forward.</t>
  </si>
  <si>
    <t xml:space="preserve">myb762496</t>
  </si>
  <si>
    <t xml:space="preserve">AKOKO GOLD MINES AND ESTATES LTD</t>
  </si>
  <si>
    <t xml:space="preserve">Tirectors J. R. Campbell, Chairman; E. Hill; J. C. Jesson. Mine Manager D. E. Cox, Akoko, near Axim, West Africa.</t>
  </si>
  <si>
    <t xml:space="preserve">myb768512</t>
  </si>
  <si>
    <t xml:space="preserve">forward made £28,860; dividend absorbed £12,499, leaving £16,361 carried forward;</t>
  </si>
  <si>
    <t xml:space="preserve">myb769331</t>
  </si>
  <si>
    <t xml:space="preserve">BRAZILIAN GOLD DREDGING SYNDICATE LIMITED</t>
  </si>
  <si>
    <t xml:space="preserve">simmonds street johannesburg</t>
  </si>
  <si>
    <t xml:space="preserve">Consolidated Gold Fields Buildings, Simmonds Street, Johannesburg.</t>
  </si>
  <si>
    <t xml:space="preserve">myb769536</t>
  </si>
  <si>
    <t xml:space="preserve">BRILLIANT EXTENDED GOLD MINING CO LTD</t>
  </si>
  <si>
    <t xml:space="preserve">ls., 2s.</t>
  </si>
  <si>
    <t xml:space="preserve">myb770890</t>
  </si>
  <si>
    <t xml:space="preserve">transferred from London</t>
  </si>
  <si>
    <t xml:space="preserve">myb772398</t>
  </si>
  <si>
    <t xml:space="preserve">CALUMET AND DARIZONA MINING CO</t>
  </si>
  <si>
    <t xml:space="preserve">camborne</t>
  </si>
  <si>
    <t xml:space="preserve">can afford</t>
  </si>
  <si>
    <t xml:space="preserve">myb779861</t>
  </si>
  <si>
    <t xml:space="preserve">DINNINGTON MAIN COAL CC LTD</t>
  </si>
  <si>
    <t xml:space="preserve">highest, 25s. 1 d.; lowest,</t>
  </si>
  <si>
    <t xml:space="preserve">myb782483</t>
  </si>
  <si>
    <t xml:space="preserve">Registered April, 1889, in the Transvaal, to acquire 2,329 morgen of the</t>
  </si>
  <si>
    <t xml:space="preserve">myb783696</t>
  </si>
  <si>
    <t xml:space="preserve">FENTON COLLIERIES LIMITED</t>
  </si>
  <si>
    <t xml:space="preserve">Capital £1,000, in shares of £1 each.</t>
  </si>
  <si>
    <t xml:space="preserve">myb789614</t>
  </si>
  <si>
    <t xml:space="preserve">HATTING SPRUIT COLLIERIES LIMITED</t>
  </si>
  <si>
    <t xml:space="preserve">per cent.; 1914,</t>
  </si>
  <si>
    <t xml:space="preserve">myb790401</t>
  </si>
  <si>
    <t xml:space="preserve">HURONIAN BELT MPANY LIMITED</t>
  </si>
  <si>
    <t xml:space="preserve">nine s including the</t>
  </si>
  <si>
    <t xml:space="preserve">shares. The Topuldodi option was exercised and the Topuldodi company formed</t>
  </si>
  <si>
    <t xml:space="preserve">myb797448</t>
  </si>
  <si>
    <t xml:space="preserve">W MAMMOTH COPPER MINE LTD</t>
  </si>
  <si>
    <t xml:space="preserve">Telegrams: Colloid, Glasgow; at mine : Mammoth, Chillagoe. Codes: Bentleys.</t>
  </si>
  <si>
    <t xml:space="preserve">myb799368</t>
  </si>
  <si>
    <t xml:space="preserve">MINING AGENCY LIMITED</t>
  </si>
  <si>
    <t xml:space="preserve">debit balance</t>
  </si>
  <si>
    <t xml:space="preserve">myb807171</t>
  </si>
  <si>
    <t xml:space="preserve">NUNDYDROOG COMPANY LIMITED</t>
  </si>
  <si>
    <t xml:space="preserve">OAKDALE NAVIGATigir ectoCrsO. LLIERIES, LIMITED.</t>
  </si>
  <si>
    <t xml:space="preserve">myb811716</t>
  </si>
  <si>
    <t xml:space="preserve">RAND MINES POWER SUPPLY COMPANY LIMITED</t>
  </si>
  <si>
    <t xml:space="preserve">jerome</t>
  </si>
  <si>
    <t xml:space="preserve">Sievwright.</t>
  </si>
  <si>
    <t xml:space="preserve">myb811828</t>
  </si>
  <si>
    <t xml:space="preserve">RANDFONTEIN CENTRAL GOLD MINING CO LTD</t>
  </si>
  <si>
    <t xml:space="preserve">randfontein</t>
  </si>
  <si>
    <t xml:space="preserve">see crushing tables</t>
  </si>
  <si>
    <t xml:space="preserve">myb813232</t>
  </si>
  <si>
    <t xml:space="preserve">RHODESIAN VENTURES LIMITED</t>
  </si>
  <si>
    <t xml:space="preserve">manchester</t>
  </si>
  <si>
    <t xml:space="preserve">pr. cwt. 1910-11,</t>
  </si>
  <si>
    <t xml:space="preserve">myb813240</t>
  </si>
  <si>
    <t xml:space="preserve">1897-8, 1902-3, 3</t>
  </si>
  <si>
    <t xml:space="preserve">myb816458</t>
  </si>
  <si>
    <t xml:space="preserve">SEVILLE SULPHUR AND COPPER COMPANY LTD</t>
  </si>
  <si>
    <t xml:space="preserve">1915, the</t>
  </si>
  <si>
    <t xml:space="preserve">myb819238</t>
  </si>
  <si>
    <t xml:space="preserve">SOUTEI WEST AFRICA</t>
  </si>
  <si>
    <t xml:space="preserve">further 50,000 were taken up</t>
  </si>
  <si>
    <t xml:space="preserve">myb819294</t>
  </si>
  <si>
    <t xml:space="preserve">p.c. Loan,</t>
  </si>
  <si>
    <t xml:space="preserve">myb821848</t>
  </si>
  <si>
    <t xml:space="preserve">TELEMARKEN COPPER M HING AND SMELTING CO</t>
  </si>
  <si>
    <t xml:space="preserve">new jersey</t>
  </si>
  <si>
    <t xml:space="preserve">company s option on any interest payment date, viz., June 1 and December 1.</t>
  </si>
  <si>
    <t xml:space="preserve">myb823693</t>
  </si>
  <si>
    <t xml:space="preserve">TRANSVAAL ZAMBESI COMPANY LIMITED</t>
  </si>
  <si>
    <t xml:space="preserve">The company also owns the entire issued capital of the Markham Steam Coal Co.,</t>
  </si>
  <si>
    <t xml:space="preserve">myb823838</t>
  </si>
  <si>
    <t xml:space="preserve">Ltd., the Preobragensk and Alexendrovsk, Andreyevsky and Varvarensky Gold</t>
  </si>
  <si>
    <t xml:space="preserve">myb828633</t>
  </si>
  <si>
    <t xml:space="preserve">VV HITE VVATER ALLUVIALS LIMITED</t>
  </si>
  <si>
    <t xml:space="preserve">whitehaven</t>
  </si>
  <si>
    <t xml:space="preserve">when they become ordinary shares and rank pari passu with the present ordinary</t>
  </si>
  <si>
    <t xml:space="preserve">myb833813</t>
  </si>
  <si>
    <t xml:space="preserve">ANGLO FRENCH</t>
  </si>
  <si>
    <t xml:space="preserve">Huaras,</t>
  </si>
  <si>
    <t xml:space="preserve">myb834023</t>
  </si>
  <si>
    <t xml:space="preserve">athens</t>
  </si>
  <si>
    <t xml:space="preserve">to provide working capital for the new properties an issue of 35,000 preference</t>
  </si>
  <si>
    <t xml:space="preserve">myb841364</t>
  </si>
  <si>
    <t xml:space="preserve">UD DEVELOPMENT SYNDICATE LIMITED</t>
  </si>
  <si>
    <t xml:space="preserve">of which cannot be enforced until a dividend of 10 per cent, is paid £19,589.</t>
  </si>
  <si>
    <t xml:space="preserve">myb847355</t>
  </si>
  <si>
    <t xml:space="preserve">CORNWALL TAILINGS COMPANY LIMITED</t>
  </si>
  <si>
    <t xml:space="preserve">claims; Carreras Hermanos, £130,000 for 33 claims; Compania Sud Americana</t>
  </si>
  <si>
    <t xml:space="preserve">myb850740</t>
  </si>
  <si>
    <t xml:space="preserve">EAST CORNWALL CHINA CLAY</t>
  </si>
  <si>
    <t xml:space="preserve">103 claims</t>
  </si>
  <si>
    <t xml:space="preserve">myb856464</t>
  </si>
  <si>
    <t xml:space="preserve">and fully paid. The capital was originally $15,000,000, in shares of $10 each;</t>
  </si>
  <si>
    <t xml:space="preserve">myb857479</t>
  </si>
  <si>
    <t xml:space="preserve">GUEST KEEN AND NETTLEFOLDS LIMITED</t>
  </si>
  <si>
    <t xml:space="preserve">Birmingham screw and wire makers, steel manufacturers, &amp;c. ,</t>
  </si>
  <si>
    <t xml:space="preserve">myb863936</t>
  </si>
  <si>
    <t xml:space="preserve">RWALL TIN FIELDS</t>
  </si>
  <si>
    <t xml:space="preserve">Transfer form, common; fee, 2s. 6d. November 5, 1913, was appointed settling</t>
  </si>
  <si>
    <t xml:space="preserve">myb864485</t>
  </si>
  <si>
    <t xml:space="preserve">AIKE COPPER PROPRIETARY</t>
  </si>
  <si>
    <t xml:space="preserve">have been specially allowed</t>
  </si>
  <si>
    <t xml:space="preserve">myb864911</t>
  </si>
  <si>
    <t xml:space="preserve">LANGLAAGTE ESTATE</t>
  </si>
  <si>
    <t xml:space="preserve">settling day</t>
  </si>
  <si>
    <t xml:space="preserve">myb869371</t>
  </si>
  <si>
    <t xml:space="preserve">MINERALS EXTRACTION COMPANY LIMITED</t>
  </si>
  <si>
    <t xml:space="preserve">The capital was increased from £15,000 to £20,000 in October, 1904, and to present</t>
  </si>
  <si>
    <t xml:space="preserve">myb870077</t>
  </si>
  <si>
    <t xml:space="preserve">MONS CUPRI VVHIM VVELL LIMITED</t>
  </si>
  <si>
    <t xml:space="preserve">Montrose Diamond Mining Co., Ltd. . The name was changed October, 1908.</t>
  </si>
  <si>
    <t xml:space="preserve">myb880606</t>
  </si>
  <si>
    <t xml:space="preserve">PENRIKYBER NAVIGATION COLLIERY CO LTD</t>
  </si>
  <si>
    <t xml:space="preserve">£1,537.</t>
  </si>
  <si>
    <t xml:space="preserve">myb880824</t>
  </si>
  <si>
    <t xml:space="preserve">PHCENIX GOLD MINES LIMITED</t>
  </si>
  <si>
    <t xml:space="preserve">Increased from £200,000 to £240,000 in September, 1905, the new shares being ofieml</t>
  </si>
  <si>
    <t xml:space="preserve">myb883092</t>
  </si>
  <si>
    <t xml:space="preserve">TRANSWAAL</t>
  </si>
  <si>
    <t xml:space="preserve">May 30, 1916, the profit was £419,754, making with balance forward</t>
  </si>
  <si>
    <t xml:space="preserve">myb884809</t>
  </si>
  <si>
    <t xml:space="preserve">RIGHT OF WAX WNES LIMITED</t>
  </si>
  <si>
    <t xml:space="preserve">california</t>
  </si>
  <si>
    <t xml:space="preserve">Capital -$2,000,000, in 400,000 shares of $5 each; 374,518 shares are issued</t>
  </si>
  <si>
    <t xml:space="preserve">myb886991</t>
  </si>
  <si>
    <t xml:space="preserve">SAN ANTONIO DE ESQUILACHE PERU MINES</t>
  </si>
  <si>
    <t xml:space="preserve">san francisco</t>
  </si>
  <si>
    <t xml:space="preserve">it was decided to transfer the properties to the San Francisco Mines of Mexico,</t>
  </si>
  <si>
    <t xml:space="preserve">myb889166</t>
  </si>
  <si>
    <t xml:space="preserve">SNEYD COLLIERIES LIMITED</t>
  </si>
  <si>
    <t xml:space="preserve">debentures are registered and are redeemable on or before October 1, 1930, by</t>
  </si>
  <si>
    <t xml:space="preserve">myb890671</t>
  </si>
  <si>
    <t xml:space="preserve">NAMES OF THE SHARES</t>
  </si>
  <si>
    <t xml:space="preserve">highest, 7s. 3d.; lowest, 4s. 3d. Latest price, 5s. SOUTHTMOUNT BOPPY GOLD MINING CO., LTD.</t>
  </si>
  <si>
    <t xml:space="preserve">myb891045</t>
  </si>
  <si>
    <t xml:space="preserve">SOUTH RAND EXPLORATION CO LIMITED</t>
  </si>
  <si>
    <t xml:space="preserve">M. Hamlyn.</t>
  </si>
  <si>
    <t xml:space="preserve">hamitton</t>
  </si>
  <si>
    <t xml:space="preserve">myb891267</t>
  </si>
  <si>
    <t xml:space="preserve">TRADE IN SOUTH AFRICA</t>
  </si>
  <si>
    <t xml:space="preserve">where you are now drilling in Borehole No.</t>
  </si>
  <si>
    <t xml:space="preserve">myb891818</t>
  </si>
  <si>
    <t xml:space="preserve">STAR OF EGY PT MINES</t>
  </si>
  <si>
    <t xml:space="preserve">option for one year after the</t>
  </si>
  <si>
    <t xml:space="preserve">myb893498</t>
  </si>
  <si>
    <t xml:space="preserve">T A QUAH MINING</t>
  </si>
  <si>
    <t xml:space="preserve">Patterson, 28, Bishopsgate, E.C.</t>
  </si>
  <si>
    <t xml:space="preserve">myb896643</t>
  </si>
  <si>
    <t xml:space="preserve">UNITED NAT NA COLLIERIES LIMITED</t>
  </si>
  <si>
    <t xml:space="preserve">Accounts For year ended July 31, 1916, submitted December 12, 1916, there</t>
  </si>
  <si>
    <t xml:space="preserve">myb898942</t>
  </si>
  <si>
    <t xml:space="preserve">WASSAVV EXPLORING SYNDICATE LIMITEU</t>
  </si>
  <si>
    <t xml:space="preserve">SecretaMryanagers Fanti Consolidated Mines, Limited. and Offices J. Coltman, 19, St. Swithin s Lane. E.C.</t>
  </si>
  <si>
    <t xml:space="preserve">myb902918</t>
  </si>
  <si>
    <t xml:space="preserve">ZINC CORPORATION LIMITED</t>
  </si>
  <si>
    <t xml:space="preserve">For year ended December 31, 1914, submitted</t>
  </si>
  <si>
    <t xml:space="preserve">myb960930</t>
  </si>
  <si>
    <t xml:space="preserve">WEST BOU LDER GOLD MINES LTD</t>
  </si>
  <si>
    <t xml:space="preserve">Australia, Noveinoer 11, 1917, showed development £2,077. plant £500, preliminary</t>
  </si>
  <si>
    <t xml:space="preserve">myb964253</t>
  </si>
  <si>
    <t xml:space="preserve">HIGUTPF</t>
  </si>
  <si>
    <t xml:space="preserve">30, 1918, there was a profit of £11,011, making with balance forward a sum of</t>
  </si>
  <si>
    <t xml:space="preserve">myb969047</t>
  </si>
  <si>
    <t xml:space="preserve">IMPERIAL AND GENERAL SECURITIES LIMITED</t>
  </si>
  <si>
    <t xml:space="preserve">Dufiryn Rhondda. Collieries near Cymmer, South Wales, together with plant,</t>
  </si>
  <si>
    <t xml:space="preserve">myb969220</t>
  </si>
  <si>
    <t xml:space="preserve">INTERMEDIATE EQUIPMENTS LTD</t>
  </si>
  <si>
    <t xml:space="preserve">Transfer form, common; fee, 2s. 6d. Voting power, one vote per share.</t>
  </si>
  <si>
    <t xml:space="preserve">myb969525</t>
  </si>
  <si>
    <t xml:space="preserve">JOHANNESBURG CONSOLIDATED INVESTMENT</t>
  </si>
  <si>
    <t xml:space="preserve">8. B. Joel, Permanent Chairman.</t>
  </si>
  <si>
    <t xml:space="preserve">joardan</t>
  </si>
  <si>
    <t xml:space="preserve">myb971127</t>
  </si>
  <si>
    <t xml:space="preserve">KRAMAT PULAL LTD</t>
  </si>
  <si>
    <t xml:space="preserve">carter</t>
  </si>
  <si>
    <t xml:space="preserve">district of the Orange River Colony, also other properties, total area 68,321 acres.</t>
  </si>
  <si>
    <t xml:space="preserve">myb972436</t>
  </si>
  <si>
    <t xml:space="preserve">LOW MOVOIR LTD</t>
  </si>
  <si>
    <t xml:space="preserve">and Oflices- H. Williams, Consolidated Building. Secretary and O oes W. Smith, 10-11,Aust1n Friars, E.C.</t>
  </si>
  <si>
    <t xml:space="preserve">myb974834</t>
  </si>
  <si>
    <t xml:space="preserve">MOUNT LYELL MINING AND RAILWAY CO LTD</t>
  </si>
  <si>
    <t xml:space="preserve">wallaroo</t>
  </si>
  <si>
    <t xml:space="preserve">ments have been successfully carried out both by oil flotation and electrolytic process.</t>
  </si>
  <si>
    <t xml:space="preserve">myb980469</t>
  </si>
  <si>
    <t xml:space="preserve">MI I G BIA VUAL</t>
  </si>
  <si>
    <t xml:space="preserve">Reglstere l August 29, 1918, to acquire the properties of the Pusing Lama Tin</t>
  </si>
  <si>
    <t xml:space="preserve">augustine</t>
  </si>
  <si>
    <t xml:space="preserve">reglstere</t>
  </si>
  <si>
    <t xml:space="preserve">myb981131</t>
  </si>
  <si>
    <t xml:space="preserve">RANO SELECTION CORPORATION LTD</t>
  </si>
  <si>
    <t xml:space="preserve">Prices, 1916: highest, 17s. 3d.; lowest, 10s.; 1917: debs., highest, 91; lowest,</t>
  </si>
  <si>
    <t xml:space="preserve">myb983586</t>
  </si>
  <si>
    <t xml:space="preserve">SHEEPBRIDGE COAL AND IRON CO LTD</t>
  </si>
  <si>
    <t xml:space="preserve">mines at frodingham lincolnshire cottesmore in</t>
  </si>
  <si>
    <t xml:space="preserve">to £1,250,000 in May, 1914, by creation of a. further 450,300 ordinary shares, of</t>
  </si>
  <si>
    <t xml:space="preserve">myb985639</t>
  </si>
  <si>
    <t xml:space="preserve">BRONZE AND BRASS FOUNDERS</t>
  </si>
  <si>
    <t xml:space="preserve">the heidelberg</t>
  </si>
  <si>
    <t xml:space="preserve">boundaries were purchased for 43,420 fully-paid £1 shares, and in February,</t>
  </si>
  <si>
    <t xml:space="preserve">myb986565</t>
  </si>
  <si>
    <t xml:space="preserve">LONDON V</t>
  </si>
  <si>
    <t xml:space="preserve">Capital- £25,000, in 500,000 shares of ls. each; all the shares are issued and</t>
  </si>
  <si>
    <t xml:space="preserve">myb992416</t>
  </si>
  <si>
    <t xml:space="preserve">AND CENTRIFUGAL PUMPS</t>
  </si>
  <si>
    <t xml:space="preserve">Specially designed and constructed for mine purposes.</t>
  </si>
  <si>
    <t xml:space="preserve">myb1002575</t>
  </si>
  <si>
    <t xml:space="preserve">DRUMMA COLLIERY CO LTD</t>
  </si>
  <si>
    <t xml:space="preserve">sweden</t>
  </si>
  <si>
    <t xml:space="preserve">miles of railway. The company also acquired exclusive license to use in Norway</t>
  </si>
  <si>
    <t xml:space="preserve">myb1004642</t>
  </si>
  <si>
    <t xml:space="preserve">FANTI CONSOLIDATED MINES LTD</t>
  </si>
  <si>
    <t xml:space="preserve">warrants may be had for 1, 5, 10, 25 and 50 shares; charge: ls. for one to five</t>
  </si>
  <si>
    <t xml:space="preserve">myb1006285</t>
  </si>
  <si>
    <t xml:space="preserve">GELDENHUIS DEEP LIMITED</t>
  </si>
  <si>
    <t xml:space="preserve">was a profit of £858, making with balance forward a sum of £1,840 ; cash £251,</t>
  </si>
  <si>
    <t xml:space="preserve">myb1010493</t>
  </si>
  <si>
    <t xml:space="preserve">KINCOED COLLIERY CQ LTD</t>
  </si>
  <si>
    <t xml:space="preserve">ing and other rights and interests near Pontllanfraith, Abercarn, Mon. The</t>
  </si>
  <si>
    <t xml:space="preserve">rigaud</t>
  </si>
  <si>
    <t xml:space="preserve">ing</t>
  </si>
  <si>
    <t xml:space="preserve">myb1015118</t>
  </si>
  <si>
    <t xml:space="preserve">MOUNT ZEEHAN TASMANIA SILVER LEAD MINES</t>
  </si>
  <si>
    <t xml:space="preserve">Accounts For year ended June 30, 1919, submitted November 27, 1919,</t>
  </si>
  <si>
    <t xml:space="preserve">myb1021392</t>
  </si>
  <si>
    <t xml:space="preserve">arizona</t>
  </si>
  <si>
    <t xml:space="preserve">Arizona, U.S.A. DuringMay, 1910, the undertaking of the Gila. Copper Co.,</t>
  </si>
  <si>
    <t xml:space="preserve">myb1025076</t>
  </si>
  <si>
    <t xml:space="preserve">SOUTH AFRICAN AND GENERAL INVESTMENT AND TRUST CO LTD</t>
  </si>
  <si>
    <t xml:space="preserve">fully paid. During 1910, 49,993 ordinary shares were subscribed at par. Increased</t>
  </si>
  <si>
    <t xml:space="preserve">myb1027914</t>
  </si>
  <si>
    <t xml:space="preserve">TRANSVAAL AND NATAL COLLIERIES LTD</t>
  </si>
  <si>
    <t xml:space="preserve">the</t>
  </si>
  <si>
    <t xml:space="preserve">Station. There are two circular shafts on Vaalbank and an inc line shaft on</t>
  </si>
  <si>
    <t xml:space="preserve">myb1038094</t>
  </si>
  <si>
    <t xml:space="preserve">BRITISH METALS EXTRACTION CO LTD</t>
  </si>
  <si>
    <t xml:space="preserve">the British sphere north of the Zambesi and west of Nyasaland. The rights of</t>
  </si>
  <si>
    <t xml:space="preserve">myb1044763</t>
  </si>
  <si>
    <t xml:space="preserve">EAST AND WEST AFRICAN EXPLORATION CO LTD</t>
  </si>
  <si>
    <t xml:space="preserve">EAST POOL AND AGAR oontinned.</t>
  </si>
  <si>
    <t xml:space="preserve">myb1047513</t>
  </si>
  <si>
    <t xml:space="preserve">GOLDFIELD CONSOLIDATED MINES CO</t>
  </si>
  <si>
    <t xml:space="preserve">nevada</t>
  </si>
  <si>
    <t xml:space="preserve">day, a concentrating plant, and an experimental oil flotation plant for low grade ore.</t>
  </si>
  <si>
    <t xml:space="preserve">myb1049180</t>
  </si>
  <si>
    <t xml:space="preserve">IS THEREFORE READ BY THEM</t>
  </si>
  <si>
    <t xml:space="preserve">ACcollnts lssuedio shareholders only. g i W</t>
  </si>
  <si>
    <t xml:space="preserve">myb1051447</t>
  </si>
  <si>
    <t xml:space="preserve">SOUTH TXFRICAN</t>
  </si>
  <si>
    <t xml:space="preserve">myb1052596</t>
  </si>
  <si>
    <t xml:space="preserve">LAHAT MINES LIMITED</t>
  </si>
  <si>
    <t xml:space="preserve">portland</t>
  </si>
  <si>
    <t xml:space="preserve">Transfer form, common; fee, 2s. 6d. Voting power, and vote per share.</t>
  </si>
  <si>
    <t xml:space="preserve">myb1053498</t>
  </si>
  <si>
    <t xml:space="preserve">LOMAH BANKE EY PEOPRIETARY LTD OI S</t>
  </si>
  <si>
    <t xml:space="preserve">except eight stands in Salisbury have since been sold to Farm Lands of Rhodesia,</t>
  </si>
  <si>
    <t xml:space="preserve">myb1056675</t>
  </si>
  <si>
    <t xml:space="preserve">MTJUWT YAGAHQWG EXPLORATIONWAND FINANCE</t>
  </si>
  <si>
    <t xml:space="preserve">bedford</t>
  </si>
  <si>
    <t xml:space="preserve">A. Cadell, C.S I., J.P.. Chairman. I E. Bedford. I W. E. Martin. I F. E. Richards.</t>
  </si>
  <si>
    <t xml:space="preserve">ernest</t>
  </si>
  <si>
    <t xml:space="preserve">haiu</t>
  </si>
  <si>
    <t xml:space="preserve">cademartori</t>
  </si>
  <si>
    <t xml:space="preserve">alan</t>
  </si>
  <si>
    <t xml:space="preserve">martin</t>
  </si>
  <si>
    <t xml:space="preserve">w</t>
  </si>
  <si>
    <t xml:space="preserve">richards</t>
  </si>
  <si>
    <t xml:space="preserve">myb1057079</t>
  </si>
  <si>
    <t xml:space="preserve">NAMAQUA COPPER COMPANY LIMITED</t>
  </si>
  <si>
    <t xml:space="preserve">C8p1il1 £468,750, divided into 5,000 eight per cent. cumulative preference</t>
  </si>
  <si>
    <t xml:space="preserve">myb1060172</t>
  </si>
  <si>
    <t xml:space="preserve">NORTHERN NIGERIA MINING AND EXPLORATION</t>
  </si>
  <si>
    <t xml:space="preserve">Essen MINES</t>
  </si>
  <si>
    <t xml:space="preserve">myb1060974</t>
  </si>
  <si>
    <t xml:space="preserve">ORSK GOLDFIELDS LIMITED</t>
  </si>
  <si>
    <t xml:space="preserve">E. R. Woakes. I Baron P. P. Oberkampf, Honorary.</t>
  </si>
  <si>
    <t xml:space="preserve">oats</t>
  </si>
  <si>
    <t xml:space="preserve">wobb</t>
  </si>
  <si>
    <t xml:space="preserve">myb1061686</t>
  </si>
  <si>
    <t xml:space="preserve">PENA COPPER MINES LIMITED</t>
  </si>
  <si>
    <t xml:space="preserve">Secretary and Ofllces E. Johnston, 295-219;, Salisbury House, E.C. 2.</t>
  </si>
  <si>
    <t xml:space="preserve">myb1065826</t>
  </si>
  <si>
    <t xml:space="preserve">SEFWI GOLDFIELDS LIMITED</t>
  </si>
  <si>
    <t xml:space="preserve">korea</t>
  </si>
  <si>
    <t xml:space="preserve">miles in the province of Whang Hui, Korea. The concession was granted in 1908</t>
  </si>
  <si>
    <t xml:space="preserve">myb1070041</t>
  </si>
  <si>
    <t xml:space="preserve">TRENGGANU SYND LTD</t>
  </si>
  <si>
    <t xml:space="preserve">TRENGGANU SYND LTD.</t>
  </si>
  <si>
    <t xml:space="preserve">myb1070123</t>
  </si>
  <si>
    <t xml:space="preserve">TREVEDDOE MINING CO LTD</t>
  </si>
  <si>
    <t xml:space="preserve">were 1,246,163 cubic yards; yield 190 catties; costs 45-6 cents l2 7d. ;</t>
  </si>
  <si>
    <t xml:space="preserve">myb1070639</t>
  </si>
  <si>
    <t xml:space="preserve">UNION AND RHODESIAN TRUST LTD</t>
  </si>
  <si>
    <t xml:space="preserve">an amalgamation of a company of same name</t>
  </si>
  <si>
    <t xml:space="preserve">myb1080215</t>
  </si>
  <si>
    <t xml:space="preserve">Capital £3,000,000, in £1 shares: 2,455,053 shares are issued and</t>
  </si>
  <si>
    <t xml:space="preserve">myb1080801</t>
  </si>
  <si>
    <t xml:space="preserve">B URMESE MINERALS EXPLORATION L I D</t>
  </si>
  <si>
    <t xml:space="preserve">BUSH conuÃƒÆ Ã Â slss. LTD.</t>
  </si>
  <si>
    <t xml:space="preserve">myb1082411</t>
  </si>
  <si>
    <t xml:space="preserve">WOLVERHAIVIPTON LTD</t>
  </si>
  <si>
    <t xml:space="preserve">chile</t>
  </si>
  <si>
    <t xml:space="preserve">CHILE EXPLORATION 00. Directors.</t>
  </si>
  <si>
    <t xml:space="preserve">exploratio</t>
  </si>
  <si>
    <t xml:space="preserve">myb1084504</t>
  </si>
  <si>
    <t xml:space="preserve">CROWN MINES LIMITED</t>
  </si>
  <si>
    <t xml:space="preserve">consulting Engineers Central Mining and Investment Corpn., Ltd,</t>
  </si>
  <si>
    <t xml:space="preserve">myb1084619</t>
  </si>
  <si>
    <t xml:space="preserve">CONSIDERATION</t>
  </si>
  <si>
    <t xml:space="preserve">CROWN MINES</t>
  </si>
  <si>
    <t xml:space="preserve">myb1084787</t>
  </si>
  <si>
    <t xml:space="preserve">CYPRUS SULPHUR AND COPPER CO LTD</t>
  </si>
  <si>
    <t xml:space="preserve">vaal, in extent 4,367 morgen 183 sq. roods, equal to 6,283 claims, and adioins De</t>
  </si>
  <si>
    <t xml:space="preserve">myb1090830</t>
  </si>
  <si>
    <t xml:space="preserve">HARTON COAL CO I LTD</t>
  </si>
  <si>
    <t xml:space="preserve">Registered December 16, 1910, to acquire from E. M. Bainbridge the benefit</t>
  </si>
  <si>
    <t xml:space="preserve">myb1093347</t>
  </si>
  <si>
    <t xml:space="preserve">KENT CENTRAL COAL ESTATES LIMITED</t>
  </si>
  <si>
    <t xml:space="preserve">line. In conjunction with the South-Eastern Coalfield Extension, Ltd., 70 acres</t>
  </si>
  <si>
    <t xml:space="preserve">myb1094666</t>
  </si>
  <si>
    <t xml:space="preserve">LANNER SYND LTD</t>
  </si>
  <si>
    <t xml:space="preserve">Accounts For fifteen months ended December 31, 1920, submitted June 23,</t>
  </si>
  <si>
    <t xml:space="preserve">myb1101520</t>
  </si>
  <si>
    <t xml:space="preserve">NORTH END COLDLIERY CO LTD</t>
  </si>
  <si>
    <t xml:space="preserve">shares.</t>
  </si>
  <si>
    <t xml:space="preserve">myb1103014</t>
  </si>
  <si>
    <t xml:space="preserve">PALMAREJO AND MEXICAN GOLD FIELDS LIMITED</t>
  </si>
  <si>
    <t xml:space="preserve">chihuahua</t>
  </si>
  <si>
    <t xml:space="preserve">60-stamp mill and reduction works are erected but are now</t>
  </si>
  <si>
    <t xml:space="preserve">myb1106449</t>
  </si>
  <si>
    <t xml:space="preserve">ORE AND COPPER STATISTICS FROM TO</t>
  </si>
  <si>
    <t xml:space="preserve">71111-5passu with the A and B debentures on the other assets. Redeemable</t>
  </si>
  <si>
    <t xml:space="preserve">myb1107765</t>
  </si>
  <si>
    <t xml:space="preserve">SCOTTISH AUSTRALIAN MINING COMPANY</t>
  </si>
  <si>
    <t xml:space="preserve">F. W. Turner, Chairman and Managing. J. Varley. I E. M. Crookshank, J.P.</t>
  </si>
  <si>
    <t xml:space="preserve">crookes</t>
  </si>
  <si>
    <t xml:space="preserve">myb1109501</t>
  </si>
  <si>
    <t xml:space="preserve">SOUTH AFRICAN OPTION SYND LTD</t>
  </si>
  <si>
    <t xml:space="preserve">Phone: 7727 Wall.</t>
  </si>
  <si>
    <t xml:space="preserve">myb1112074</t>
  </si>
  <si>
    <t xml:space="preserve">or before</t>
  </si>
  <si>
    <t xml:space="preserve">down of these properties in or before 1895 were as follows : -- II The severe fall</t>
  </si>
  <si>
    <t xml:space="preserve">myb1118631</t>
  </si>
  <si>
    <t xml:space="preserve">ASHANTI GOLDFIELDS CORPORATION</t>
  </si>
  <si>
    <t xml:space="preserve">1915-16, 70 per cent.; 1916-17, 75 per cent.; 1917-18, 70 per cent.; 1918-19, 75 per</t>
  </si>
  <si>
    <t xml:space="preserve">myb1119890</t>
  </si>
  <si>
    <t xml:space="preserve">BECHUANALAIU EXPLORATION LTD</t>
  </si>
  <si>
    <t xml:space="preserve">40s. each. The capital was reduced to £200,000 by Order of the Court, dated</t>
  </si>
  <si>
    <t xml:space="preserve">myb1121842</t>
  </si>
  <si>
    <t xml:space="preserve">The shares are still held. .4</t>
  </si>
  <si>
    <t xml:space="preserve">myb1122416</t>
  </si>
  <si>
    <t xml:space="preserve">BULLF INCH PROPRIETARY L FDT</t>
  </si>
  <si>
    <t xml:space="preserve">B URMA RUBY MINES. LTD. Directors Qualification, £250 in shares . Sir H. S. BarnMesa,nKa.gCe.Sr. I.,FK..C.V.O. | Sir L. M.Jacob, K.O.S.I. Atlay, Mogok, Upper Burma. Chief Engineer A H. Morgan, Mogck, Upper Burma. Secretary and Oflilces M. J. Battye, Suffolk House, Laurence Pountney Hi1 , 151.0. 4.</t>
  </si>
  <si>
    <t xml:space="preserve">moreland</t>
  </si>
  <si>
    <t xml:space="preserve">alfred</t>
  </si>
  <si>
    <t xml:space="preserve">engineer</t>
  </si>
  <si>
    <t xml:space="preserve">myb1124647</t>
  </si>
  <si>
    <t xml:space="preserve">CITY AND SUBURBAN GOLD MINING AND ESTATE</t>
  </si>
  <si>
    <t xml:space="preserve">myb1125057</t>
  </si>
  <si>
    <t xml:space="preserve">COLOMBIAN GENERAL EXPLORATION SYND LTD</t>
  </si>
  <si>
    <t xml:space="preserve">for 1903-4, 10 per cent. ; 1904-5, 10 per cent.; 1905-6, 20 per cent.; 1906-7, 30 per</t>
  </si>
  <si>
    <t xml:space="preserve">myb1126045</t>
  </si>
  <si>
    <t xml:space="preserve">CORNWALL SLQTE QUARRIES LTD</t>
  </si>
  <si>
    <t xml:space="preserve">for 168 claims. The area now comprises 515 copper mining claims, situate near</t>
  </si>
  <si>
    <t xml:space="preserve">myb1129834</t>
  </si>
  <si>
    <t xml:space="preserve">FILANI NIGERIA TIN MINING COMPANY LIMITED</t>
  </si>
  <si>
    <t xml:space="preserve">On 11. - e I</t>
  </si>
  <si>
    <t xml:space="preserve">myb1136871</t>
  </si>
  <si>
    <t xml:space="preserve">BRAKES AND GLUTGI IES</t>
  </si>
  <si>
    <t xml:space="preserve">Accounts For year ended September 30, 192l, submitted Juno 1, 1922,</t>
  </si>
  <si>
    <t xml:space="preserve">myb1137869</t>
  </si>
  <si>
    <t xml:space="preserve">MEIROS COLLIERIES LTD</t>
  </si>
  <si>
    <t xml:space="preserve">Nettlefolds, Ltd., and John Lysaght, Ltd., by purchase of the ordinary shares</t>
  </si>
  <si>
    <t xml:space="preserve">myb1138040</t>
  </si>
  <si>
    <t xml:space="preserve">MEXICAN CORPN LTD</t>
  </si>
  <si>
    <t xml:space="preserve">silver, 2 4 per cent. copper and 5 5 per cent. zinc. This ore requires preliminary</t>
  </si>
  <si>
    <t xml:space="preserve">myb1139412</t>
  </si>
  <si>
    <t xml:space="preserve">MOUNT BISCHOFF TIN MINING CEO REGISTERED</t>
  </si>
  <si>
    <t xml:space="preserve">£5 shares. The property covers an area of 173 acres, situate about 160 miles north</t>
  </si>
  <si>
    <t xml:space="preserve">myb1141925</t>
  </si>
  <si>
    <t xml:space="preserve">FALMOUTH ENGLAND</t>
  </si>
  <si>
    <t xml:space="preserve">porcupine</t>
  </si>
  <si>
    <t xml:space="preserve">.1. , 1923. 401</t>
  </si>
  <si>
    <t xml:space="preserve">myb1146372</t>
  </si>
  <si>
    <t xml:space="preserve">forward left £257,481, out of which debenture interest absorbed £131,245,</t>
  </si>
  <si>
    <t xml:space="preserve">myb1155214</t>
  </si>
  <si>
    <t xml:space="preserve">CANNON STREET LONDON E C</t>
  </si>
  <si>
    <t xml:space="preserve">G. Shaw. | 1 . Shaw. General Manager G. H. Ashwin. Secretary and Omces W. A. Bownas, Wath-on-Dearne, near Rotherham.</t>
  </si>
  <si>
    <t xml:space="preserve">ashworth</t>
  </si>
  <si>
    <t xml:space="preserve">g</t>
  </si>
  <si>
    <t xml:space="preserve">secretary</t>
  </si>
  <si>
    <t xml:space="preserve">myb1155937</t>
  </si>
  <si>
    <t xml:space="preserve">WEST OF ENGLAND MINES AND METALS LTD</t>
  </si>
  <si>
    <t xml:space="preserve">at 3,890 ft.; a further 215 ft. have been sunk and development is now in</t>
  </si>
  <si>
    <t xml:space="preserve">stock</t>
  </si>
  <si>
    <t xml:space="preserve">yinc</t>
  </si>
  <si>
    <t xml:space="preserve">locinc</t>
  </si>
  <si>
    <t xml:space="preserve">cer</t>
  </si>
  <si>
    <t xml:space="preserve">tot</t>
  </si>
  <si>
    <t xml:space="preserve">amm218</t>
  </si>
  <si>
    <t xml:space="preserve">Reynolds Alaska Development Company. Ellamar.</t>
  </si>
  <si>
    <t xml:space="preserve">State St, Boston</t>
  </si>
  <si>
    <t xml:space="preserve">boston </t>
  </si>
  <si>
    <t xml:space="preserve">Office, 27 State St., Boston. Howard D. Reynolds, Pres.; Blamey Stevens.</t>
  </si>
  <si>
    <t xml:space="preserve">reynolds</t>
  </si>
  <si>
    <t xml:space="preserve">d</t>
  </si>
  <si>
    <t xml:space="preserve">Pres</t>
  </si>
  <si>
    <t xml:space="preserve">amm241</t>
  </si>
  <si>
    <t xml:space="preserve">Yukon Consolidated Gold Fields Company. Dawson.</t>
  </si>
  <si>
    <t xml:space="preserve">broadway </t>
  </si>
  <si>
    <t xml:space="preserve">(Guggenheim Exploration Co.) Office, 71 Broadway, New York. Oscar</t>
  </si>
  <si>
    <t xml:space="preserve">amm296</t>
  </si>
  <si>
    <t xml:space="preserve">Republic Zinc Company. Rush.</t>
  </si>
  <si>
    <t xml:space="preserve">amm428</t>
  </si>
  <si>
    <t xml:space="preserve">Black Prince Copper Company. Johnson.</t>
  </si>
  <si>
    <t xml:space="preserve">Teviston.</t>
  </si>
  <si>
    <t xml:space="preserve">amm704</t>
  </si>
  <si>
    <t xml:space="preserve">Henrietta Cyanide &amp; Development Company. Big Bug,</t>
  </si>
  <si>
    <t xml:space="preserve">Prescott.</t>
  </si>
  <si>
    <t xml:space="preserve">amm1078</t>
  </si>
  <si>
    <t xml:space="preserve">Union Pass Gold Mining Company. Kingman.</t>
  </si>
  <si>
    <t xml:space="preserve">United Globe Mines. Globe.</t>
  </si>
  <si>
    <t xml:space="preserve">amm1156</t>
  </si>
  <si>
    <t xml:space="preserve">American Mining &amp; Development Company. Kennett.</t>
  </si>
  <si>
    <t xml:space="preserve">amm1249</t>
  </si>
  <si>
    <t xml:space="preserve">Bully Hill Copper Mining &amp; Smelting Company. Winthrop.</t>
  </si>
  <si>
    <t xml:space="preserve">amm1481</t>
  </si>
  <si>
    <t xml:space="preserve">Empire Mines &amp; Investment Company. Grass Valley.</t>
  </si>
  <si>
    <t xml:space="preserve">men.</t>
  </si>
  <si>
    <t xml:space="preserve">amm1890</t>
  </si>
  <si>
    <t xml:space="preserve">New Bodie Mining Company. Bodie.</t>
  </si>
  <si>
    <t xml:space="preserve">W. A. R. Loose, Mgr. Gold. Steam. 20 men.</t>
  </si>
  <si>
    <t xml:space="preserve">looal</t>
  </si>
  <si>
    <t xml:space="preserve">Mgr</t>
  </si>
  <si>
    <t xml:space="preserve">amm2198</t>
  </si>
  <si>
    <t xml:space="preserve">Trojan Mining Company. Fenner.</t>
  </si>
  <si>
    <t xml:space="preserve">A. M. Rockwell. Supt. Bonanza King Mine. Silver, Lead &amp; Zinc. Steam</t>
  </si>
  <si>
    <t xml:space="preserve">rochester</t>
  </si>
  <si>
    <t xml:space="preserve">Supt</t>
  </si>
  <si>
    <t xml:space="preserve">source to text</t>
  </si>
  <si>
    <t xml:space="preserve">amm2790</t>
  </si>
  <si>
    <t xml:space="preserve">Gold Dollar Consolidated Mining Company. Victor.</t>
  </si>
  <si>
    <t xml:space="preserve">Newett.</t>
  </si>
  <si>
    <t xml:space="preserve">text to class</t>
  </si>
  <si>
    <t xml:space="preserve">amm2900</t>
  </si>
  <si>
    <t xml:space="preserve">Home Run Leasing Company.</t>
  </si>
  <si>
    <t xml:space="preserve">amm2938</t>
  </si>
  <si>
    <t xml:space="preserve">Indiana Gold Mining &amp; Milling Company. Idaho Springs.</t>
  </si>
  <si>
    <t xml:space="preserve">indiana </t>
  </si>
  <si>
    <t xml:space="preserve">amm2955</t>
  </si>
  <si>
    <t xml:space="preserve">Iron Silver Mining Company. Leadville.</t>
  </si>
  <si>
    <t xml:space="preserve">&amp; Dome Mines. Gold, Silver, Lead &amp; Zinc. Steam. 100 ton Concentrat</t>
  </si>
  <si>
    <t xml:space="preserve">amm3598</t>
  </si>
  <si>
    <t xml:space="preserve">Wonderful London Mines Company. Breckenridge.</t>
  </si>
  <si>
    <t xml:space="preserve">denver </t>
  </si>
  <si>
    <t xml:space="preserve">Wood (Henry E.) Ore Testing Works. 1734 Arapahoe St., Denver.</t>
  </si>
  <si>
    <t xml:space="preserve">amm3924</t>
  </si>
  <si>
    <t xml:space="preserve">Greyhound Mining &amp; Milling Company limited.</t>
  </si>
  <si>
    <t xml:space="preserve">custer </t>
  </si>
  <si>
    <t xml:space="preserve">Custer.</t>
  </si>
  <si>
    <t xml:space="preserve">amm4213</t>
  </si>
  <si>
    <t xml:space="preserve">X Ray Mining Company.</t>
  </si>
  <si>
    <t xml:space="preserve">Pearl.</t>
  </si>
  <si>
    <t xml:space="preserve">amm4526</t>
  </si>
  <si>
    <t xml:space="preserve">Consumers Ore Company. Palmer. J. R. Thompson, Gen. Mgr.; John H. Huhtala, Supt. Richmond Mine.</t>
  </si>
  <si>
    <t xml:space="preserve">michigan </t>
  </si>
  <si>
    <t xml:space="preserve">118 MICHIGAN.</t>
  </si>
  <si>
    <t xml:space="preserve">amm4545</t>
  </si>
  <si>
    <t xml:space="preserve">Mineral Mining Company. Iron Mountain.</t>
  </si>
  <si>
    <t xml:space="preserve">Milwaukee, Wis</t>
  </si>
  <si>
    <t xml:space="preserve">milwaukee </t>
  </si>
  <si>
    <t xml:space="preserve">Office, Milwaukee, Wis. Elwin F. Brown, Gen. Mgr. Nanaimo, Breen,</t>
  </si>
  <si>
    <t xml:space="preserve">elwin</t>
  </si>
  <si>
    <t xml:space="preserve">amm4595</t>
  </si>
  <si>
    <t xml:space="preserve">Verona Mining Company. Iron Mountain.</t>
  </si>
  <si>
    <t xml:space="preserve">amm4709</t>
  </si>
  <si>
    <t xml:space="preserve">Mine La Motte Lead &amp; Smelting Company. Mine La Motte.</t>
  </si>
  <si>
    <t xml:space="preserve">Supt.; S. S. Clarke, Metallurgist. Lead, Nickel, Copper &amp; Cobalt. Steam.</t>
  </si>
  <si>
    <t xml:space="preserve">clarke</t>
  </si>
  <si>
    <t xml:space="preserve">susan</t>
  </si>
  <si>
    <t xml:space="preserve">amm5343</t>
  </si>
  <si>
    <t xml:space="preserve">(Amalgamated Copper Company.) Charles W. Goodale, E. M., Mgr.; John</t>
  </si>
  <si>
    <t xml:space="preserve">&amp; West Colusa Mines. Copper Sulphides; Gold &amp; Silver. Steam &amp; Elec</t>
  </si>
  <si>
    <t xml:space="preserve">amm5893</t>
  </si>
  <si>
    <t xml:space="preserve">New Era Mining Company. Searchlight.</t>
  </si>
  <si>
    <t xml:space="preserve">amm5902</t>
  </si>
  <si>
    <t xml:space="preserve">North Mountain Mining Company. Cherry Creek.</t>
  </si>
  <si>
    <t xml:space="preserve">Cyanide Plant. 25 men.</t>
  </si>
  <si>
    <t xml:space="preserve">amm6462</t>
  </si>
  <si>
    <t xml:space="preserve">American Goldfields Company.</t>
  </si>
  <si>
    <t xml:space="preserve">Marquette Bdg</t>
  </si>
  <si>
    <t xml:space="preserve">marquette </t>
  </si>
  <si>
    <t xml:space="preserve">Office, 1114 Marquette Bdg., Chicago. W. J</t>
  </si>
  <si>
    <t xml:space="preserve">shales</t>
  </si>
  <si>
    <t xml:space="preserve">amm6574</t>
  </si>
  <si>
    <t xml:space="preserve">Eureka Mining Company.</t>
  </si>
  <si>
    <t xml:space="preserve">A. F. Nelson, Supt. Gold. Steam.</t>
  </si>
  <si>
    <t xml:space="preserve">neilsou</t>
  </si>
  <si>
    <t xml:space="preserve">amm7137</t>
  </si>
  <si>
    <t xml:space="preserve">Gemini-Godiva Consolidated Mining Company. Eureka.</t>
  </si>
  <si>
    <t xml:space="preserve">&amp; Copper. Water &amp; Steam. 100 men.</t>
  </si>
  <si>
    <t xml:space="preserve">amm7616</t>
  </si>
  <si>
    <t xml:space="preserve">Kennedy Mining Company. Platteville.</t>
  </si>
  <si>
    <t xml:space="preserve">W. Oberholzer, Supt. St. Paul Mine. Steam. 50 ton Concentrating Plant.</t>
  </si>
  <si>
    <t xml:space="preserve">wilhelm</t>
  </si>
  <si>
    <t xml:space="preserve">arno</t>
  </si>
  <si>
    <t xml:space="preserve">amm7813</t>
  </si>
  <si>
    <t xml:space="preserve">Interstate Exploration Company. Endicott Bdg, St. Paul, Minn.</t>
  </si>
  <si>
    <t xml:space="preserve">2*BAL0ERAS N°I232</t>
  </si>
  <si>
    <t xml:space="preserve">amm7854</t>
  </si>
  <si>
    <t xml:space="preserve">REFINING COMPANY</t>
  </si>
  <si>
    <t xml:space="preserve">:</t>
  </si>
  <si>
    <t xml:space="preserve">amm7973</t>
  </si>
  <si>
    <t xml:space="preserve">American Smelting &amp; Refining Company. Santa Eulalia.</t>
  </si>
  <si>
    <t xml:space="preserve">Broadway, New York</t>
  </si>
  <si>
    <t xml:space="preserve">Office, 71 Broadway, New York. Thomas H. Mitchell, Supt. Sauto Do</t>
  </si>
  <si>
    <t xml:space="preserve">mitchell</t>
  </si>
  <si>
    <t xml:space="preserve">amm8045</t>
  </si>
  <si>
    <t xml:space="preserve">Clarinas Mining Company. Santa Barbara.</t>
  </si>
  <si>
    <t xml:space="preserve">&amp;</t>
  </si>
  <si>
    <t xml:space="preserve">amm8104</t>
  </si>
  <si>
    <t xml:space="preserve">amm8154</t>
  </si>
  <si>
    <t xml:space="preserve">Grenadena Mining Company. Santa Barbara.</t>
  </si>
  <si>
    <t xml:space="preserve">amm8366</t>
  </si>
  <si>
    <t xml:space="preserve">Coahuila Mining &amp; Smelting Company. Viesca.</t>
  </si>
  <si>
    <t xml:space="preserve">Ragaz, Gen. Supt. of Mines; Ernest Harms, Metallurgist &amp; Gen. Supt. of</t>
  </si>
  <si>
    <t xml:space="preserve">harman</t>
  </si>
  <si>
    <t xml:space="preserve">Gen. Supt</t>
  </si>
  <si>
    <t xml:space="preserve">amm8615</t>
  </si>
  <si>
    <t xml:space="preserve">Mina Grande Mining &amp; Milling Company. Tepehuanes.</t>
  </si>
  <si>
    <t xml:space="preserve">Eliseo C. Julio, Mgr. Silver &amp; Gold. Steam. 100 men.</t>
  </si>
  <si>
    <t xml:space="preserve">judkewitsch</t>
  </si>
  <si>
    <t xml:space="preserve">eliseo</t>
  </si>
  <si>
    <t xml:space="preserve">amm8990</t>
  </si>
  <si>
    <t xml:space="preserve">Bolanos Mining Company. Bolanos.</t>
  </si>
  <si>
    <t xml:space="preserve">amm9061</t>
  </si>
  <si>
    <t xml:space="preserve">La Fortuna Mining Company. Ahualulco.</t>
  </si>
  <si>
    <t xml:space="preserve">amm9139</t>
  </si>
  <si>
    <t xml:space="preserve">Esperanza Mining Company. El Oro.</t>
  </si>
  <si>
    <t xml:space="preserve">amm9352</t>
  </si>
  <si>
    <t xml:space="preserve">(American Metal Co., New York.) F. F. Salisbury, Mgr. Minas Viejas</t>
  </si>
  <si>
    <t xml:space="preserve">Villaldama.</t>
  </si>
  <si>
    <t xml:space="preserve">amm9406</t>
  </si>
  <si>
    <t xml:space="preserve">Baldomero Mining Company. Ocotlan.</t>
  </si>
  <si>
    <t xml:space="preserve">Office, 80 Broadway, New York. Charles A. Hamilton, Gen. Mgr.; Charles</t>
  </si>
  <si>
    <t xml:space="preserve">hamilto</t>
  </si>
  <si>
    <t xml:space="preserve">amm9442</t>
  </si>
  <si>
    <t xml:space="preserve">Conejo Colorado Mining Company. Ocotlan.</t>
  </si>
  <si>
    <t xml:space="preserve">Steam. 10 Stamps &amp; 2 Huntington Mills. 50 men.</t>
  </si>
  <si>
    <t xml:space="preserve">amm9722</t>
  </si>
  <si>
    <t xml:space="preserve">Las Tablas Copper Company. Aguacaliente de Baca.</t>
  </si>
  <si>
    <t xml:space="preserve">200 men.</t>
  </si>
  <si>
    <t xml:space="preserve">amm9759</t>
  </si>
  <si>
    <t xml:space="preserve">Arizona &amp; Sonora Gold Mining &amp; Development Company. Cucurpe.</t>
  </si>
  <si>
    <t xml:space="preserve">arizona </t>
  </si>
  <si>
    <t xml:space="preserve">amm10007</t>
  </si>
  <si>
    <t xml:space="preserve">Ruby Gold &amp; Copper Company. Ortiz.</t>
  </si>
  <si>
    <t xml:space="preserve">50 men.</t>
  </si>
  <si>
    <t xml:space="preserve">amm10012</t>
  </si>
  <si>
    <t xml:space="preserve">San Bernardino Mining Company. Cananea. J. M. Gibbs, Mgr. Copper, Silver &amp; Gold. Steam. 25 men.</t>
  </si>
  <si>
    <t xml:space="preserve">cananea </t>
  </si>
  <si>
    <t xml:space="preserve">gibbon</t>
  </si>
  <si>
    <t xml:space="preserve">joseph</t>
  </si>
  <si>
    <t xml:space="preserve">amm10165</t>
  </si>
  <si>
    <t xml:space="preserve">Bote Mining Company. Zacatecas.</t>
  </si>
  <si>
    <t xml:space="preserve">Mills &amp; 80 ton Cyanide Plant. 750 men.</t>
  </si>
  <si>
    <t xml:space="preserve">amm10426</t>
  </si>
  <si>
    <t xml:space="preserve">Great Northern Mines Limited. Camborne and Poplar.</t>
  </si>
  <si>
    <t xml:space="preserve">Nelson</t>
  </si>
  <si>
    <t xml:space="preserve">Office, Nelson. B. C. W. F. Cochrane, Mgr.; Barkley Crilly, Supt. Oyster</t>
  </si>
  <si>
    <t xml:space="preserve">cochrave</t>
  </si>
  <si>
    <t xml:space="preserve">amm10612</t>
  </si>
  <si>
    <t xml:space="preserve">(Canadian Consolidated Mines Limited.) James Cronin</t>
  </si>
  <si>
    <t xml:space="preserve">Moyie.</t>
  </si>
  <si>
    <t xml:space="preserve">amm11008</t>
  </si>
  <si>
    <t xml:space="preserve">Thetford Chrome Company.</t>
  </si>
  <si>
    <t xml:space="preserve">Black Lake.</t>
  </si>
  <si>
    <t xml:space="preserve">amm11032</t>
  </si>
  <si>
    <t xml:space="preserve">(American Smelting &amp; Refining Company.) Office, Bymes Bdg., Denver.</t>
  </si>
  <si>
    <t xml:space="preserve">Franklin Guiterman, Gen. Mgr.; Frederick P. Bayles, Supt. Steam &amp;</t>
  </si>
  <si>
    <t xml:space="preserve">guilford</t>
  </si>
  <si>
    <t xml:space="preserve">amm11047</t>
  </si>
  <si>
    <t xml:space="preserve">Curtis Coal Mining Company. Colorado Springs.</t>
  </si>
  <si>
    <t xml:space="preserve">colorado </t>
  </si>
  <si>
    <t xml:space="preserve">amm11372</t>
  </si>
  <si>
    <t xml:space="preserve">COAL MINES— NEW BRUNSWICK— NOVA SCOTIA. 229</t>
  </si>
  <si>
    <t xml:space="preserve">new brunswick </t>
  </si>
  <si>
    <t xml:space="preserve">amm11459</t>
  </si>
  <si>
    <t xml:space="preserve">BEATSON COPPER CO., LATOUCHE, ALASKA. B2.</t>
  </si>
  <si>
    <t xml:space="preserve">Andrew K. Beatson. Manager. Bonanza Mine. Copper-Silver. Open Cut</t>
  </si>
  <si>
    <t xml:space="preserve">beatson</t>
  </si>
  <si>
    <t xml:space="preserve">andrew</t>
  </si>
  <si>
    <t xml:space="preserve">k</t>
  </si>
  <si>
    <t xml:space="preserve">Manager</t>
  </si>
  <si>
    <t xml:space="preserve">amm11779</t>
  </si>
  <si>
    <t xml:space="preserve">AUGUSTA MINING CO., PATAGONIA, SANTA CRUZ COUNTY. D.</t>
  </si>
  <si>
    <t xml:space="preserve">William Kemp, Supt. Copper. Shaft. Steam and Air. 25 Men.</t>
  </si>
  <si>
    <t xml:space="preserve">kemble</t>
  </si>
  <si>
    <t xml:space="preserve">william</t>
  </si>
  <si>
    <t xml:space="preserve">amm12353</t>
  </si>
  <si>
    <t xml:space="preserve">McMILLEN STONEWALL MINING CO., GLOBE, GILA COUNTY. D.</t>
  </si>
  <si>
    <t xml:space="preserve">amm12653</t>
  </si>
  <si>
    <t xml:space="preserve">SHATTUCK-ARIZONA COPPER CO., BISBEE, COCHISE COUNTY. C.</t>
  </si>
  <si>
    <t xml:space="preserve">Duluth, Minnesota</t>
  </si>
  <si>
    <t xml:space="preserve">duluth </t>
  </si>
  <si>
    <t xml:space="preserve">Office, Duluth, Minnesota. L. C. Shattuck, Manager. Copper. 900' Shaft.</t>
  </si>
  <si>
    <t xml:space="preserve">sharwood</t>
  </si>
  <si>
    <t xml:space="preserve">lemuel</t>
  </si>
  <si>
    <t xml:space="preserve">amm12815</t>
  </si>
  <si>
    <t xml:space="preserve">VICTOR &amp; BELL CROWN MINING CO., WENDEN, YUMA COUNTY. D.</t>
  </si>
  <si>
    <t xml:space="preserve">amm13051</t>
  </si>
  <si>
    <t xml:space="preserve">BLUFF CITY MINING CO., QUINCY, PLUMAS CO. E.</t>
  </si>
  <si>
    <t xml:space="preserve">quincy </t>
  </si>
  <si>
    <t xml:space="preserve">amm13150</t>
  </si>
  <si>
    <t xml:space="preserve">CALIFORNIA CONS. MINING CO., ROLLIN, SISKIYOU CO. B2.</t>
  </si>
  <si>
    <t xml:space="preserve">Laurel Group. Gold. Tunnels. Electricity and Air. 25 Men.</t>
  </si>
  <si>
    <t xml:space="preserve">amm13512</t>
  </si>
  <si>
    <t xml:space="preserve">FRESNO MAGNESITE CO., REEDLEY, FRESNO CO. B2.</t>
  </si>
  <si>
    <t xml:space="preserve">fresno </t>
  </si>
  <si>
    <t xml:space="preserve">amm14185</t>
  </si>
  <si>
    <t xml:space="preserve">ORO GRANDE MINE, CARRVILLE, SISKIYOU CO. D.</t>
  </si>
  <si>
    <t xml:space="preserve">Strode Brothers, Owners. Gold. Tunnel. Water. 10 Stamps. 15 Men.</t>
  </si>
  <si>
    <t xml:space="preserve">brothers</t>
  </si>
  <si>
    <t xml:space="preserve">strode</t>
  </si>
  <si>
    <t xml:space="preserve">Owner</t>
  </si>
  <si>
    <t xml:space="preserve">amm14522</t>
  </si>
  <si>
    <t xml:space="preserve">SPANISH RIDGE MINING CO., WASHINGTON, NEVADA CO. D.</t>
  </si>
  <si>
    <t xml:space="preserve">washington </t>
  </si>
  <si>
    <t xml:space="preserve">amm14632</t>
  </si>
  <si>
    <t xml:space="preserve">TRINITY DREDGING &amp; POWER CO., LEWISTON, TRINITY CO. D.</t>
  </si>
  <si>
    <t xml:space="preserve">Fay Bdg</t>
  </si>
  <si>
    <t xml:space="preserve">Office, 516 Fay Bdg , Los Angeles. H. E. Chesebro, Manager. Placer Gold</t>
  </si>
  <si>
    <t xml:space="preserve">cherry</t>
  </si>
  <si>
    <t xml:space="preserve">h</t>
  </si>
  <si>
    <t xml:space="preserve">amm14989</t>
  </si>
  <si>
    <t xml:space="preserve">CALLIOPE MINING CO., OURAY, OURAY CO. B2</t>
  </si>
  <si>
    <t xml:space="preserve">amm15554</t>
  </si>
  <si>
    <t xml:space="preserve">HUMMING BIRD M. &amp; M. CO., IDAHO SPRINGS, CLEAR CREEK CO. D</t>
  </si>
  <si>
    <t xml:space="preserve">teller </t>
  </si>
  <si>
    <t xml:space="preserve">HUMPHREY &amp; THOMPSON, BOX 851, CRIPPLE CREEK, TELLER CO. B.</t>
  </si>
  <si>
    <t xml:space="preserve">amm15685</t>
  </si>
  <si>
    <t xml:space="preserve">LARIMORE GOLD MINING &amp; MILLING CO., ELDORA, BOULDER CO. B2</t>
  </si>
  <si>
    <t xml:space="preserve">sutton </t>
  </si>
  <si>
    <t xml:space="preserve">Isaac Sutton, Manager. Gold-Silver. Shafts. Steam and Air. Developing.</t>
  </si>
  <si>
    <t xml:space="preserve">sutton</t>
  </si>
  <si>
    <t xml:space="preserve">isaac</t>
  </si>
  <si>
    <t xml:space="preserve">amm15737</t>
  </si>
  <si>
    <t xml:space="preserve">LOWE (W. B.) MINING &amp; MILLING CO., SILVERTON, SAN JUAN CO. X.</t>
  </si>
  <si>
    <t xml:space="preserve">yukon </t>
  </si>
  <si>
    <t xml:space="preserve">W. B. Lowe, Manager. Arpad and Yukon Groups. Lead-Silver-Gold-Copper.</t>
  </si>
  <si>
    <t xml:space="preserve">lowe</t>
  </si>
  <si>
    <t xml:space="preserve">amm15939</t>
  </si>
  <si>
    <t xml:space="preserve">O'REILLY GOLD MINING CO., BRECKENRIDGE, SUMMIT CO. B2</t>
  </si>
  <si>
    <t xml:space="preserve">breckenridge </t>
  </si>
  <si>
    <t xml:space="preserve">amm16206</t>
  </si>
  <si>
    <t xml:space="preserve">SOUND DEMOCRAT MINE, ANIMAS FORKS, SAN JUAN CO. B2</t>
  </si>
  <si>
    <t xml:space="preserve">Terry Brothers &amp; Smith, Operators; Joseph H Terry, Manager. Gold.</t>
  </si>
  <si>
    <t xml:space="preserve">terry</t>
  </si>
  <si>
    <t xml:space="preserve">amm16254</t>
  </si>
  <si>
    <t xml:space="preserve">SUNNYSIDE MINES, EUREKA, SAN JUAN CO. B</t>
  </si>
  <si>
    <t xml:space="preserve">eureka </t>
  </si>
  <si>
    <t xml:space="preserve">amm16490</t>
  </si>
  <si>
    <t xml:space="preserve">ALICE MINING CO., MULLAN, SHOSHONE CO. B.</t>
  </si>
  <si>
    <t xml:space="preserve">amm16561</t>
  </si>
  <si>
    <t xml:space="preserve">BOISE BASIN HYDRAULIC A POWER CO, LIMITED, PLACERVILLE. A.</t>
  </si>
  <si>
    <t xml:space="preserve">Water. 20 Stamps. 25 Men.</t>
  </si>
  <si>
    <t xml:space="preserve">amm16678</t>
  </si>
  <si>
    <t xml:space="preserve">GOLD POINT EXPLORATION &amp; EXTRACTION CO., BLACKFOOT. G.</t>
  </si>
  <si>
    <t xml:space="preserve">S. V. Clevenger, Manager. Auriferous Sand. Gasolene. 25-ton Cyanide</t>
  </si>
  <si>
    <t xml:space="preserve">s</t>
  </si>
  <si>
    <t xml:space="preserve">amm16726</t>
  </si>
  <si>
    <t xml:space="preserve">IDAHO CHAMPION MINING &amp; MILLING CO., ELK CITY, IDAHO CO. D.</t>
  </si>
  <si>
    <t xml:space="preserve">1000' Tunnel. Steam and Air. 10 Stamps. 25-ton Concentrating Mill and</t>
  </si>
  <si>
    <t xml:space="preserve">amm16754</t>
  </si>
  <si>
    <t xml:space="preserve">IDAHO LEAD-SILVER MINING CO., OSBURN, SHOSHONE CO. B2.</t>
  </si>
  <si>
    <t xml:space="preserve">150-ton Concentrating Mill. 50 Men.</t>
  </si>
  <si>
    <t xml:space="preserve">amm17340</t>
  </si>
  <si>
    <t xml:space="preserve">CALUMET &amp; HECLA MINING CO., CALUMET, HOUGHTON CO. A.</t>
  </si>
  <si>
    <t xml:space="preserve">ger: Walter Fitch. General Supt.: W. A. Childs. Supt.; W. M Gibson.</t>
  </si>
  <si>
    <t xml:space="preserve">fiske</t>
  </si>
  <si>
    <t xml:space="preserve">walter</t>
  </si>
  <si>
    <t xml:space="preserve">General Manager</t>
  </si>
  <si>
    <t xml:space="preserve">amm17545</t>
  </si>
  <si>
    <t xml:space="preserve">MINE LA MOTTE LEAD &amp; SMELTING CO., MINE LA MOTTE. A.</t>
  </si>
  <si>
    <t xml:space="preserve">Supt. Lead-Nickel-Copper-Cobalt. Shafts. Steam and Air. 500-ton Con</t>
  </si>
  <si>
    <t xml:space="preserve">amm18150</t>
  </si>
  <si>
    <t xml:space="preserve">DEL MONTE GOLDFIELD MINING CO., LUNING, ESMERALDA CO. D.</t>
  </si>
  <si>
    <t xml:space="preserve">Tunnel. Gasolene and Air. 15 Men.</t>
  </si>
  <si>
    <t xml:space="preserve">amm18348</t>
  </si>
  <si>
    <t xml:space="preserve">MANHATTAN WAR EAGLE MINING &amp; MILLING CO., MANHATTAN. B2.</t>
  </si>
  <si>
    <t xml:space="preserve">Walter Techow, Manager. Jumping Jack Mine. Gold. Shaft. Electricity</t>
  </si>
  <si>
    <t xml:space="preserve">tebbetts</t>
  </si>
  <si>
    <t xml:space="preserve">amm18379</t>
  </si>
  <si>
    <t xml:space="preserve">MONARCH MINES, WELLS, ELKO CO. B2.</t>
  </si>
  <si>
    <t xml:space="preserve">amm18468</t>
  </si>
  <si>
    <t xml:space="preserve">NINETY-NINE COPPER CO., GOOD SPRINGS, CLARK CO. D.</t>
  </si>
  <si>
    <t xml:space="preserve">J. B. Jenson, Supt. Ninety-Nine and Sultana Mines. Copper-Lea i-Zir.c.</t>
  </si>
  <si>
    <t xml:space="preserve">jennings</t>
  </si>
  <si>
    <t xml:space="preserve">amm18981</t>
  </si>
  <si>
    <t xml:space="preserve">YOUNG AMERICA MINE, MAGDALENA, SOCORRO CO. D.</t>
  </si>
  <si>
    <t xml:space="preserve">trolytic Copper Refinery. Steam, Electricity and Air. 200 Men.</t>
  </si>
  <si>
    <t xml:space="preserve">amm19350</t>
  </si>
  <si>
    <t xml:space="preserve">TENNESSEE COPPER CO., COPPER HILL, POLK CO. A.</t>
  </si>
  <si>
    <t xml:space="preserve">Office, 11 Broadway, New York. Nathaniel H. Emmons. Manager. Burra</t>
  </si>
  <si>
    <t xml:space="preserve">emil</t>
  </si>
  <si>
    <t xml:space="preserve">nathaniel</t>
  </si>
  <si>
    <t xml:space="preserve">amm19424</t>
  </si>
  <si>
    <t xml:space="preserve">BINGHAM MINES CO., BINGHAM, SALT LAKE CO. A.</t>
  </si>
  <si>
    <t xml:space="preserve">bingham </t>
  </si>
  <si>
    <t xml:space="preserve">amm19436</t>
  </si>
  <si>
    <t xml:space="preserve">BINGHAM WEST DIP TUNNEL CO., BINGHAM, SALT LAKE CO. G.</t>
  </si>
  <si>
    <t xml:space="preserve">amm19550</t>
  </si>
  <si>
    <t xml:space="preserve">DRAGON MINING CO., SILVER CITY, JUAB CO. B2.</t>
  </si>
  <si>
    <t xml:space="preserve">Provo</t>
  </si>
  <si>
    <t xml:space="preserve">Office, Provo. L. E. Riter, Jr., Manager; E. E. Gardiner, Supt. Iron. Shaft-</t>
  </si>
  <si>
    <t xml:space="preserve">ritchie</t>
  </si>
  <si>
    <t xml:space="preserve">amm19708</t>
  </si>
  <si>
    <t xml:space="preserve">Mckinlsy mining co., sursxa, juab co. g.</t>
  </si>
  <si>
    <t xml:space="preserve">W. D. Myers, Manager. Silver-Lead-Gold. Shaft. Electricity and Air.</t>
  </si>
  <si>
    <t xml:space="preserve">mwwfecwfkny</t>
  </si>
  <si>
    <t xml:space="preserve">amm19836</t>
  </si>
  <si>
    <t xml:space="preserve">SELMA MINES CO., KNIGHTVILLE, JUAB CO. D.</t>
  </si>
  <si>
    <t xml:space="preserve">amm19983</t>
  </si>
  <si>
    <t xml:space="preserve">Consolidated Groups. Copper. Open Cuts and Tunnels. Steam Shovels.</t>
  </si>
  <si>
    <t xml:space="preserve">Frank G. Janney, General Supt. Boston Mill. 312 Stamps and 3000-ton</t>
  </si>
  <si>
    <t xml:space="preserve">jancu</t>
  </si>
  <si>
    <t xml:space="preserve">frank</t>
  </si>
  <si>
    <t xml:space="preserve">General Supt</t>
  </si>
  <si>
    <t xml:space="preserve">amm20629</t>
  </si>
  <si>
    <t xml:space="preserve">RAMON CARONA MINING CO., NAICA. B2.</t>
  </si>
  <si>
    <t xml:space="preserve">George Stimson. Supt. Silver-Lead-Copper. Shaft. Gasolene. 50 Men.</t>
  </si>
  <si>
    <t xml:space="preserve">stimpson</t>
  </si>
  <si>
    <t xml:space="preserve">george</t>
  </si>
  <si>
    <t xml:space="preserve">amm20699</t>
  </si>
  <si>
    <t xml:space="preserve">SANTO DOMINGO PLACER MINING CO., CHIHUAHUA. B2.</t>
  </si>
  <si>
    <t xml:space="preserve">Robert Bruce, Manager. Auriferous Gravel. Steam and Air. 150 Men.</t>
  </si>
  <si>
    <t xml:space="preserve">bruce</t>
  </si>
  <si>
    <t xml:space="preserve">amm21009</t>
  </si>
  <si>
    <t xml:space="preserve">GUADALUPE CONSOLIDATED MINING CO., INDE. B.</t>
  </si>
  <si>
    <t xml:space="preserve">and Air. 4 Bryan Mills and 100-ton Cyanide Plant. 150 Men.</t>
  </si>
  <si>
    <t xml:space="preserve">amm21227</t>
  </si>
  <si>
    <t xml:space="preserve">AUGUSTIAS MINING CO., POZOS. A.</t>
  </si>
  <si>
    <t xml:space="preserve">Mills and 200-ton Cyanide Plant. 250 Men.</t>
  </si>
  <si>
    <t xml:space="preserve">amm21464</t>
  </si>
  <si>
    <t xml:space="preserve">SAN FELIPE MINING CO., COYUCA. B2.</t>
  </si>
  <si>
    <t xml:space="preserve">Shafts. Steam. 5 Stamps. 50 Men.</t>
  </si>
  <si>
    <t xml:space="preserve">amm21694</t>
  </si>
  <si>
    <t xml:space="preserve">LOS REYES MINING CO., LOS REYES. A.</t>
  </si>
  <si>
    <t xml:space="preserve">Director; Arthur F. Flynt, Manager; Alexander M. Grimm, Mine Supt.;</t>
  </si>
  <si>
    <t xml:space="preserve">fluhr</t>
  </si>
  <si>
    <t xml:space="preserve">amm22389</t>
  </si>
  <si>
    <t xml:space="preserve">CONTRA ESTACA CONS. MEXICAN MINING CO., CONTRA ESTACA. A.</t>
  </si>
  <si>
    <t xml:space="preserve">ger; Dwight B. Boyden, Supt. Contra Estaca and El Pilar Mines. Gold-</t>
  </si>
  <si>
    <t xml:space="preserve">boyd</t>
  </si>
  <si>
    <t xml:space="preserve">dwight</t>
  </si>
  <si>
    <t xml:space="preserve">amm22804</t>
  </si>
  <si>
    <t xml:space="preserve">MULATOS MINING CO., MULATOS. B2.</t>
  </si>
  <si>
    <t xml:space="preserve">amm22938</t>
  </si>
  <si>
    <t xml:space="preserve">SUPERIOR BONANZA MINING CO., IMURIS. B2.</t>
  </si>
  <si>
    <t xml:space="preserve">amm23045</t>
  </si>
  <si>
    <t xml:space="preserve">SAN CARLOS MINES., SAN JOSE. B2.</t>
  </si>
  <si>
    <t xml:space="preserve">new york </t>
  </si>
  <si>
    <t xml:space="preserve">(Nichols Copper Co.) Office, 25 Broad St., New York. Cecil A. Burne,</t>
  </si>
  <si>
    <t xml:space="preserve">burne</t>
  </si>
  <si>
    <t xml:space="preserve">cecil</t>
  </si>
  <si>
    <t xml:space="preserve">Lessee</t>
  </si>
  <si>
    <t xml:space="preserve">amm23096</t>
  </si>
  <si>
    <t xml:space="preserve">TEPIC GOLD MINING CO., IXTLAN DEL RIO. B2.</t>
  </si>
  <si>
    <t xml:space="preserve">tepic </t>
  </si>
  <si>
    <t xml:space="preserve">amm23165</t>
  </si>
  <si>
    <t xml:space="preserve">ESCONDIDO MINING CO., CAMACHO. B2.</t>
  </si>
  <si>
    <t xml:space="preserve">amm23255</t>
  </si>
  <si>
    <t xml:space="preserve">SALTILLO MINING CO., CONCEPCION DEL ORO. B2.</t>
  </si>
  <si>
    <t xml:space="preserve">ton Cyanide Plant. 250 Men.</t>
  </si>
  <si>
    <t xml:space="preserve">amm23307</t>
  </si>
  <si>
    <t xml:space="preserve">VETA GRANDE MINING CO., VETA GRANDE. A.</t>
  </si>
  <si>
    <t xml:space="preserve">amm23699</t>
  </si>
  <si>
    <t xml:space="preserve">ALGOMA CUSTOM SMELTING &amp; REFINING CO., LTD., THESSALON. B2.</t>
  </si>
  <si>
    <t xml:space="preserve">algoma </t>
  </si>
  <si>
    <t xml:space="preserve">amm23730</t>
  </si>
  <si>
    <t xml:space="preserve">CANADIAN COPPER CO., LIMITED, COPPER CLIFF. A.</t>
  </si>
  <si>
    <t xml:space="preserve">Electricity and Air; Electric Locomotives. 2000-ton Smelting Plant. 1000</t>
  </si>
  <si>
    <t xml:space="preserve">amm23852</t>
  </si>
  <si>
    <t xml:space="preserve">MOND NICKEL CO., LIMITED, VICTORIA MINES. A.</t>
  </si>
  <si>
    <t xml:space="preserve">victoria </t>
  </si>
  <si>
    <t xml:space="preserve">Supt. Victoria and Garson Mines. Nickel-Copper. Shafts. Steam, Elec</t>
  </si>
  <si>
    <t xml:space="preserve">amm24139</t>
  </si>
  <si>
    <t xml:space="preserve">CEDAR HILL COAL &amp; COKE CO., CEDARHURST, LAS ANIMAS CO. B.</t>
  </si>
  <si>
    <t xml:space="preserve">Steam. Electricity and Air. 500 Men.</t>
  </si>
  <si>
    <t xml:space="preserve">amm24998</t>
  </si>
  <si>
    <t xml:space="preserve">CALIFORNIA-ALASKA MINING &amp;. DEV. CO., KENNECOTT. LC</t>
  </si>
  <si>
    <t xml:space="preserve">western </t>
  </si>
  <si>
    <t xml:space="preserve">WESTERN MINING DIRECTORY CO.. CHICAGO, U. S. A.</t>
  </si>
  <si>
    <t xml:space="preserve">amm25414</t>
  </si>
  <si>
    <t xml:space="preserve">BIG EYE MINING &amp; MILLING CO., DOME.</t>
  </si>
  <si>
    <t xml:space="preserve">Gold-Silver. 1000' Adit. Gasolene Power and Compressor. 5 Stamp Amalgamation-Cyanide Plant. 15 Men.</t>
  </si>
  <si>
    <t xml:space="preserve">amm25564</t>
  </si>
  <si>
    <t xml:space="preserve">CODY-DYER MINING &amp;. MILLING CO., ORACLE. LC</t>
  </si>
  <si>
    <t xml:space="preserve">E. J. Ewing. Superintendent.</t>
  </si>
  <si>
    <t xml:space="preserve">ewald</t>
  </si>
  <si>
    <t xml:space="preserve">Superintendent</t>
  </si>
  <si>
    <t xml:space="preserve">amm25637</t>
  </si>
  <si>
    <t xml:space="preserve">COPPEROSITY MINING CO., CASA GRANDE. LC</t>
  </si>
  <si>
    <t xml:space="preserve">Copper. Shaft and Adit. Gasolene Hoist. 15 Men.</t>
  </si>
  <si>
    <t xml:space="preserve">amm25693</t>
  </si>
  <si>
    <t xml:space="preserve">ECLIPSE MINING CO., KINGMAN. LC Joseph Mitch, Supt. Gold. Shaft. Gasolene Hoist. Developing.</t>
  </si>
  <si>
    <t xml:space="preserve">kingman </t>
  </si>
  <si>
    <t xml:space="preserve">mirick</t>
  </si>
  <si>
    <t xml:space="preserve">lc</t>
  </si>
  <si>
    <t xml:space="preserve">amm26624</t>
  </si>
  <si>
    <t xml:space="preserve">UNITED VERDE COPPER CO., JEROME. AHD</t>
  </si>
  <si>
    <t xml:space="preserve">jerome </t>
  </si>
  <si>
    <t xml:space="preserve">amm26899</t>
  </si>
  <si>
    <t xml:space="preserve">ANCHO MINE, GRANITEVILLE. LGP</t>
  </si>
  <si>
    <t xml:space="preserve">Gold. Adit. Water Power and Compressor. 10 Stamps. 15 Men.</t>
  </si>
  <si>
    <t xml:space="preserve">amm27024</t>
  </si>
  <si>
    <t xml:space="preserve">BLACK BEAR GOLD MINING CO., ROUGH AND READY. LC</t>
  </si>
  <si>
    <t xml:space="preserve">William C. Guns, Superintendent.</t>
  </si>
  <si>
    <t xml:space="preserve">gundersen</t>
  </si>
  <si>
    <t xml:space="preserve">amm27204</t>
  </si>
  <si>
    <t xml:space="preserve">CENTRAL ELDORADO GOLD MINING CO., PLACERVILLE. FGP</t>
  </si>
  <si>
    <t xml:space="preserve">placerville </t>
  </si>
  <si>
    <t xml:space="preserve">amm27300</t>
  </si>
  <si>
    <t xml:space="preserve">CONSOLIDATED MINES CO., RANDSBURG. LC</t>
  </si>
  <si>
    <t xml:space="preserve">amm27404</t>
  </si>
  <si>
    <t xml:space="preserve">DEMOCRAT MINING CO., WEAVERVILLE. LC</t>
  </si>
  <si>
    <t xml:space="preserve">weaverville </t>
  </si>
  <si>
    <t xml:space="preserve">amm27429</t>
  </si>
  <si>
    <t xml:space="preserve">DRAPER MINE, SOULSBYVILLE. LGP</t>
  </si>
  <si>
    <t xml:space="preserve">soulsbyville </t>
  </si>
  <si>
    <t xml:space="preserve">amm27691</t>
  </si>
  <si>
    <t xml:space="preserve">GOLDEN GATE MINE, COLEVILLE. LC</t>
  </si>
  <si>
    <t xml:space="preserve">Gold. Shaft and Adit. Water Power. 5 Stamps. Developing.</t>
  </si>
  <si>
    <t xml:space="preserve">amm27907</t>
  </si>
  <si>
    <t xml:space="preserve">KENTON MINE, ALLEGHANY. LC</t>
  </si>
  <si>
    <t xml:space="preserve">Gold. Adits. Electric Power and Compressor.</t>
  </si>
  <si>
    <t xml:space="preserve">amm28111</t>
  </si>
  <si>
    <t xml:space="preserve">MARYSVILLE DREDGING CO., MARIGOLD. AHD</t>
  </si>
  <si>
    <t xml:space="preserve">Thomas D. Harris, Resident Manager.</t>
  </si>
  <si>
    <t xml:space="preserve">harris</t>
  </si>
  <si>
    <t xml:space="preserve">amm28982</t>
  </si>
  <si>
    <t xml:space="preserve">WESTERN MINING DIRECTORY CO., CHICAGO, U. S. A.</t>
  </si>
  <si>
    <t xml:space="preserve">CALIFORNIA</t>
  </si>
  <si>
    <t xml:space="preserve">amm29366</t>
  </si>
  <si>
    <t xml:space="preserve">American Smelting &amp; Refining CO., Owner.</t>
  </si>
  <si>
    <t xml:space="preserve">Lead-Zinc-Copper. Adit. Electric Power and Compressor.</t>
  </si>
  <si>
    <t xml:space="preserve">amm29729</t>
  </si>
  <si>
    <t xml:space="preserve">Empire Zinc CO., Canon City, Colorado. Concentrating Mill.</t>
  </si>
  <si>
    <t xml:space="preserve">leadville </t>
  </si>
  <si>
    <t xml:space="preserve">Small Hopes Mines, Leadville, Colorado.</t>
  </si>
  <si>
    <t xml:space="preserve">amm29905</t>
  </si>
  <si>
    <t xml:space="preserve">THE MINES HANDBOOK 181</t>
  </si>
  <si>
    <t xml:space="preserve">COLORADO t</t>
  </si>
  <si>
    <t xml:space="preserve">amm30199</t>
  </si>
  <si>
    <t xml:space="preserve">MOUNTAIN TOP MINING CO., OURAY. LC</t>
  </si>
  <si>
    <t xml:space="preserve">ouray </t>
  </si>
  <si>
    <t xml:space="preserve">amm30604</t>
  </si>
  <si>
    <t xml:space="preserve">SUN TUNNEL, MINING &amp; TRANSPORTATION CO., TOLLAND. LGS</t>
  </si>
  <si>
    <t xml:space="preserve">SO-ton Concentrating Mill. Developing.</t>
  </si>
  <si>
    <t xml:space="preserve">amm30765</t>
  </si>
  <si>
    <t xml:space="preserve">WAGNER DEVELOPMENT MINING CO., TELLURIDE. FGP</t>
  </si>
  <si>
    <t xml:space="preserve">Elec. Power and Compressor. 30 Stamp Concentrating Mill. 50 Men.</t>
  </si>
  <si>
    <t xml:space="preserve">amm31132</t>
  </si>
  <si>
    <t xml:space="preserve">COLONIAL MINING &amp;. MILLING CO., KELLOGG. LF</t>
  </si>
  <si>
    <t xml:space="preserve">pittsburgh </t>
  </si>
  <si>
    <t xml:space="preserve">Little Pittsburgh Mine. Zinc-Lead-Silver. Adits. Developing.</t>
  </si>
  <si>
    <t xml:space="preserve">amm31158</t>
  </si>
  <si>
    <t xml:space="preserve">COPPER KING MINING &amp; SMELTING CO., MULLAN. LF</t>
  </si>
  <si>
    <t xml:space="preserve">amm32023</t>
  </si>
  <si>
    <t xml:space="preserve">(Subsidiary of National Lead Co., 111 Broadway, New York.)</t>
  </si>
  <si>
    <t xml:space="preserve">500-ton Lead Smelting Plant and BOO-ton Lead Refinery—</t>
  </si>
  <si>
    <t xml:space="preserve">amm32057</t>
  </si>
  <si>
    <t xml:space="preserve">AMERICAN ZINC, LEAD 8|. SM ELTING CO., DEARING. AHD</t>
  </si>
  <si>
    <t xml:space="preserve">R. E. Kenner, Superintendent.</t>
  </si>
  <si>
    <t xml:space="preserve">kennedy</t>
  </si>
  <si>
    <t xml:space="preserve">amm32118</t>
  </si>
  <si>
    <t xml:space="preserve">BUCKEYE MINING CO., GALENA 100</t>
  </si>
  <si>
    <t xml:space="preserve">amm32250</t>
  </si>
  <si>
    <t xml:space="preserve">CENTENNIAL COPPER MINING CO., CALUMET. DHD</t>
  </si>
  <si>
    <t xml:space="preserve">H. E. Jefferson, Chief Engineer.</t>
  </si>
  <si>
    <t xml:space="preserve">jcachim</t>
  </si>
  <si>
    <t xml:space="preserve">Chief</t>
  </si>
  <si>
    <t xml:space="preserve">amm32601</t>
  </si>
  <si>
    <t xml:space="preserve">BROTHERTON IRON MINING CO., WAKEFIELD. AHD</t>
  </si>
  <si>
    <t xml:space="preserve">wakefield </t>
  </si>
  <si>
    <t xml:space="preserve">amm32742</t>
  </si>
  <si>
    <t xml:space="preserve">JONES 8|. LAUGHLIN CRE CO., NEGAUNEE. AHD</t>
  </si>
  <si>
    <t xml:space="preserve">negaunee </t>
  </si>
  <si>
    <t xml:space="preserve">amm32847</t>
  </si>
  <si>
    <t xml:space="preserve">SPRING VALLEY IRON CO., GAASTRA. CHD</t>
  </si>
  <si>
    <t xml:space="preserve">amm32946</t>
  </si>
  <si>
    <t xml:space="preserve">(Subsidiary of Pickands, Mather &amp; Co., Cleveland, Ohio.)</t>
  </si>
  <si>
    <t xml:space="preserve">Charles H. Munger, Duluth, General Mine Manager.</t>
  </si>
  <si>
    <t xml:space="preserve">mumford</t>
  </si>
  <si>
    <t xml:space="preserve">Mine Manager</t>
  </si>
  <si>
    <t xml:space="preserve">amm33451</t>
  </si>
  <si>
    <t xml:space="preserve">ST. JOSEPH LEAD CO., BONNE TERRE. AHD</t>
  </si>
  <si>
    <t xml:space="preserve">missouri </t>
  </si>
  <si>
    <t xml:space="preserve">Smelting Plant, l-lerculaneum, Missouri.</t>
  </si>
  <si>
    <t xml:space="preserve">amm34007</t>
  </si>
  <si>
    <t xml:space="preserve">MISSOURI MINING CO., McALLISTER. , LGP</t>
  </si>
  <si>
    <t xml:space="preserve">Gold-Silver. Shaft. Gasolene Hoist and Compressor. 15 Men.</t>
  </si>
  <si>
    <t xml:space="preserve">amm34131</t>
  </si>
  <si>
    <t xml:space="preserve">SCRATCH GRAVEL GOLD MINING CO., HELENA.</t>
  </si>
  <si>
    <t xml:space="preserve">Head Mine. Gold. Shaft. Steam Power and Compressor. 50 Men.</t>
  </si>
  <si>
    <t xml:space="preserve">amm34291</t>
  </si>
  <si>
    <t xml:space="preserve">ARGUS MINES CO., ELY.</t>
  </si>
  <si>
    <t xml:space="preserve">L‘opper~Lead-Silver. Steam Hoist and Compressor. 15 Men.</t>
  </si>
  <si>
    <t xml:space="preserve">amm34514</t>
  </si>
  <si>
    <t xml:space="preserve">CONSOLIDATED IMPERIAL MINING CO., GOLD HILL. LGP</t>
  </si>
  <si>
    <t xml:space="preserve">amm34781</t>
  </si>
  <si>
    <t xml:space="preserve">GOLDFIELD GREAT BEND MINING CO., GOLDFIELD. LGP</t>
  </si>
  <si>
    <t xml:space="preserve">Gold-Silver. Shaft. Electric Power and Compressor. 25 Men.</t>
  </si>
  <si>
    <t xml:space="preserve">amm34835</t>
  </si>
  <si>
    <t xml:space="preserve">HAMBURG MINES CO., PIOCHE. LGP</t>
  </si>
  <si>
    <t xml:space="preserve">murray </t>
  </si>
  <si>
    <t xml:space="preserve">Murray C. Godbe, 1118 Newhouse Bdg., Salt Lake City, Manager.</t>
  </si>
  <si>
    <t xml:space="preserve">city</t>
  </si>
  <si>
    <t xml:space="preserve">salt</t>
  </si>
  <si>
    <t xml:space="preserve">lake</t>
  </si>
  <si>
    <t xml:space="preserve">amm35584</t>
  </si>
  <si>
    <t xml:space="preserve">SPANISH BELT SILVER MINE, TONOPAH. FGP</t>
  </si>
  <si>
    <t xml:space="preserve">Victor Barndt, Manager.</t>
  </si>
  <si>
    <t xml:space="preserve">barnato</t>
  </si>
  <si>
    <t xml:space="preserve">victor</t>
  </si>
  <si>
    <t xml:space="preserve">amm36056</t>
  </si>
  <si>
    <t xml:space="preserve">LAS ANIMAS PEAK GOLD MINES CO., HILLSBORO. LGP</t>
  </si>
  <si>
    <t xml:space="preserve">14 Claims. Gold-Silver. 440' Shaft. Developing.</t>
  </si>
  <si>
    <t xml:space="preserve">amm36096</t>
  </si>
  <si>
    <t xml:space="preserve">MAXWELL LAND GRANT CO., BALDY. CHD</t>
  </si>
  <si>
    <t xml:space="preserve">E. V. Deshayos, Superintendent.</t>
  </si>
  <si>
    <t xml:space="preserve">derry</t>
  </si>
  <si>
    <t xml:space="preserve">amm36220</t>
  </si>
  <si>
    <t xml:space="preserve">amm36420</t>
  </si>
  <si>
    <t xml:space="preserve">BARTLESVILLE ZINC CO., COLLINSVILLE. AHD</t>
  </si>
  <si>
    <t xml:space="preserve">collinsville </t>
  </si>
  <si>
    <t xml:space="preserve">amm36681</t>
  </si>
  <si>
    <t xml:space="preserve">QUEEN OF THE WEST MINES CO., CORNUCOPIA. FGP</t>
  </si>
  <si>
    <t xml:space="preserve">Ward Lansbury, Superintendent.</t>
  </si>
  <si>
    <t xml:space="preserve">langley</t>
  </si>
  <si>
    <t xml:space="preserve">ward</t>
  </si>
  <si>
    <t xml:space="preserve">amm36820</t>
  </si>
  <si>
    <t xml:space="preserve">VESUVIUS MINES CO., BOHEMIA. LC</t>
  </si>
  <si>
    <t xml:space="preserve">Frank J. Hard, Superintendent.</t>
  </si>
  <si>
    <t xml:space="preserve">harada</t>
  </si>
  <si>
    <t xml:space="preserve">amm37124</t>
  </si>
  <si>
    <t xml:space="preserve">LA FOLLETTE GOAL 8.. IRON CO., LA FOLLETTE. FGP</t>
  </si>
  <si>
    <t xml:space="preserve">G. M. Shoemaker, Manager of Mines.</t>
  </si>
  <si>
    <t xml:space="preserve">shock</t>
  </si>
  <si>
    <t xml:space="preserve">amm37128</t>
  </si>
  <si>
    <t xml:space="preserve">MAXWELL-KNIGHT IRON CO., BUTLER. LGP</t>
  </si>
  <si>
    <t xml:space="preserve">NAPIER IRON WORKS, NAPIER.</t>
  </si>
  <si>
    <t xml:space="preserve">amm37310</t>
  </si>
  <si>
    <t xml:space="preserve">BELOROPHAN MINING CO., AMERICAN FORK. LFS</t>
  </si>
  <si>
    <t xml:space="preserve">John Cleghorn, Manager. Silver-Gold-Copper. Adit. Developing.</t>
  </si>
  <si>
    <t xml:space="preserve">clegg</t>
  </si>
  <si>
    <t xml:space="preserve">amm37974</t>
  </si>
  <si>
    <t xml:space="preserve">STANDARD CHEMICAL CO., HANKSVILLE. CHD</t>
  </si>
  <si>
    <t xml:space="preserve">W. W. Gaw, Superintendent.</t>
  </si>
  <si>
    <t xml:space="preserve">amm38051</t>
  </si>
  <si>
    <t xml:space="preserve">United States Smelting Co., Checotah. Zinc Smelting Plant.</t>
  </si>
  <si>
    <t xml:space="preserve">united states </t>
  </si>
  <si>
    <t xml:space="preserve">amm38515</t>
  </si>
  <si>
    <t xml:space="preserve">NORMAN MINES CO., NORTHPORT. FGP</t>
  </si>
  <si>
    <t xml:space="preserve">amm39367</t>
  </si>
  <si>
    <t xml:space="preserve">RUTH MINES, LIMITED, SANDON.</t>
  </si>
  <si>
    <t xml:space="preserve">Superintendent.</t>
  </si>
  <si>
    <t xml:space="preserve">amm39619</t>
  </si>
  <si>
    <t xml:space="preserve">COBALT COMET MINES, LIMITED, COBALT. FGP .</t>
  </si>
  <si>
    <t xml:space="preserve">Drummond Mine. Silver. Shaft. Steam and Electric Power. 50 Men.</t>
  </si>
  <si>
    <t xml:space="preserve">amm39680</t>
  </si>
  <si>
    <t xml:space="preserve">DOME MINES CO., LIMITED, SOUTH PORCUPINE. AHD</t>
  </si>
  <si>
    <t xml:space="preserve">toronto </t>
  </si>
  <si>
    <t xml:space="preserve">Head Office, 36 Toronto Street, Toronto, Ontario.</t>
  </si>
  <si>
    <t xml:space="preserve">amm40192</t>
  </si>
  <si>
    <t xml:space="preserve">BUENA TIERRA MINING CO., LIMITED, SANTA EULALIA. CHD</t>
  </si>
  <si>
    <t xml:space="preserve">amm41182</t>
  </si>
  <si>
    <t xml:space="preserve">ABOSSO GOLD MINING CO., LIMITED, TAQUAH. CH</t>
  </si>
  <si>
    <t xml:space="preserve">london </t>
  </si>
  <si>
    <t xml:space="preserve">Thomas F. Dalglish, London, Chairman.</t>
  </si>
  <si>
    <t xml:space="preserve">dalglish</t>
  </si>
  <si>
    <t xml:space="preserve">Chairman</t>
  </si>
  <si>
    <t xml:space="preserve">amm41324</t>
  </si>
  <si>
    <t xml:space="preserve">MONGU (NIGERIA) TIN MINES, LIMITED, 476</t>
  </si>
  <si>
    <t xml:space="preserve">amm41508</t>
  </si>
  <si>
    <t xml:space="preserve">LOWER BISICHI (NIGERIA) TIN MINES, LIMITED, NARAGUTA. LG</t>
  </si>
  <si>
    <t xml:space="preserve">england </t>
  </si>
  <si>
    <t xml:space="preserve">Organized, England, 1912. Capital, £40,000. Shares, 5/-. J. G. M. Brownjohn, London, Chairman. Henry T. Miller, London, Secretary.</t>
  </si>
  <si>
    <t xml:space="preserve">brownjohn</t>
  </si>
  <si>
    <t xml:space="preserve">amm41887</t>
  </si>
  <si>
    <t xml:space="preserve">KING ASBESTOS (RHODESIA), LIMITED, MASHABA. CH</t>
  </si>
  <si>
    <t xml:space="preserve">salisbury </t>
  </si>
  <si>
    <t xml:space="preserve">George Scott, Salisbury, Consulting Engineer.</t>
  </si>
  <si>
    <t xml:space="preserve">scott</t>
  </si>
  <si>
    <t xml:space="preserve">Consulting Engineer</t>
  </si>
  <si>
    <t xml:space="preserve">amm42395</t>
  </si>
  <si>
    <t xml:space="preserve">KAMFERSDAM MINES, LIMITED, KAMFERSDAM. -- Main Office, 154 GreaSham House, London, England.</t>
  </si>
  <si>
    <t xml:space="preserve">Kamfersdam Diamond Mine. Crushing and Washing Plants. 500 Men.</t>
  </si>
  <si>
    <t xml:space="preserve">amm42634</t>
  </si>
  <si>
    <t xml:space="preserve">BLAAUWBOSCH DIAMONDS, LIMITED, BOSH OF. LG</t>
  </si>
  <si>
    <t xml:space="preserve">George S. Ronaldson, Kimberley, Managing Director.</t>
  </si>
  <si>
    <t xml:space="preserve">romero</t>
  </si>
  <si>
    <t xml:space="preserve">Managing Director</t>
  </si>
  <si>
    <t xml:space="preserve">amm43544</t>
  </si>
  <si>
    <t xml:space="preserve">Main Office, Consolidated Building, Johannesburg.</t>
  </si>
  <si>
    <t xml:space="preserve">transvaal </t>
  </si>
  <si>
    <t xml:space="preserve">Organized, Transvaal, 1887. Capital, £475,000. Shares, £1.</t>
  </si>
  <si>
    <t xml:space="preserve">amm44274</t>
  </si>
  <si>
    <t xml:space="preserve">(Pekin Syndicate, Limited, and Chung Yuan Mining Co.)</t>
  </si>
  <si>
    <t xml:space="preserve">E. W. Firchford, and Wang Ching Fang, Joint Managers.</t>
  </si>
  <si>
    <t xml:space="preserve">finn</t>
  </si>
  <si>
    <t xml:space="preserve">amm44469</t>
  </si>
  <si>
    <t xml:space="preserve">SUNGEI GAU TIN MINING CO., LIMITED, BENTONG. MG</t>
  </si>
  <si>
    <t xml:space="preserve">Organized, Straits Settlements. Capital, $150,000. Shares, $10.00.</t>
  </si>
  <si>
    <t xml:space="preserve">amm44659</t>
  </si>
  <si>
    <t xml:space="preserve">KINTA TIN MINES, LIMITED, GOPENG. EH</t>
  </si>
  <si>
    <t xml:space="preserve">Osborne &amp; Chappel, Ipoh, Perak, Managers.</t>
  </si>
  <si>
    <t xml:space="preserve">chappel</t>
  </si>
  <si>
    <t xml:space="preserve">osborne</t>
  </si>
  <si>
    <t xml:space="preserve">amm44755</t>
  </si>
  <si>
    <t xml:space="preserve">Siputeh Tin Mines, Limited; Tekka, Limited; Tekka-Taiping, Limited.</t>
  </si>
  <si>
    <t xml:space="preserve">amm44951</t>
  </si>
  <si>
    <t xml:space="preserve">Boustead, Hampshire &amp; Co., Ltd., Managers.</t>
  </si>
  <si>
    <t xml:space="preserve">Serendah Alluvial Tin Mines. Hydraulic. Open-cast. 250 Men.</t>
  </si>
  <si>
    <t xml:space="preserve">amm45106</t>
  </si>
  <si>
    <t xml:space="preserve">FUJITA COMPANY, KEELUNG. AH</t>
  </si>
  <si>
    <t xml:space="preserve">amm45261</t>
  </si>
  <si>
    <t xml:space="preserve">BURMA RUBY MINES, LIMITED, MOGOK. LH</t>
  </si>
  <si>
    <t xml:space="preserve">B. Rance, Mogok, Chief Engineer.</t>
  </si>
  <si>
    <t xml:space="preserve">ramsay</t>
  </si>
  <si>
    <t xml:space="preserve">bir</t>
  </si>
  <si>
    <t xml:space="preserve">amm46051</t>
  </si>
  <si>
    <t xml:space="preserve">Controlled by Russo-Canadian Development Corporation, Limited.</t>
  </si>
  <si>
    <t xml:space="preserve">amm46167</t>
  </si>
  <si>
    <t xml:space="preserve">SPASSKY COPPER MINE, LTD., SPASSKY, AKMOLINSK. CH</t>
  </si>
  <si>
    <t xml:space="preserve">Spassky Copper Smelting Drying Plant— Plant. Reverberatory Furnaces and 2 Great Falls Converters.</t>
  </si>
  <si>
    <t xml:space="preserve">amm46888</t>
  </si>
  <si>
    <t xml:space="preserve">COAL CLIFF COLLIERIES, LIMITED, CLIFTON. EH</t>
  </si>
  <si>
    <t xml:space="preserve">sydney </t>
  </si>
  <si>
    <t xml:space="preserve">Main Office, 82 Pitt Street, Sydney, New South Wales.</t>
  </si>
  <si>
    <t xml:space="preserve">amm47790</t>
  </si>
  <si>
    <t xml:space="preserve">MOUNT MORGAN GOLD MINING CO.,LTD., MOUNT MORGAN. AH</t>
  </si>
  <si>
    <t xml:space="preserve">queensland </t>
  </si>
  <si>
    <t xml:space="preserve">Organized, Queensland, 1886. Capital, £1,000,000. Shares, £1.</t>
  </si>
  <si>
    <t xml:space="preserve">amm47874</t>
  </si>
  <si>
    <t xml:space="preserve">RED HILL TIN DREDGING CO., STANTHORPE. FG</t>
  </si>
  <si>
    <t xml:space="preserve">F. J. Kelly, Stanthorpe, Mine Manager.</t>
  </si>
  <si>
    <t xml:space="preserve">kelly</t>
  </si>
  <si>
    <t xml:space="preserve">amm48017</t>
  </si>
  <si>
    <t xml:space="preserve">ECLIPSE COAL MINING CO., TIVOLI, NORTH IPSW1CH. PG</t>
  </si>
  <si>
    <t xml:space="preserve">amm48765</t>
  </si>
  <si>
    <t xml:space="preserve">IVAN HOE GOLD CORPORATION, LIMITED, BOULDER. AH</t>
  </si>
  <si>
    <t xml:space="preserve">boulder </t>
  </si>
  <si>
    <t xml:space="preserve">amm49051</t>
  </si>
  <si>
    <t xml:space="preserve">BRITANNIA MINING &amp; SMELTING CO., LIMITED, AHD</t>
  </si>
  <si>
    <t xml:space="preserve">BRITANN IA BEACH.</t>
  </si>
  <si>
    <t xml:space="preserve">amm49143</t>
  </si>
  <si>
    <t xml:space="preserve">CONSOLIDATED MINING &amp; SMELTING CO. OF CANADA, LIMITED,</t>
  </si>
  <si>
    <t xml:space="preserve">21 Wedge and Godfrey Roasters, Pots &amp; 2 Dwight-Lloyd Machines.</t>
  </si>
  <si>
    <t xml:space="preserve">amm49518</t>
  </si>
  <si>
    <t xml:space="preserve">RECORD MINES CO., LIMITED, NELSON. 123</t>
  </si>
  <si>
    <t xml:space="preserve">Exchange National Building, Spokane</t>
  </si>
  <si>
    <t xml:space="preserve">spokane </t>
  </si>
  <si>
    <t xml:space="preserve">Office, Exchange National Building, Spokane, Washington.</t>
  </si>
  <si>
    <t xml:space="preserve">amm49599</t>
  </si>
  <si>
    <t xml:space="preserve">STANDARD SILVER-LEAD MINING CO., SILVERTON. CHD</t>
  </si>
  <si>
    <t xml:space="preserve">300-ton Concentrating Mill and Flotation Plant. 250 Men.</t>
  </si>
  <si>
    <t xml:space="preserve">amm49847</t>
  </si>
  <si>
    <t xml:space="preserve">BRANT MINES, LIMITED, GOWGANDA. MGP</t>
  </si>
  <si>
    <t xml:space="preserve">John C. Cohoe, President; Oliver Hall, Secretary and Treasurer.</t>
  </si>
  <si>
    <t xml:space="preserve">coipaniis</t>
  </si>
  <si>
    <t xml:space="preserve">amm50038</t>
  </si>
  <si>
    <t xml:space="preserve">FISHER GOLD MINING &amp; MILLING Co., LIMITED, LGP</t>
  </si>
  <si>
    <t xml:space="preserve">amm50534</t>
  </si>
  <si>
    <t xml:space="preserve">STEEL COMPANY OF CANADA, LIMITED, HAMILTON. CHD</t>
  </si>
  <si>
    <t xml:space="preserve">F. H. Whitton, General Manager.</t>
  </si>
  <si>
    <t xml:space="preserve">whittlestone</t>
  </si>
  <si>
    <t xml:space="preserve">amm50727</t>
  </si>
  <si>
    <t xml:space="preserve">AGUACATE MINES, SAN MATEO. EG</t>
  </si>
  <si>
    <t xml:space="preserve">Main</t>
  </si>
  <si>
    <t xml:space="preserve">Incorporated, Main, 1907. Capital, $8,000,000. Shares, $15.00.</t>
  </si>
  <si>
    <t xml:space="preserve">amm51114</t>
  </si>
  <si>
    <t xml:space="preserve">CHENI MINES CO., CHENI, HAUTE-VIENNE. FG</t>
  </si>
  <si>
    <t xml:space="preserve">amm51267</t>
  </si>
  <si>
    <t xml:space="preserve">(SOCIETE ANONYME DES MINES ET USINES DE PEYREBRUNE.)</t>
  </si>
  <si>
    <t xml:space="preserve">Peyrebrune Lead-Copper-Silver Mine. Shafts.</t>
  </si>
  <si>
    <t xml:space="preserve">amm51306</t>
  </si>
  <si>
    <t xml:space="preserve">ROYAL ASTURIENNE CO., AUBY, NORD. AH</t>
  </si>
  <si>
    <t xml:space="preserve">amm52805</t>
  </si>
  <si>
    <t xml:space="preserve">CHANCE &amp; HUNT, LIMITED, OLDBURY</t>
  </si>
  <si>
    <t xml:space="preserve">amm52980</t>
  </si>
  <si>
    <t xml:space="preserve">ABER-LLYN ZINC MINES, LIMITED, ABERLLYN, FG</t>
  </si>
  <si>
    <t xml:space="preserve">Organized, England, 1917. Capital, £12,000. Shares, 5/-.</t>
  </si>
  <si>
    <t xml:space="preserve">amm53075</t>
  </si>
  <si>
    <t xml:space="preserve">CROSSFIELD MINE, CLEATOR MOOR, CUMBERLAND. FH</t>
  </si>
  <si>
    <t xml:space="preserve">hematite </t>
  </si>
  <si>
    <t xml:space="preserve">Crossfield Red Hematite Iron Ore Mine. Shaft. Steam Power. 25 Men.</t>
  </si>
  <si>
    <t xml:space="preserve">amm53086</t>
  </si>
  <si>
    <t xml:space="preserve">DOLCOATH MINE, LIMITED, CAM BORNE, CORNWALL. DH</t>
  </si>
  <si>
    <t xml:space="preserve">Oliver Wethered, London, Vice Chairman.</t>
  </si>
  <si>
    <t xml:space="preserve">wethered</t>
  </si>
  <si>
    <t xml:space="preserve">oliver</t>
  </si>
  <si>
    <t xml:space="preserve">Vice</t>
  </si>
  <si>
    <t xml:space="preserve">amm53382</t>
  </si>
  <si>
    <t xml:space="preserve">W. B. LEAD CO., LTD., ALLEN DALE, NORTHUMBERLAND. FH</t>
  </si>
  <si>
    <t xml:space="preserve">R. Watson, Coleford, General Manager.</t>
  </si>
  <si>
    <t xml:space="preserve">watson</t>
  </si>
  <si>
    <t xml:space="preserve">amm53615</t>
  </si>
  <si>
    <t xml:space="preserve">NoRTH WALES IRON &amp; MANGANESE Co., LIMITED, EH</t>
  </si>
  <si>
    <t xml:space="preserve">Oil Engines, Steam Power Plant and Compressor. 100 Men.</t>
  </si>
  <si>
    <t xml:space="preserve">amm53814</t>
  </si>
  <si>
    <t xml:space="preserve">Subsidiary of American Metal Co., Ltd., 61 Broadway, Smelting New York. Plant, Torreon, Coahuila, Mexico.</t>
  </si>
  <si>
    <t xml:space="preserve">mexico </t>
  </si>
  <si>
    <t xml:space="preserve">Organized in Mexico. Capital, 4,000,000 Pesos. Shares, 80 Pesos.</t>
  </si>
  <si>
    <t xml:space="preserve">amm54083</t>
  </si>
  <si>
    <t xml:space="preserve">HIDALGO COPPER MINING &amp; SMELTING CO., ZIMAPAN. DHD</t>
  </si>
  <si>
    <t xml:space="preserve">alamo </t>
  </si>
  <si>
    <t xml:space="preserve">Jose de Landero, Alamo 4, City of Mexico, General Manager.</t>
  </si>
  <si>
    <t xml:space="preserve">landau</t>
  </si>
  <si>
    <t xml:space="preserve">jose</t>
  </si>
  <si>
    <t xml:space="preserve">de</t>
  </si>
  <si>
    <t xml:space="preserve">amm54354</t>
  </si>
  <si>
    <t xml:space="preserve">AMERICAN METAL CO, LIMITED.</t>
  </si>
  <si>
    <t xml:space="preserve">were sold at public auction in New York, April 7, 1919, by United States</t>
  </si>
  <si>
    <t xml:space="preserve">amm54449</t>
  </si>
  <si>
    <t xml:space="preserve">Fresnillo Mining Co., Fresnillo, Zacatecas, Mexico.</t>
  </si>
  <si>
    <t xml:space="preserve">fresnillo </t>
  </si>
  <si>
    <t xml:space="preserve">amm54521</t>
  </si>
  <si>
    <t xml:space="preserve">ANITA COPPER MINES CO., FUNDICION. MGP</t>
  </si>
  <si>
    <t xml:space="preserve">fundicion </t>
  </si>
  <si>
    <t xml:space="preserve">amm54748</t>
  </si>
  <si>
    <t xml:space="preserve">MAZAN TIN MINES CO., MAZAN, LA RIOJA. L-L</t>
  </si>
  <si>
    <t xml:space="preserve">amm55545</t>
  </si>
  <si>
    <t xml:space="preserve">ATNICGALPOA-FMRPEAN,CH TICAPAMPA SILVER MINING CO., LIMITED, EH HUARAS.</t>
  </si>
  <si>
    <t xml:space="preserve">Athelstan Dangerfield, London, Secretary.</t>
  </si>
  <si>
    <t xml:space="preserve">daneri</t>
  </si>
  <si>
    <t xml:space="preserve">athelstan</t>
  </si>
  <si>
    <t xml:space="preserve">Secretary</t>
  </si>
  <si>
    <t xml:space="preserve">amm55809</t>
  </si>
  <si>
    <t xml:space="preserve">Subsidiary of General Asphalt Co., Philadelphia, U.S.A.</t>
  </si>
  <si>
    <t xml:space="preserve">philadelphia </t>
  </si>
  <si>
    <t xml:space="preserve">amm56248</t>
  </si>
  <si>
    <t xml:space="preserve">CEYLON COMPANY, GOODWATER.</t>
  </si>
  <si>
    <t xml:space="preserve">amm56281</t>
  </si>
  <si>
    <t xml:space="preserve">LINEVILLE GRAPHITE CO., LINEVILLE.</t>
  </si>
  <si>
    <t xml:space="preserve">ashland </t>
  </si>
  <si>
    <t xml:space="preserve">100~I.on t‘oncentration-Flotation Plant. Ashland W'asher.</t>
  </si>
  <si>
    <t xml:space="preserve">amm56616</t>
  </si>
  <si>
    <t xml:space="preserve">KIMBALL DREDGING CO., SOLOMON.</t>
  </si>
  <si>
    <t xml:space="preserve">Two 21/2 Cu. Ft. Buckets, Flume, Distillate Engine, Gold Dredges.</t>
  </si>
  <si>
    <t xml:space="preserve">amm56672</t>
  </si>
  <si>
    <t xml:space="preserve">Subsidiary of Kennecott Copper CO., Kennecott, Alaska.</t>
  </si>
  <si>
    <t xml:space="preserve">alaska </t>
  </si>
  <si>
    <t xml:space="preserve">amm56756</t>
  </si>
  <si>
    <t xml:space="preserve">AMERICAN SMELTING a REFINING CO., TUCSON. AHD</t>
  </si>
  <si>
    <t xml:space="preserve">E. R. Reets, Equitable Building, New York, Purchasing Agent.</t>
  </si>
  <si>
    <t xml:space="preserve">rees</t>
  </si>
  <si>
    <t xml:space="preserve">Purchasing Agent</t>
  </si>
  <si>
    <t xml:space="preserve">amm56804</t>
  </si>
  <si>
    <t xml:space="preserve">ARIZONA COMMERCIAL MINING CO., GLOBE. DHD</t>
  </si>
  <si>
    <t xml:space="preserve">OMce, 50 Congress Street, Boston.</t>
  </si>
  <si>
    <t xml:space="preserve">amm57097</t>
  </si>
  <si>
    <t xml:space="preserve">BLUE MONSTER COPPER CO., DEWEY. LGP</t>
  </si>
  <si>
    <t xml:space="preserve">Thomas SutcliITe, Prescott, Vice-Pres. Superintendent.</t>
  </si>
  <si>
    <t xml:space="preserve">susmann</t>
  </si>
  <si>
    <t xml:space="preserve">amm57415</t>
  </si>
  <si>
    <t xml:space="preserve">FLUX MINING CO.,‘PATAGONIA. '</t>
  </si>
  <si>
    <t xml:space="preserve">Frederick B. Kollberg, Patagonia, Arizona, General Manager.</t>
  </si>
  <si>
    <t xml:space="preserve">kohler</t>
  </si>
  <si>
    <t xml:space="preserve">amm57604</t>
  </si>
  <si>
    <t xml:space="preserve">JEROME VERDE COPPER CO., JEROME. LGP</t>
  </si>
  <si>
    <t xml:space="preserve">John B. Harper, Jerome, Arizona, Superintendent.</t>
  </si>
  <si>
    <t xml:space="preserve">harnickell</t>
  </si>
  <si>
    <t xml:space="preserve">amm57915</t>
  </si>
  <si>
    <t xml:space="preserve">MUDHOLE GOLD MINING &amp; MILLING CO., WALKER. 123</t>
  </si>
  <si>
    <t xml:space="preserve">Arizona</t>
  </si>
  <si>
    <t xml:space="preserve">Incorporated, Arizona, 1918. Stock, $3,000,000. Shares, $1.00.</t>
  </si>
  <si>
    <t xml:space="preserve">amm58220</t>
  </si>
  <si>
    <t xml:space="preserve">RANIER MINES CORPORATION, WENDEN. LGP</t>
  </si>
  <si>
    <t xml:space="preserve">G. M. Karshner, Y.. Pres; William A. Dean. Boston, Secretary.</t>
  </si>
  <si>
    <t xml:space="preserve">kappel</t>
  </si>
  <si>
    <t xml:space="preserve">amm58272</t>
  </si>
  <si>
    <t xml:space="preserve">RED MOUNTAIN CONS. COPPER MINES CO., PHOENIX. 123</t>
  </si>
  <si>
    <t xml:space="preserve">phoenix </t>
  </si>
  <si>
    <t xml:space="preserve">amm58548</t>
  </si>
  <si>
    <t xml:space="preserve">TEXAS ARIZONA COPPER CO., TUCSON. LGP</t>
  </si>
  <si>
    <t xml:space="preserve">tucson </t>
  </si>
  <si>
    <t xml:space="preserve">Miles M. Carpenter, Tucson, Arizona, Superintendent.</t>
  </si>
  <si>
    <t xml:space="preserve">carpenter</t>
  </si>
  <si>
    <t xml:space="preserve">miles</t>
  </si>
  <si>
    <t xml:space="preserve">amm59547</t>
  </si>
  <si>
    <t xml:space="preserve">NORTH STAR MINES CO., GRASS VALLEY. AHD</t>
  </si>
  <si>
    <t xml:space="preserve">Water and Electric (Comm.) Power and Compressors. 500 Men.</t>
  </si>
  <si>
    <t xml:space="preserve">amm60253</t>
  </si>
  <si>
    <t xml:space="preserve">WISCONSIN NORTH FORK GRAVEL MINES, FOREST. MGP</t>
  </si>
  <si>
    <t xml:space="preserve">Placer and Quartz. 1345' Adit. Electric Power. Developing.</t>
  </si>
  <si>
    <t xml:space="preserve">amm60329</t>
  </si>
  <si>
    <t xml:space="preserve">AMERICAN FLUORSPAR M. CO., WAGON WHEEL GAP. MGP</t>
  </si>
  <si>
    <t xml:space="preserve">I). W. Phillips, Wagon Wheel Gap, Colorado, Superintendent.</t>
  </si>
  <si>
    <t xml:space="preserve">phillips</t>
  </si>
  <si>
    <t xml:space="preserve">i</t>
  </si>
  <si>
    <t xml:space="preserve">amm60966</t>
  </si>
  <si>
    <t xml:space="preserve">GILPIN-EUREKA MINES CO., CENTRAL CITY. LFP</t>
  </si>
  <si>
    <t xml:space="preserve">10 Stamp Amalgamation-Concentration Mill. 15 Men.</t>
  </si>
  <si>
    <t xml:space="preserve">amm61297</t>
  </si>
  <si>
    <t xml:space="preserve">MATTERHORN MINING 81. MILLING CO., AMES. LGP</t>
  </si>
  <si>
    <t xml:space="preserve">Electric Power &amp; Compressor. 30 Stamp Amalgamation Mill. 25 Men.</t>
  </si>
  <si>
    <t xml:space="preserve">amm61516</t>
  </si>
  <si>
    <t xml:space="preserve">0U RAY CONS. MINING &amp; REDUCTION CO., OURAY. 12 3</t>
  </si>
  <si>
    <t xml:space="preserve">3 Crushers, 3 Sets Rolls, 20 Stamps and 1 Ball Mill—</t>
  </si>
  <si>
    <t xml:space="preserve">amm62215</t>
  </si>
  <si>
    <t xml:space="preserve">WICK MINES CO., ALMONT. MGP</t>
  </si>
  <si>
    <t xml:space="preserve">pasadena </t>
  </si>
  <si>
    <t xml:space="preserve">Henry M. Robinson, Pasadena, Cal., Pres.; Chester M. Boyd, Sec.</t>
  </si>
  <si>
    <t xml:space="preserve">robinson</t>
  </si>
  <si>
    <t xml:space="preserve">henry</t>
  </si>
  <si>
    <t xml:space="preserve">amm62705</t>
  </si>
  <si>
    <t xml:space="preserve">RAPSON COAL MINING CO., RUGBY, LAS ANIMAS CO. MGP</t>
  </si>
  <si>
    <t xml:space="preserve">2 Electric Cutters. Horse Haulage. Cole Fan. Screens. 75 Men.</t>
  </si>
  <si>
    <t xml:space="preserve">amm63076</t>
  </si>
  <si>
    <t xml:space="preserve">(Afllliation of Ramshorn Mines Co., Bayhorse, Idaho.)</t>
  </si>
  <si>
    <t xml:space="preserve">0. J. Salisbury, Salt Lake City, Pres.; C. B. Felt, Secretary.</t>
  </si>
  <si>
    <t xml:space="preserve">amm63446</t>
  </si>
  <si>
    <t xml:space="preserve">HARMONY MINES CO., BAKER. MGP</t>
  </si>
  <si>
    <t xml:space="preserve">Harmony Copper Mines. Adits. 2400' and 2800’ Aerial Tramways.</t>
  </si>
  <si>
    <t xml:space="preserve">amm63639</t>
  </si>
  <si>
    <t xml:space="preserve">MELCHER MINING a MILLING CO., ALBION. LGP</t>
  </si>
  <si>
    <t xml:space="preserve">McIntyre Building, Salt Lake</t>
  </si>
  <si>
    <t xml:space="preserve">Office, 702 McIntyre Building, Salt Lake City, Utah.</t>
  </si>
  <si>
    <t xml:space="preserve">amm63936</t>
  </si>
  <si>
    <t xml:space="preserve">UNITY GOLD MINES CO., WARREN. MGP</t>
  </si>
  <si>
    <t xml:space="preserve">Little Giant and Charity Groups. Gold-Silver-Tungsten.</t>
  </si>
  <si>
    <t xml:space="preserve">amm64120</t>
  </si>
  <si>
    <t xml:space="preserve">LESLIE COPPER CO., WALLACE</t>
  </si>
  <si>
    <t xml:space="preserve">amm64145</t>
  </si>
  <si>
    <t xml:space="preserve">NORTH AMERICAN MINING G. MILLING CO.,</t>
  </si>
  <si>
    <t xml:space="preserve">amm64163</t>
  </si>
  <si>
    <t xml:space="preserve">RUTH CONSOLIDATED MINING &amp; MILLING CO.,</t>
  </si>
  <si>
    <t xml:space="preserve">amm64217</t>
  </si>
  <si>
    <t xml:space="preserve">YANKEE GIRL MINING CO.,</t>
  </si>
  <si>
    <t xml:space="preserve">POTLATCH</t>
  </si>
  <si>
    <t xml:space="preserve">amm64409</t>
  </si>
  <si>
    <t xml:space="preserve">INLAND STEEL CO., CHICAGO. AHD</t>
  </si>
  <si>
    <t xml:space="preserve">Madeline Furnaces and Steel Works, Indiana Harbor, Indiana—</t>
  </si>
  <si>
    <t xml:space="preserve">amm65098</t>
  </si>
  <si>
    <t xml:space="preserve">LAKE SUPERIOR SMELTING CO., DOLLAR BAY. DHD</t>
  </si>
  <si>
    <t xml:space="preserve">Office. 12 Ashburton Place. Boston, Massachusetts.</t>
  </si>
  <si>
    <t xml:space="preserve">amm65244</t>
  </si>
  <si>
    <t xml:space="preserve">BATES IRON CO., IRON RIVER. AHD</t>
  </si>
  <si>
    <t xml:space="preserve">Ofllce (Ladenburg, Thalmann &amp; Co.), 25 Broad Street, New York.</t>
  </si>
  <si>
    <t xml:space="preserve">amm65334</t>
  </si>
  <si>
    <t xml:space="preserve">(Atfiliation of M. A. Hanna &amp; Co., Leader Newa Bldg, Cleveland.)</t>
  </si>
  <si>
    <t xml:space="preserve">Michigan</t>
  </si>
  <si>
    <t xml:space="preserve">Incorporated, Michigan, 1902. Stock, $2,000,000. Bonds: $240,000.</t>
  </si>
  <si>
    <t xml:space="preserve">amm65720</t>
  </si>
  <si>
    <t xml:space="preserve">INLAND STEEL CO., HIBBING. AHD</t>
  </si>
  <si>
    <t xml:space="preserve">delaware </t>
  </si>
  <si>
    <t xml:space="preserve">Reincorporated, Delaware, 1917. Stock, $30,000,000. Shares, $100.</t>
  </si>
  <si>
    <t xml:space="preserve">amm66703</t>
  </si>
  <si>
    <t xml:space="preserve">ELM ORLU MINING CO., BUTTE. AHD</t>
  </si>
  <si>
    <t xml:space="preserve">Elm Orlu Zinc-(_‘opper~Sllver Mine. 2 Shafts.</t>
  </si>
  <si>
    <t xml:space="preserve">amm66772</t>
  </si>
  <si>
    <t xml:space="preserve">INVESTORS COMPANY, SHERIDAN. MGP</t>
  </si>
  <si>
    <t xml:space="preserve">buffalo </t>
  </si>
  <si>
    <t xml:space="preserve">F. J. Carr, 345 Eagle Street, Buffalo, N.Y., Secretary.</t>
  </si>
  <si>
    <t xml:space="preserve">carr</t>
  </si>
  <si>
    <t xml:space="preserve">amm67172</t>
  </si>
  <si>
    <t xml:space="preserve">BRIDGER COAL MINING CO., BRIDGER, CARBON CO. LGP</t>
  </si>
  <si>
    <t xml:space="preserve">BRODI E COLLIERY, BELT, CASCADE CO. LFP</t>
  </si>
  <si>
    <t xml:space="preserve">amm68029</t>
  </si>
  <si>
    <t xml:space="preserve">MAJUBA SILVER, TIN &amp;. COPPER MINES CO., IMLAY. MGP</t>
  </si>
  <si>
    <t xml:space="preserve">reno </t>
  </si>
  <si>
    <t xml:space="preserve">George S. Brown, Reno, Nevada, President and Manager.</t>
  </si>
  <si>
    <t xml:space="preserve">amm68544</t>
  </si>
  <si>
    <t xml:space="preserve">JUMBO COPPER MOUNTAIN MINING CO., RAND. ' Incorporated, Nevada, 1917. Stock, $2,500,000. Shares, $1.00.</t>
  </si>
  <si>
    <t xml:space="preserve">1100’ Shaft. Electric (Commercial) Power and Compressor. 50 Men.</t>
  </si>
  <si>
    <t xml:space="preserve">amm68838</t>
  </si>
  <si>
    <t xml:space="preserve">(Affiliation American Metal Co., Ltd., 61 Broadway, New York.)</t>
  </si>
  <si>
    <t xml:space="preserve">Secondary Copper Smelter. 100-ton Lead Smelter and Refinery.</t>
  </si>
  <si>
    <t xml:space="preserve">amm68847</t>
  </si>
  <si>
    <t xml:space="preserve">1200-ton and 1400-ton Hydraulic Presses. 15 Steam Hammers.</t>
  </si>
  <si>
    <t xml:space="preserve">amm69428</t>
  </si>
  <si>
    <t xml:space="preserve">Coal Co., Carthage; Independent Coal Co., Gallup; Jones Mine, Pendle</t>
  </si>
  <si>
    <t xml:space="preserve">carthage </t>
  </si>
  <si>
    <t xml:space="preserve">amm69497</t>
  </si>
  <si>
    <t xml:space="preserve">ST. LOUIS, ROCKY MOUNTAIN G. PACIFIC CO., RATON. AHD</t>
  </si>
  <si>
    <t xml:space="preserve">amm69872</t>
  </si>
  <si>
    <t xml:space="preserve">NEW YORK PYRITES CO., GOUVERNEUR. FGD</t>
  </si>
  <si>
    <t xml:space="preserve">New York</t>
  </si>
  <si>
    <t xml:space="preserve">Incorporated, New York, 1917. Stock, $100,000. Shares, $100.00.</t>
  </si>
  <si>
    <t xml:space="preserve">amm70081</t>
  </si>
  <si>
    <t xml:space="preserve">WITHERBEE, SHERMAN &amp; CO., INC., MINEVILLE. AHD</t>
  </si>
  <si>
    <t xml:space="preserve">Incorporated, New York, 1900. Stock, $3,000,000. Shares, $100.00.</t>
  </si>
  <si>
    <t xml:space="preserve">amm70290</t>
  </si>
  <si>
    <t xml:space="preserve">KANOK METALS CO., PICHER. , MGP</t>
  </si>
  <si>
    <t xml:space="preserve">oklahoma </t>
  </si>
  <si>
    <t xml:space="preserve">A. M. Gaines, Picher, Oklahoma, President and General Manager.</t>
  </si>
  <si>
    <t xml:space="preserve">gage</t>
  </si>
  <si>
    <t xml:space="preserve">amm70576</t>
  </si>
  <si>
    <t xml:space="preserve">CORNUCOPIA MINES CO., CORNUCOPIA. EGD</t>
  </si>
  <si>
    <t xml:space="preserve">cornucopia </t>
  </si>
  <si>
    <t xml:space="preserve">Frank Taylor, Cornucopia, Superintendent Union-Companion Mill.</t>
  </si>
  <si>
    <t xml:space="preserve">taylor</t>
  </si>
  <si>
    <t xml:space="preserve">amm70655</t>
  </si>
  <si>
    <t xml:space="preserve">NELLIE WRIGHT MINE, GOLD HILL. LGP</t>
  </si>
  <si>
    <t xml:space="preserve">Crusher and Rolls—25-ton Amalgamation-Concentration Mill.</t>
  </si>
  <si>
    <t xml:space="preserve">amm70753</t>
  </si>
  <si>
    <t xml:space="preserve">(Subsidiary of American Metal Co., Ltd., 61 Broadway, New York.)</t>
  </si>
  <si>
    <t xml:space="preserve">ZOO-ton Zinc Smelter. 16 Furnaces. 7296 Retorts.</t>
  </si>
  <si>
    <t xml:space="preserve">amm71240</t>
  </si>
  <si>
    <t xml:space="preserve">Mines Co., Lucin; Wolf Mountain C. Co., Liberty.</t>
  </si>
  <si>
    <t xml:space="preserve">Co.; Woodlawn Copper M. Co.</t>
  </si>
  <si>
    <t xml:space="preserve">amm71327</t>
  </si>
  <si>
    <t xml:space="preserve">AMERICAN CHEMICAL &amp;. OZOKERITE CO., COLTON. FGP</t>
  </si>
  <si>
    <t xml:space="preserve">amm71418</t>
  </si>
  <si>
    <t xml:space="preserve">CARDIFF MINING d. MILLING CO., ALTA. FHD</t>
  </si>
  <si>
    <t xml:space="preserve">cardiff </t>
  </si>
  <si>
    <t xml:space="preserve">Cardiff Silver-Lead-Zinc-(Yopper Mine. 2600’ Adit and 1200’ Shaft.</t>
  </si>
  <si>
    <t xml:space="preserve">amm71548</t>
  </si>
  <si>
    <t xml:space="preserve">EUREKA KING MINING CO., EUREKA. LGP</t>
  </si>
  <si>
    <t xml:space="preserve">amm71811</t>
  </si>
  <si>
    <t xml:space="preserve">NORTH STANDARD MINING CO., EUREKA. LGP</t>
  </si>
  <si>
    <t xml:space="preserve">Silver-Lead-Gold. Shaft. Electric Power and Compressor. 15 Men.</t>
  </si>
  <si>
    <t xml:space="preserve">amm72207</t>
  </si>
  <si>
    <t xml:space="preserve">GRASS CREEK FUEL CO.,GRASS CREEK,SUMMIT CO. MGP</t>
  </si>
  <si>
    <t xml:space="preserve">C. N. Strevell, Salt Lake City, Utah, President.</t>
  </si>
  <si>
    <t xml:space="preserve">stretch</t>
  </si>
  <si>
    <t xml:space="preserve">n</t>
  </si>
  <si>
    <t xml:space="preserve">amm72391</t>
  </si>
  <si>
    <t xml:space="preserve">PULASKI IRON CO., PULASKI. DHD</t>
  </si>
  <si>
    <t xml:space="preserve">Horace L. Haldeman, Philadelphia, Pres.; W. H. Gibbons, Secretary</t>
  </si>
  <si>
    <t xml:space="preserve">haire</t>
  </si>
  <si>
    <t xml:space="preserve">horace</t>
  </si>
  <si>
    <t xml:space="preserve">amm73052</t>
  </si>
  <si>
    <t xml:space="preserve">PHOENIX COAL CO., MINERAL, LEWIS CO. MGP</t>
  </si>
  <si>
    <t xml:space="preserve">Ladd Colliery. Drift. 200 HP. Steam-Electric Plant and Compressor.</t>
  </si>
  <si>
    <t xml:space="preserve">amm73351</t>
  </si>
  <si>
    <t xml:space="preserve">ZINC HILL MINING CO., PLATTEVILLE. MGP</t>
  </si>
  <si>
    <t xml:space="preserve">WYOMING</t>
  </si>
  <si>
    <t xml:space="preserve">amm73441</t>
  </si>
  <si>
    <t xml:space="preserve">AMALGAMATED DEVELOPMENT CO., SHERIDAN. FGP</t>
  </si>
  <si>
    <t xml:space="preserve">amm73511</t>
  </si>
  <si>
    <t xml:space="preserve">GUNN QUEALY COAL CO., GUNN, SWEETWATER CO. DHD</t>
  </si>
  <si>
    <t xml:space="preserve">amm73691</t>
  </si>
  <si>
    <t xml:space="preserve">BIG VALLEY COLLIERIES,LIMITED,BIG VALLEY. MGP</t>
  </si>
  <si>
    <t xml:space="preserve">Big Valley Colliery. Slope. 150 HP. Steam Plant and Compressor.</t>
  </si>
  <si>
    <t xml:space="preserve">amm73785</t>
  </si>
  <si>
    <t xml:space="preserve">HUMBERSTONE COAL CO., LIMITED,BEVERLY. FGP</t>
  </si>
  <si>
    <t xml:space="preserve">Humberstone Colliery. Shaft. 500 HP. Steam-Electric Power Plant.</t>
  </si>
  <si>
    <t xml:space="preserve">amm74399</t>
  </si>
  <si>
    <t xml:space="preserve">(Sub. of British Empire Steel Corporation, Limited.)</t>
  </si>
  <si>
    <t xml:space="preserve">amm74483</t>
  </si>
  <si>
    <t xml:space="preserve">MINUDIE COAL CO., LTD.,RIVER HERBERT. FGD</t>
  </si>
  <si>
    <t xml:space="preserve">montreal </t>
  </si>
  <si>
    <t xml:space="preserve">Office. Transportation Building, Montreal, Canada.</t>
  </si>
  <si>
    <t xml:space="preserve">amm74544</t>
  </si>
  <si>
    <t xml:space="preserve">ALGOMA STEEL CORPORATION, LTD., SAULT STE. MARIE. AHD</t>
  </si>
  <si>
    <t xml:space="preserve">G. R. McLaren. Sault Ste. Marie. General Mine Superintendent.</t>
  </si>
  <si>
    <t xml:space="preserve">mclain</t>
  </si>
  <si>
    <t xml:space="preserve">amm74716</t>
  </si>
  <si>
    <t xml:space="preserve">CANADIAN FURNACE CO.. LIMITED, PORT COLBORNE. EHD</t>
  </si>
  <si>
    <t xml:space="preserve">400-ton Blast Furnace; 821/5' x 1955'. Three 2-pass Stoves.</t>
  </si>
  <si>
    <t xml:space="preserve">amm74740</t>
  </si>
  <si>
    <t xml:space="preserve">(Subsidiary of Canadian Car &amp; Foundry Co., Limited, Montreal.)</t>
  </si>
  <si>
    <t xml:space="preserve">Fuel: Natural Gas, Petroleum and Coal. Electric (Comm.) Power.</t>
  </si>
  <si>
    <t xml:space="preserve">amm74795</t>
  </si>
  <si>
    <t xml:space="preserve">COBALT PROVINCIAL MINING CO., LIMITED, COBALT. MGP</t>
  </si>
  <si>
    <t xml:space="preserve">amm75276</t>
  </si>
  <si>
    <t xml:space="preserve">MURRAY-MOGRIDGE MINES, LIMITED, BOURKES. MGP</t>
  </si>
  <si>
    <t xml:space="preserve">Murray-Mogridge Gold Mine Steam Hoist and Compressor. 25 Men.</t>
  </si>
  <si>
    <t xml:space="preserve">amm75321</t>
  </si>
  <si>
    <t xml:space="preserve">NIPISSING EXTENSION MINES, LIMITED, COBALT. MGP</t>
  </si>
  <si>
    <t xml:space="preserve">Silver-Cobalt. Shaft. Electric Power and Air Drills. Developing.</t>
  </si>
  <si>
    <t xml:space="preserve">amm75819</t>
  </si>
  <si>
    <t xml:space="preserve">The Dorr Co., 101 Park Ave., New York, Metallurgical Engineers.</t>
  </si>
  <si>
    <t xml:space="preserve">quebec </t>
  </si>
  <si>
    <t xml:space="preserve">W. B. Page. Black Lake. Quebec, Mine Superintendent.</t>
  </si>
  <si>
    <t xml:space="preserve">amm76403</t>
  </si>
  <si>
    <t xml:space="preserve">ROCHA MINING CO.,COPALQUIN. EGP</t>
  </si>
  <si>
    <t xml:space="preserve">durango </t>
  </si>
  <si>
    <t xml:space="preserve">Charles Hitchler, Copalquin, Durango, Mexico, Metallurgist.</t>
  </si>
  <si>
    <t xml:space="preserve">hirst</t>
  </si>
  <si>
    <t xml:space="preserve">Metallurgist</t>
  </si>
  <si>
    <t xml:space="preserve">amm76414</t>
  </si>
  <si>
    <t xml:space="preserve">SANTA CRUZ MINING CO., ZAPOTES. MGP</t>
  </si>
  <si>
    <t xml:space="preserve">Santa (‘ruz and Santa Maria Silver-Gold Mines. Shafts.</t>
  </si>
  <si>
    <t xml:space="preserve">amm76958</t>
  </si>
  <si>
    <t xml:space="preserve">AMERICAN SM ELTING &amp; REFINING CO., MATEHUALA. AHD</t>
  </si>
  <si>
    <t xml:space="preserve">matehuala </t>
  </si>
  <si>
    <t xml:space="preserve">Dolores Copper Mines, Matehuala; E</t>
  </si>
  <si>
    <t xml:space="preserve">amm77437</t>
  </si>
  <si>
    <t xml:space="preserve">ALASKA SULPHUR CO., AKUN ISLAND. MGP</t>
  </si>
  <si>
    <t xml:space="preserve">ALASKA SULPHUR 00., AKUN ISLAND. MGP</t>
  </si>
  <si>
    <t xml:space="preserve">amm77745</t>
  </si>
  <si>
    <t xml:space="preserve">ADAMS MINING CO., KATHERINE, VIA KINGMAN. LGP</t>
  </si>
  <si>
    <t xml:space="preserve">I</t>
  </si>
  <si>
    <t xml:space="preserve">Office, I. W. Hellman Building, Los Angeles. Stock, $100,000.</t>
  </si>
  <si>
    <t xml:space="preserve">amm78052</t>
  </si>
  <si>
    <t xml:space="preserve">CALUMET G. JEROME COPPER CO., JEROME. BOD</t>
  </si>
  <si>
    <t xml:space="preserve">ARIZONA</t>
  </si>
  <si>
    <t xml:space="preserve">amm78258</t>
  </si>
  <si>
    <t xml:space="preserve">FLUX MINING CO., PATAGONIA. MGP</t>
  </si>
  <si>
    <t xml:space="preserve">amm78532</t>
  </si>
  <si>
    <t xml:space="preserve">KING PLACER CONSOLIDATED, QUARTZSITE. MGP</t>
  </si>
  <si>
    <t xml:space="preserve">amm78589</t>
  </si>
  <si>
    <t xml:space="preserve">LOUIS D'OR MINING 6. MILLING CO., MIAMI. MGP</t>
  </si>
  <si>
    <t xml:space="preserve">Incorporated, Arizona, 1916. Stock, $4,000,000. Shares, $1.00. L. W. Whitmer, Boston, Pres.; G. 0. Swarts, Boston, Secretary.</t>
  </si>
  <si>
    <t xml:space="preserve">whitmer</t>
  </si>
  <si>
    <t xml:space="preserve">amm78748</t>
  </si>
  <si>
    <t xml:space="preserve">(Controlled by Calumet &amp; Arizona Mining Co., Calumet, Michigan.)</t>
  </si>
  <si>
    <t xml:space="preserve">George Jay, Warren, Arizona. Purchasing Department.</t>
  </si>
  <si>
    <t xml:space="preserve">amm78898</t>
  </si>
  <si>
    <t xml:space="preserve">COPPER QUEEN MINES, BISBEE.</t>
  </si>
  <si>
    <t xml:space="preserve">P. P. Butler, Douglas, Arizona, Smelter Superintendent.</t>
  </si>
  <si>
    <t xml:space="preserve">percy</t>
  </si>
  <si>
    <t xml:space="preserve">amm79121</t>
  </si>
  <si>
    <t xml:space="preserve">SILVER BELT CONSOLIDATED MINING CO., HUMBOLDT. LGP</t>
  </si>
  <si>
    <t xml:space="preserve">Benjamin Bybon, Prescott, Manager.</t>
  </si>
  <si>
    <t xml:space="preserve">bye</t>
  </si>
  <si>
    <t xml:space="preserve">benjamin</t>
  </si>
  <si>
    <t xml:space="preserve">amm79587</t>
  </si>
  <si>
    <t xml:space="preserve">AVAWATZ CONSOLIDATED MINES, SILVER LAKE. 123</t>
  </si>
  <si>
    <t xml:space="preserve">amm79665</t>
  </si>
  <si>
    <t xml:space="preserve">BRUNSWICK CONS. GOLD MINING CO., GRASS VALLEY. EGO</t>
  </si>
  <si>
    <t xml:space="preserve">Brunswick Gold Mine. Shafts. Electric Power and Compressors.</t>
  </si>
  <si>
    <t xml:space="preserve">amm79776</t>
  </si>
  <si>
    <t xml:space="preserve">CHILANO GOLD MINING G. MILLING CO., TUTTLETOWN. LGP</t>
  </si>
  <si>
    <t xml:space="preserve">amm80023</t>
  </si>
  <si>
    <t xml:space="preserve">GOLD EXPLORATION CO., DOWNIEVILLE. 128</t>
  </si>
  <si>
    <t xml:space="preserve">Utah</t>
  </si>
  <si>
    <t xml:space="preserve">Incorporated. Utah. 1919. Stock, $150,000. Shares, 10 Cents.</t>
  </si>
  <si>
    <t xml:space="preserve">amm80057</t>
  </si>
  <si>
    <t xml:space="preserve">SHASTA DREDGING CO., , COTTONWOOD</t>
  </si>
  <si>
    <t xml:space="preserve">shasta </t>
  </si>
  <si>
    <t xml:space="preserve">amm80501</t>
  </si>
  <si>
    <t xml:space="preserve">Electric Power and Compressors. 60 Stamps and Tube Mills</t>
  </si>
  <si>
    <t xml:space="preserve">amm80548</t>
  </si>
  <si>
    <t xml:space="preserve">0R0 FINA MINING CO., EAST AUBURN. FGP</t>
  </si>
  <si>
    <t xml:space="preserve">Bellevue and Bullion Gold Mines. 750' and 300' Shafts.</t>
  </si>
  <si>
    <t xml:space="preserve">amm80557</t>
  </si>
  <si>
    <t xml:space="preserve">(Subsidiary of Borax Consolidated, Ltd., 16 Eastcheap, London.)</t>
  </si>
  <si>
    <t xml:space="preserve">422 H.P. Oil Engines, 2 Generators and 10 Drill Compressor.</t>
  </si>
  <si>
    <t xml:space="preserve">amm81027</t>
  </si>
  <si>
    <t xml:space="preserve">UNITED GRIZZLY RIDGE MINING CO., PIKE. LGP</t>
  </si>
  <si>
    <t xml:space="preserve">California</t>
  </si>
  <si>
    <t xml:space="preserve">california </t>
  </si>
  <si>
    <t xml:space="preserve">Incorporated, California, 1914. Stock, $75,000. Shares, 25 Cents.</t>
  </si>
  <si>
    <t xml:space="preserve">amm81035</t>
  </si>
  <si>
    <t xml:space="preserve">U. S. SMELTING, REFINING 6. MINING CO., MAMMOTH. AHD</t>
  </si>
  <si>
    <t xml:space="preserve">mammoth </t>
  </si>
  <si>
    <t xml:space="preserve">0. J. Egleston, Mammoth, California, Manager.</t>
  </si>
  <si>
    <t xml:space="preserve">amm81052</t>
  </si>
  <si>
    <t xml:space="preserve">50ton Concentration-Flotation Mill and Cyanide Plant. 25 Men. VALENTINE MINESCO.,MOKELUMNE HILL. MGP</t>
  </si>
  <si>
    <t xml:space="preserve">san francisco </t>
  </si>
  <si>
    <t xml:space="preserve">Office. 1006 Hobart Building, San Francisco, California.</t>
  </si>
  <si>
    <t xml:space="preserve">amm81161</t>
  </si>
  <si>
    <t xml:space="preserve">ZENDA GOLD MINING CO., CALIENTE. MGP</t>
  </si>
  <si>
    <t xml:space="preserve">E. H. Clausen. Caliente, California, Manager.</t>
  </si>
  <si>
    <t xml:space="preserve">claus</t>
  </si>
  <si>
    <t xml:space="preserve">amm81861</t>
  </si>
  <si>
    <t xml:space="preserve">Edna Forest Mining &amp; Milling Co., Cripple Creek, Lessee.</t>
  </si>
  <si>
    <t xml:space="preserve">Gold Sovereign and J. G. Blaine Mines. Gold. Shafts.</t>
  </si>
  <si>
    <t xml:space="preserve">amm82015</t>
  </si>
  <si>
    <t xml:space="preserve">KING SOLOMON TUNNEL &amp; DEVELOPMENT CO., FRISCO. LFS</t>
  </si>
  <si>
    <t xml:space="preserve">South Dakota</t>
  </si>
  <si>
    <t xml:space="preserve">Incorporated, South Dakota. Stoek, $2,500,000. Shares, $1.00,</t>
  </si>
  <si>
    <t xml:space="preserve">amm82045</t>
  </si>
  <si>
    <t xml:space="preserve">LITTLE KINGDOM LAND at MINES CO., CENTRAL CITY. MGP</t>
  </si>
  <si>
    <t xml:space="preserve">winchester </t>
  </si>
  <si>
    <t xml:space="preserve">Howard L. Winchester, Boston, Pres.; Harry K. Dean, Secretary.</t>
  </si>
  <si>
    <t xml:space="preserve">amm82404</t>
  </si>
  <si>
    <t xml:space="preserve">(Sub. or National Radium Products Co., Park Bldg., Pittsburgh.)</t>
  </si>
  <si>
    <t xml:space="preserve">Ferrovanadinm-Uranium-Tungsten-Molybdenum-Manganese, Etc.</t>
  </si>
  <si>
    <t xml:space="preserve">amm82739</t>
  </si>
  <si>
    <t xml:space="preserve">SUMMIT COPPER MINING G. MILLING CO., IRONTON. MGP</t>
  </si>
  <si>
    <t xml:space="preserve">George P. Heckel, Federal Reserve Building, St. Louis, Manager.</t>
  </si>
  <si>
    <t xml:space="preserve">hebbcrt</t>
  </si>
  <si>
    <t xml:space="preserve">amm82827</t>
  </si>
  <si>
    <t xml:space="preserve">(Sub. of Western Metals Co., Newhouse Bldg, Salt Lake, Incorporated, Utah, Utah.) 1916. Stock, $30,000. Shares, 10 Cents.</t>
  </si>
  <si>
    <t xml:space="preserve">Rawley Copper-Silver-Lead Mine. 6500‘ Adit and 1200' Raise.</t>
  </si>
  <si>
    <t xml:space="preserve">amm83360</t>
  </si>
  <si>
    <t xml:space="preserve">MATCH LESS FUEL CO., LOUISVILLE, BOULDER CO. MGP</t>
  </si>
  <si>
    <t xml:space="preserve">Matchless Colliery. 250' Shaft. Steam, and Electric (Comm.) Power.</t>
  </si>
  <si>
    <t xml:space="preserve">amm83689</t>
  </si>
  <si>
    <t xml:space="preserve">BUENA VISTA GOLD MINES CO., IDAHO CITY. MGP</t>
  </si>
  <si>
    <t xml:space="preserve">Oregon</t>
  </si>
  <si>
    <t xml:space="preserve">oregon </t>
  </si>
  <si>
    <t xml:space="preserve">Incorporated, Oregon, 1885. Stock, $3,270,000. Shares, $10.00. Frederick W. Bradley, Crocker Bdg., San Francisco, President.</t>
  </si>
  <si>
    <t xml:space="preserve">francisco</t>
  </si>
  <si>
    <t xml:space="preserve">san</t>
  </si>
  <si>
    <t xml:space="preserve">amm84556</t>
  </si>
  <si>
    <t xml:space="preserve">BARNES-KING DEVELOPMENT CO., KENDALL. FGD</t>
  </si>
  <si>
    <t xml:space="preserve">Electric Power and Compressors. 150-ton Cyanide Plant. 100 Men</t>
  </si>
  <si>
    <t xml:space="preserve">amm84851</t>
  </si>
  <si>
    <t xml:space="preserve">NEW MINE SAPPHIRE SYNDICATE, MOORE. FGD</t>
  </si>
  <si>
    <t xml:space="preserve">amm85211</t>
  </si>
  <si>
    <t xml:space="preserve">BETTY O'NEAL MINES CO., BATTLE MOUNTAIN. MGP</t>
  </si>
  <si>
    <t xml:space="preserve">devonshire </t>
  </si>
  <si>
    <t xml:space="preserve">Oflice (George W. Sias &amp; 00.), 68 Devonshire Street, Boston.</t>
  </si>
  <si>
    <t xml:space="preserve">amm85495</t>
  </si>
  <si>
    <t xml:space="preserve">EUREKA HOLLY MINING CO., EUREKA. MGP</t>
  </si>
  <si>
    <t xml:space="preserve">Eureka Holly Lead-Silver Mine. Shaft. Oil Engines &amp; Compressors.</t>
  </si>
  <si>
    <t xml:space="preserve">amm85705</t>
  </si>
  <si>
    <t xml:space="preserve">LONE STAR CONSOLIDATED MINING CO., GOLDFIELD. 123</t>
  </si>
  <si>
    <t xml:space="preserve">Nathaniel H. Wheeler, Pres. and Manager; W. D. Miller, Secretary.</t>
  </si>
  <si>
    <t xml:space="preserve">wheeler</t>
  </si>
  <si>
    <t xml:space="preserve">amm85756</t>
  </si>
  <si>
    <t xml:space="preserve">(Subsidiary of MacNamara Mining &amp; Milling Co., Tonopah.)</t>
  </si>
  <si>
    <t xml:space="preserve">Nevada</t>
  </si>
  <si>
    <t xml:space="preserve">nevada </t>
  </si>
  <si>
    <t xml:space="preserve">Incorporated, Nevada, 1918. Stock, $1,500,000. Shares, 25 Cents.</t>
  </si>
  <si>
    <t xml:space="preserve">amm85894</t>
  </si>
  <si>
    <t xml:space="preserve">(Controlled by Utah Copper Co., 25 Broad Street, New York.)</t>
  </si>
  <si>
    <t xml:space="preserve">4000 HP. Waste Heat and 4500 HP. Coal Fired Boiler Plants.</t>
  </si>
  <si>
    <t xml:space="preserve">amm86259</t>
  </si>
  <si>
    <t xml:space="preserve">SUNSHINE MINES CO., WINNEMUCCA. FGP</t>
  </si>
  <si>
    <t xml:space="preserve">Chloride Gold-Silver Mines. Gas Engine and Compressor. 15 Men.</t>
  </si>
  <si>
    <t xml:space="preserve">amm86420</t>
  </si>
  <si>
    <t xml:space="preserve">WHITE CAPS MINING CO., MANHATTAN. EHD</t>
  </si>
  <si>
    <t xml:space="preserve">tonopah </t>
  </si>
  <si>
    <t xml:space="preserve">John G. Kirchen, Tonopah, Nevada, President and Manager.</t>
  </si>
  <si>
    <t xml:space="preserve">kirby</t>
  </si>
  <si>
    <t xml:space="preserve">amm87574</t>
  </si>
  <si>
    <t xml:space="preserve">amm87580</t>
  </si>
  <si>
    <t xml:space="preserve">EUREKA METALLURGICAL CO., EUREKA. MGP</t>
  </si>
  <si>
    <t xml:space="preserve">Oflice, 727 McIntyre Building, Salt Lake City, Utah.</t>
  </si>
  <si>
    <t xml:space="preserve">amm87741</t>
  </si>
  <si>
    <t xml:space="preserve">TINTIC MILLING CO., SILVER CITY.</t>
  </si>
  <si>
    <t xml:space="preserve">Gyratory Crusher, Vezln Sampler and 11 Holt-Dem Roasters,</t>
  </si>
  <si>
    <t xml:space="preserve">amm87851</t>
  </si>
  <si>
    <t xml:space="preserve">2500-t0n Concentration Mill and Flotation Plant. 250 Men.</t>
  </si>
  <si>
    <t xml:space="preserve">amm87913</t>
  </si>
  <si>
    <t xml:space="preserve">SILVER KING COALITION MINES CO., PARK CITY. BHD</t>
  </si>
  <si>
    <t xml:space="preserve">amm88076</t>
  </si>
  <si>
    <t xml:space="preserve">UTAH COPPER CO., SALT LAKE CITY. AHD</t>
  </si>
  <si>
    <t xml:space="preserve">garfield </t>
  </si>
  <si>
    <t xml:space="preserve">36 Tube Mills, 24 Sets Garfield Rolls, Twelve 24" Dry Conveyors.</t>
  </si>
  <si>
    <t xml:space="preserve">amm88566</t>
  </si>
  <si>
    <t xml:space="preserve">NORTHPORT SMELTING &amp; REFINING CO., NORTHPORT. AHD</t>
  </si>
  <si>
    <t xml:space="preserve">amm88670</t>
  </si>
  <si>
    <t xml:space="preserve">UNITED SILVER—COPPER MINING CO., CHEWELAH. FGD</t>
  </si>
  <si>
    <t xml:space="preserve">chewelah </t>
  </si>
  <si>
    <t xml:space="preserve">amm88787</t>
  </si>
  <si>
    <t xml:space="preserve">DURHAM COLLIERY CO., DURHAM, KING CO. FGP</t>
  </si>
  <si>
    <t xml:space="preserve">durham </t>
  </si>
  <si>
    <t xml:space="preserve">amm88811</t>
  </si>
  <si>
    <t xml:space="preserve">INDEPENDENT COAL a COKE CO., CLE ELUM. FGP</t>
  </si>
  <si>
    <t xml:space="preserve">White Building, Seattle</t>
  </si>
  <si>
    <t xml:space="preserve">seattle </t>
  </si>
  <si>
    <t xml:space="preserve">Office, White Building, Seattle, Washington.</t>
  </si>
  <si>
    <t xml:space="preserve">amm88895</t>
  </si>
  <si>
    <t xml:space="preserve">ROSLYN COAL a COKE CO., ROSLYN, KITTITAS CO. OGP</t>
  </si>
  <si>
    <t xml:space="preserve">roslyn </t>
  </si>
  <si>
    <t xml:space="preserve">amm88948</t>
  </si>
  <si>
    <t xml:space="preserve">BILROWE ALLOYS CO., TACOMA. FGP</t>
  </si>
  <si>
    <t xml:space="preserve">tacoma </t>
  </si>
  <si>
    <t xml:space="preserve">1025 East F. Street, Tacoma. Inc. 1915. Stock, $1,000,000.</t>
  </si>
  <si>
    <t xml:space="preserve">amm89188</t>
  </si>
  <si>
    <t xml:space="preserve">KIRBY CREEK COAL CO.,THERMOPOLIS. LGP</t>
  </si>
  <si>
    <t xml:space="preserve">thermopolis </t>
  </si>
  <si>
    <t xml:space="preserve">P. J. Horack, Thermopolis, Wyoming, President, Manager.</t>
  </si>
  <si>
    <t xml:space="preserve">hoppin</t>
  </si>
  <si>
    <t xml:space="preserve">amm89331</t>
  </si>
  <si>
    <t xml:space="preserve">ANNISTON STEEL CO., ANNIS‘I'ON. EHD</t>
  </si>
  <si>
    <t xml:space="preserve">ALABAMA</t>
  </si>
  <si>
    <t xml:space="preserve">amm89338</t>
  </si>
  <si>
    <t xml:space="preserve">BIRMINGHAM ORE &amp;. MINING CO., BIRMINGHAM. MGP</t>
  </si>
  <si>
    <t xml:space="preserve">birmingham </t>
  </si>
  <si>
    <t xml:space="preserve">amm89347</t>
  </si>
  <si>
    <t xml:space="preserve">CENTRAL IRON &amp;. COAL CO., HOLT. —HD</t>
  </si>
  <si>
    <t xml:space="preserve">new jersey </t>
  </si>
  <si>
    <t xml:space="preserve">Inc., New Jersey, 1901. Stock, $1,000,000. Bonds, $1,171,000.</t>
  </si>
  <si>
    <t xml:space="preserve">amm89372</t>
  </si>
  <si>
    <t xml:space="preserve">CONNORS WEYMAN STEEL CO., HELENA. FGP</t>
  </si>
  <si>
    <t xml:space="preserve">Birmingham, Ala</t>
  </si>
  <si>
    <t xml:space="preserve">Office, Birmingham, Ala. Inc., Delaware, 1918. Stock, $100,000.</t>
  </si>
  <si>
    <t xml:space="preserve">amm89688</t>
  </si>
  <si>
    <t xml:space="preserve">AMERICAN LOCOMOTIVE CO., NEW CASTLE. AHD</t>
  </si>
  <si>
    <t xml:space="preserve">80 Church St., New York. Stock, $50,000,000; Bonds, $1,983,000.</t>
  </si>
  <si>
    <t xml:space="preserve">amm89926</t>
  </si>
  <si>
    <t xml:space="preserve">BLEWETT MINING CO., GALENA. MGP</t>
  </si>
  <si>
    <t xml:space="preserve">Inc., Missouri, 1918. 10,000 Shares, No. Par. Bonds, $500,000.</t>
  </si>
  <si>
    <t xml:space="preserve">amm90666</t>
  </si>
  <si>
    <t xml:space="preserve">DE SOTO FOUNDRY G MACHINE CO., LTD., MANSFIELD. MGP</t>
  </si>
  <si>
    <t xml:space="preserve">mansfield </t>
  </si>
  <si>
    <t xml:space="preserve">Oflice, Mansfield, La. Incorporated 1906. Stock, $75,000.</t>
  </si>
  <si>
    <t xml:space="preserve">amm91628</t>
  </si>
  <si>
    <t xml:space="preserve">BATES IRON CO., IRON RIVER, MICHIGAN.</t>
  </si>
  <si>
    <t xml:space="preserve">Bates Mine. (90,000 Tons) Shaft. Electric Power and Compressors.</t>
  </si>
  <si>
    <t xml:space="preserve">amm92198</t>
  </si>
  <si>
    <t xml:space="preserve">ST..JOSEPH LEAD CO., BONNE TERRE. AHD</t>
  </si>
  <si>
    <t xml:space="preserve">Incorporated, New York, 1864. Stock, $20,000,000. Shares, $10 00.</t>
  </si>
  <si>
    <t xml:space="preserve">amm92308</t>
  </si>
  <si>
    <t xml:space="preserve">BEN B. MINING CO., JOPLIN, MISSOURI. LGP</t>
  </si>
  <si>
    <t xml:space="preserve">joplin </t>
  </si>
  <si>
    <t xml:space="preserve">W. B. Brice, Joplin, Missouri, Superintendent.</t>
  </si>
  <si>
    <t xml:space="preserve">brice</t>
  </si>
  <si>
    <t xml:space="preserve">amm92576</t>
  </si>
  <si>
    <t xml:space="preserve">(Sub. of International Minerals &amp; Metals Co., 61 Broadway, N.Y.)</t>
  </si>
  <si>
    <t xml:space="preserve">Acids, Salt Cake, Glauber Salts, Copperas, Sal Soda, Electrolite.</t>
  </si>
  <si>
    <t xml:space="preserve">amm92773</t>
  </si>
  <si>
    <t xml:space="preserve">KANSAS CITY BOLT 6. NUT CO., KANSAS CITY. FGP</t>
  </si>
  <si>
    <t xml:space="preserve">kansas </t>
  </si>
  <si>
    <t xml:space="preserve">Solomon Stoddard, Kansas City, Vice President and Manager.</t>
  </si>
  <si>
    <t xml:space="preserve">stoddart</t>
  </si>
  <si>
    <t xml:space="preserve">solomon</t>
  </si>
  <si>
    <t xml:space="preserve">amm92777</t>
  </si>
  <si>
    <t xml:space="preserve">22" and 12" Continuous Roughing, and 10" Finishing Mills.</t>
  </si>
  <si>
    <t xml:space="preserve">amm93258</t>
  </si>
  <si>
    <t xml:space="preserve">ST. LAWRENCE PYRITES CO., DE KALB. FGD</t>
  </si>
  <si>
    <t xml:space="preserve">St. Lawrence Mine. Iron Pyrites. 600’ Shaft.</t>
  </si>
  <si>
    <t xml:space="preserve">amm93973</t>
  </si>
  <si>
    <t xml:space="preserve">CANTON STEEL FOUNDRY CO., CANTON. EHD</t>
  </si>
  <si>
    <t xml:space="preserve">morgan </t>
  </si>
  <si>
    <t xml:space="preserve">W. H. Morgan, Canton, President; W. H. Ramsey, Vice President.</t>
  </si>
  <si>
    <t xml:space="preserve">morgan</t>
  </si>
  <si>
    <t xml:space="preserve">marrian</t>
  </si>
  <si>
    <t xml:space="preserve">amm94105</t>
  </si>
  <si>
    <t xml:space="preserve">FALCON STEEL CO., NILES. EHD</t>
  </si>
  <si>
    <t xml:space="preserve">W. W. Lewis, Niles, Ohio, General Superintendent.</t>
  </si>
  <si>
    <t xml:space="preserve">lewis</t>
  </si>
  <si>
    <t xml:space="preserve">General Superintendent</t>
  </si>
  <si>
    <t xml:space="preserve">amm94239</t>
  </si>
  <si>
    <t xml:space="preserve">MARION STEAM SHOVEL CO., MARION. DHD</t>
  </si>
  <si>
    <t xml:space="preserve">20-ton B.O.H. Furnace. 3 Forging Presses. Castings for Own Use.</t>
  </si>
  <si>
    <t xml:space="preserve">amm94241</t>
  </si>
  <si>
    <t xml:space="preserve">MARTING IRON a. STEEL CO., IRONTON. EHD</t>
  </si>
  <si>
    <t xml:space="preserve">Ironton, Ohio</t>
  </si>
  <si>
    <t xml:space="preserve">ironton </t>
  </si>
  <si>
    <t xml:space="preserve">Office, Ironton, Ohio. Incorporated 1899. Stock, $2,000,000.</t>
  </si>
  <si>
    <t xml:space="preserve">amm94256</t>
  </si>
  <si>
    <t xml:space="preserve">MASSILLON ROLLING MILL CO., MASSILLON. CHD</t>
  </si>
  <si>
    <t xml:space="preserve">11 Cold Roll Stands. 12 Annealing Furnaces. 3 Pickling Machines.</t>
  </si>
  <si>
    <t xml:space="preserve">amm94327</t>
  </si>
  <si>
    <t xml:space="preserve">OTIS STEEL CO., CLEVELAND. AHD</t>
  </si>
  <si>
    <t xml:space="preserve">8 Sheet Mills. 7 Annealing Furnaces. 2 Mesta Pickling Machines.</t>
  </si>
  <si>
    <t xml:space="preserve">amm94363</t>
  </si>
  <si>
    <t xml:space="preserve">REPUBLIC IRON &amp; STEEL CO., YOUNGSTOWN. AHD</t>
  </si>
  <si>
    <t xml:space="preserve">kennedy </t>
  </si>
  <si>
    <t xml:space="preserve">12 Kennedy Center Combustion and 7 Side Combustion Stoves.</t>
  </si>
  <si>
    <t xml:space="preserve">amm94488</t>
  </si>
  <si>
    <t xml:space="preserve">(Affiliation of M. A. Hanna &amp; Co., Leader News Bdg., Cleveland.)</t>
  </si>
  <si>
    <t xml:space="preserve">Thirteen 85-ton, Two 75-ton, Three 60th and One 35-ton B.O.H.</t>
  </si>
  <si>
    <t xml:space="preserve">amm94622</t>
  </si>
  <si>
    <t xml:space="preserve">AMERICAN STEEL a WIRE CO., DONORA. AHD</t>
  </si>
  <si>
    <t xml:space="preserve">George W. Sargent, Pittsburgh, Pres; Jas. S. Crawford, Secretary. J. W. Weitzenkorn, Washington, Pennsylvania, General Manager.</t>
  </si>
  <si>
    <t xml:space="preserve">saqui</t>
  </si>
  <si>
    <t xml:space="preserve">amm94793</t>
  </si>
  <si>
    <t xml:space="preserve">AMERICAN SHEET 6. TIN PLATE CO., PITTSBURGH. AHD</t>
  </si>
  <si>
    <t xml:space="preserve">New Castle Works, New Castle: 22 Sheet and 20 Pair Furnaces.</t>
  </si>
  <si>
    <t xml:space="preserve">amm95160</t>
  </si>
  <si>
    <t xml:space="preserve">CLAIRE FURNACE CO., SHARPSVILLE. CHD</t>
  </si>
  <si>
    <t xml:space="preserve">amm95572</t>
  </si>
  <si>
    <t xml:space="preserve">LUKENS STEEL CO., COATESVILLE. AHD</t>
  </si>
  <si>
    <t xml:space="preserve">Flanging Machines and Hydraulic Presses. Electric Power Plant.</t>
  </si>
  <si>
    <t xml:space="preserve">amm95898</t>
  </si>
  <si>
    <t xml:space="preserve">SCRANTON BOLT a NUT CO., SCRANTON. DHD</t>
  </si>
  <si>
    <t xml:space="preserve">7 Puddliug Furnaces. 6 Heating Furnaces. 1 Rotary Squeezer.</t>
  </si>
  <si>
    <t xml:space="preserve">amm96139</t>
  </si>
  <si>
    <t xml:space="preserve">WILKES ROLLING MILL CO., SHARON. EGP</t>
  </si>
  <si>
    <t xml:space="preserve">4 Double Puddliug, Billet Reheating and 1 Sheet &amp; Pair Furnaces.</t>
  </si>
  <si>
    <t xml:space="preserve">amm96436</t>
  </si>
  <si>
    <t xml:space="preserve">TENNESSEE VALLEY IRON &amp; RAILROAD CO., COLLINWOOD. FGP</t>
  </si>
  <si>
    <t xml:space="preserve">20 Charcoal Retorts (Wood Products Co.) and Byproducts Works.</t>
  </si>
  <si>
    <t xml:space="preserve">amm96528</t>
  </si>
  <si>
    <t xml:space="preserve">(Subsidiary of Lukens Steel Co., Coatesville, Pennsylvania.</t>
  </si>
  <si>
    <t xml:space="preserve">John W. Stuli, Lignite, Va., Mine Superintendent.</t>
  </si>
  <si>
    <t xml:space="preserve">studley</t>
  </si>
  <si>
    <t xml:space="preserve">amm96663</t>
  </si>
  <si>
    <t xml:space="preserve">VIRGINIA IRON, COAL 6. COKE CO., ROANOKE. CHD</t>
  </si>
  <si>
    <t xml:space="preserve">R. O. Brannan, Peoples National Building, Lynchburg, Manager.</t>
  </si>
  <si>
    <t xml:space="preserve">brann</t>
  </si>
  <si>
    <t xml:space="preserve">amm97071</t>
  </si>
  <si>
    <t xml:space="preserve">STOWELL COMPANY, SOUTH MILWAUKEE. FGP</t>
  </si>
  <si>
    <t xml:space="preserve">Ofiice, South Milwaukee, Wis. Inc., 1916. Stock, $200,000.</t>
  </si>
  <si>
    <t xml:space="preserve">amm97287</t>
  </si>
  <si>
    <t xml:space="preserve">ROSE DEER COAL MINING CO., LIMITED, WAYNE. FGP</t>
  </si>
  <si>
    <t xml:space="preserve">Compressed Air Cutters. Steam Locomotives. Screens. 150 Men.</t>
  </si>
  <si>
    <t xml:space="preserve">amm97567</t>
  </si>
  <si>
    <t xml:space="preserve">DOUGLAS CHANNEL MINES, LTD., HARTLEY BAY. MGP</t>
  </si>
  <si>
    <t xml:space="preserve">Frederick G. Jarret, Hartley Bay, B.C., Superintendent.</t>
  </si>
  <si>
    <t xml:space="preserve">jaramillo</t>
  </si>
  <si>
    <t xml:space="preserve">amm97613</t>
  </si>
  <si>
    <t xml:space="preserve">GRANBY CONS. M., SM ELTING &amp;. POWER CO., LTD., ANYOX. AHD</t>
  </si>
  <si>
    <t xml:space="preserve">vancouver </t>
  </si>
  <si>
    <t xml:space="preserve">Harold S. Munroe, Birks Building, Vancouver, General Manager.</t>
  </si>
  <si>
    <t xml:space="preserve">munro</t>
  </si>
  <si>
    <t xml:space="preserve">harold</t>
  </si>
  <si>
    <t xml:space="preserve">amm97759</t>
  </si>
  <si>
    <t xml:space="preserve">MOUNTAIN CHIEF MINING CO., LIMITED, RENATA. MGP J. W. Evans, Nelson, British Columbia, President and Manager.</t>
  </si>
  <si>
    <t xml:space="preserve">Copper-Silver. Shaft. Gas. Engine and Compressor. Developing.</t>
  </si>
  <si>
    <t xml:space="preserve">amm97776</t>
  </si>
  <si>
    <t xml:space="preserve">NEW ERA MINES, LIMITED, BEATON. LGP</t>
  </si>
  <si>
    <t xml:space="preserve">Beatrice Silver-Lead-Zinc Mine. 3 Adits. Developing.</t>
  </si>
  <si>
    <t xml:space="preserve">amm98164</t>
  </si>
  <si>
    <t xml:space="preserve">COAL MINES</t>
  </si>
  <si>
    <t xml:space="preserve">amm98202</t>
  </si>
  <si>
    <t xml:space="preserve">SHERBROOKE MINES 6. POWER CO., LTD., GOLDENVILLE. FGD</t>
  </si>
  <si>
    <t xml:space="preserve">sherbrooke </t>
  </si>
  <si>
    <t xml:space="preserve">Sherbrooke Gold Mine. Shafts. Hydro-Electric and Compressor.</t>
  </si>
  <si>
    <t xml:space="preserve">amm98285</t>
  </si>
  <si>
    <t xml:space="preserve">CANADIAN CAR &amp; FOUNDRY CO., LTD., AMHERST. DHD</t>
  </si>
  <si>
    <t xml:space="preserve">2 Nut Machines. Gray Iron Foundry. Machine and Car Mnfg. Shops.</t>
  </si>
  <si>
    <t xml:space="preserve">amm98548</t>
  </si>
  <si>
    <t xml:space="preserve">CONIAGAS MINES, LIMITED, COBALT. AHD</t>
  </si>
  <si>
    <t xml:space="preserve">Coniagas and Trethewey Silver Mines. Electric (Comm.) Power.</t>
  </si>
  <si>
    <t xml:space="preserve">amm98663</t>
  </si>
  <si>
    <t xml:space="preserve">GENESEE MINING CO., LIMITED, COBALT. LGP</t>
  </si>
  <si>
    <t xml:space="preserve">Leonard F. Steenman, Cobalt, General Manager.</t>
  </si>
  <si>
    <t xml:space="preserve">steely</t>
  </si>
  <si>
    <t xml:space="preserve">leonard</t>
  </si>
  <si>
    <t xml:space="preserve">amm98974</t>
  </si>
  <si>
    <t xml:space="preserve">NIPISSING MINES CO., LIMITED.</t>
  </si>
  <si>
    <t xml:space="preserve">E. P. Earle, New York, President; Alexander Fasken, Secretary.</t>
  </si>
  <si>
    <t xml:space="preserve">earl</t>
  </si>
  <si>
    <t xml:space="preserve">amm99154</t>
  </si>
  <si>
    <t xml:space="preserve">TEMISKAMING MINING CO., LIMITED, COBALT. DHD</t>
  </si>
  <si>
    <t xml:space="preserve">amm99277</t>
  </si>
  <si>
    <t xml:space="preserve">(Subsidiary of Baldwins, Ltd., 23 St. Mary Axe, London, England)</t>
  </si>
  <si>
    <t xml:space="preserve">swansea </t>
  </si>
  <si>
    <t xml:space="preserve">Colonel Sir John Roper Wright, Swansea, Wales, Chairman.</t>
  </si>
  <si>
    <t xml:space="preserve">amm100167</t>
  </si>
  <si>
    <t xml:space="preserve">AGUJITA FUEL CO., SABINAS. AHD</t>
  </si>
  <si>
    <t xml:space="preserve">(COMPANIA DE COMBUS'I‘IBLES AGITJITA, S.A.)</t>
  </si>
  <si>
    <t xml:space="preserve">amm100386</t>
  </si>
  <si>
    <t xml:space="preserve">GUANAJUATO REDUCTION a MINES CO., GUANAJUATO. —GP</t>
  </si>
  <si>
    <t xml:space="preserve">Shafts. Electric Power and Compressors. Crusher, 20 Stamps.</t>
  </si>
  <si>
    <t xml:space="preserve">amm101135</t>
  </si>
  <si>
    <t xml:space="preserve">(CIA. MINERA CARBONCILLO Y ANEXAS. S. A.)</t>
  </si>
  <si>
    <t xml:space="preserve">25 Stamp Concentration Mill and 100-ton Cyanide Plant. 250 Men.</t>
  </si>
  <si>
    <t xml:space="preserve">minerals</t>
  </si>
  <si>
    <t xml:space="preserve">owns</t>
  </si>
  <si>
    <t xml:space="preserve">owned</t>
  </si>
  <si>
    <t xml:space="preserve">doutput</t>
  </si>
  <si>
    <t xml:space="preserve">technology</t>
  </si>
  <si>
    <t xml:space="preserve">incor</t>
  </si>
  <si>
    <t xml:space="preserve">mmm5</t>
  </si>
  <si>
    <t xml:space="preserve">po, asientso ags, </t>
  </si>
  <si>
    <t xml:space="preserve">aguascalientes metal co.</t>
  </si>
  <si>
    <t xml:space="preserve">asientso ags</t>
  </si>
  <si>
    <t xml:space="preserve">mmm15</t>
  </si>
  <si>
    <t xml:space="preserve">cia min la fortuna sa</t>
  </si>
  <si>
    <t xml:space="preserve">aguascalientes</t>
  </si>
  <si>
    <t xml:space="preserve">mmm21</t>
  </si>
  <si>
    <t xml:space="preserve">212 725</t>
  </si>
  <si>
    <t xml:space="preserve">compania minera san geronimo sa</t>
  </si>
  <si>
    <t xml:space="preserve">mmm24</t>
  </si>
  <si>
    <t xml:space="preserve">copper silver</t>
  </si>
  <si>
    <t xml:space="preserve">mmm31</t>
  </si>
  <si>
    <t xml:space="preserve">location&amp; po, asientos, ags, </t>
  </si>
  <si>
    <t xml:space="preserve">compania min socorro y an sa</t>
  </si>
  <si>
    <t xml:space="preserve">asientos ags</t>
  </si>
  <si>
    <t xml:space="preserve">mmm33</t>
  </si>
  <si>
    <t xml:space="preserve">mmm42</t>
  </si>
  <si>
    <t xml:space="preserve">daily out put, 300 metric tons., </t>
  </si>
  <si>
    <t xml:space="preserve">minerva mining co. s. a.</t>
  </si>
  <si>
    <t xml:space="preserve">300 metric tons.</t>
  </si>
  <si>
    <t xml:space="preserve">mmm50</t>
  </si>
  <si>
    <t xml:space="preserve">spt of power, .j. kaufer, asientos, ags.</t>
  </si>
  <si>
    <t xml:space="preserve">kasper</t>
  </si>
  <si>
    <t xml:space="preserve">spt of power</t>
  </si>
  <si>
    <t xml:space="preserve">mmm56</t>
  </si>
  <si>
    <t xml:space="preserve">mexico city office, a.venida capuchinas 44, manager., mr l majar</t>
  </si>
  <si>
    <t xml:space="preserve">compañia del boleo</t>
  </si>
  <si>
    <t xml:space="preserve">mr l majar</t>
  </si>
  <si>
    <t xml:space="preserve">mmm57</t>
  </si>
  <si>
    <t xml:space="preserve">copper</t>
  </si>
  <si>
    <t xml:space="preserve">baja california.</t>
  </si>
  <si>
    <t xml:space="preserve">mmm61</t>
  </si>
  <si>
    <t xml:space="preserve">refining plant location, sta. rosalia, b · c ·, </t>
  </si>
  <si>
    <t xml:space="preserve">sta rosalia bc</t>
  </si>
  <si>
    <t xml:space="preserve">text to source</t>
  </si>
  <si>
    <t xml:space="preserve">mmm68</t>
  </si>
  <si>
    <t xml:space="preserve">ming. Eng., .j. cazanove., sta. ro salia, b. c.</t>
  </si>
  <si>
    <t xml:space="preserve">ro salia bc</t>
  </si>
  <si>
    <t xml:space="preserve">mmm75</t>
  </si>
  <si>
    <t xml:space="preserve">foreign office, 40 w. congress st. tucson, ariz., </t>
  </si>
  <si>
    <t xml:space="preserve">cia y reduccion del golfo s. a.</t>
  </si>
  <si>
    <t xml:space="preserve">st tucson ariz</t>
  </si>
  <si>
    <t xml:space="preserve">mmm76</t>
  </si>
  <si>
    <t xml:space="preserve">silver gold arsenic.</t>
  </si>
  <si>
    <t xml:space="preserve">mmm78</t>
  </si>
  <si>
    <t xml:space="preserve">grl. spt., geo. w. pickett, san antonio, b. c.</t>
  </si>
  <si>
    <t xml:space="preserve">san antonio bc</t>
  </si>
  <si>
    <t xml:space="preserve">pickard</t>
  </si>
  <si>
    <t xml:space="preserve">geo</t>
  </si>
  <si>
    <t xml:space="preserve">grl. spt.</t>
  </si>
  <si>
    <t xml:space="preserve">mmm84</t>
  </si>
  <si>
    <t xml:space="preserve">lead zinc silver.</t>
  </si>
  <si>
    <t xml:space="preserve">calera mining co.</t>
  </si>
  <si>
    <t xml:space="preserve">mmm91</t>
  </si>
  <si>
    <t xml:space="preserve">asst. grl. mgr., e. s. plumb, chihuahua, chih.</t>
  </si>
  <si>
    <t xml:space="preserve">chihuahua chih</t>
  </si>
  <si>
    <t xml:space="preserve">plews</t>
  </si>
  <si>
    <t xml:space="preserve">edwanl</t>
  </si>
  <si>
    <t xml:space="preserve">asst. grl. mgr.</t>
  </si>
  <si>
    <t xml:space="preserve">mmm100</t>
  </si>
  <si>
    <t xml:space="preserve">location, &amp; p. o., chihuahua, chih.</t>
  </si>
  <si>
    <t xml:space="preserve">cia . minera alianza</t>
  </si>
  <si>
    <t xml:space="preserve">mmm102</t>
  </si>
  <si>
    <t xml:space="preserve">manager, a. l. kraft, chihuahua, chih.</t>
  </si>
  <si>
    <t xml:space="preserve">kothsctaild</t>
  </si>
  <si>
    <t xml:space="preserve">mmm108</t>
  </si>
  <si>
    <t xml:space="preserve">owners, the prieto estate., </t>
  </si>
  <si>
    <t xml:space="preserve">cia. Minera astreas y otros</t>
  </si>
  <si>
    <t xml:space="preserve">mmm116</t>
  </si>
  <si>
    <t xml:space="preserve">cyanidation., </t>
  </si>
  <si>
    <t xml:space="preserve">cia. Minera cienega sa</t>
  </si>
  <si>
    <t xml:space="preserve">cyanidation.</t>
  </si>
  <si>
    <t xml:space="preserve">mmm117</t>
  </si>
  <si>
    <t xml:space="preserve">daily output, 50 metric tons., </t>
  </si>
  <si>
    <t xml:space="preserve">50 metric tons.</t>
  </si>
  <si>
    <t xml:space="preserve">mmm120</t>
  </si>
  <si>
    <t xml:space="preserve">purch. agt., clyde harding, el paso, texas.</t>
  </si>
  <si>
    <t xml:space="preserve">el paso texas</t>
  </si>
  <si>
    <t xml:space="preserve">hardenbergh</t>
  </si>
  <si>
    <t xml:space="preserve">clyde</t>
  </si>
  <si>
    <t xml:space="preserve">purch. agt.</t>
  </si>
  <si>
    <t xml:space="preserve">mmm124</t>
  </si>
  <si>
    <t xml:space="preserve">this company owns the leponte y an. mines.</t>
  </si>
  <si>
    <t xml:space="preserve">cia. minera de naica</t>
  </si>
  <si>
    <t xml:space="preserve">mmm147</t>
  </si>
  <si>
    <t xml:space="preserve">foreign office, warren, ariz., </t>
  </si>
  <si>
    <t xml:space="preserve">cia . min . erupcion y an. s. a.</t>
  </si>
  <si>
    <t xml:space="preserve">office warren ariz</t>
  </si>
  <si>
    <t xml:space="preserve">mmm148</t>
  </si>
  <si>
    <t xml:space="preserve">lead silver.</t>
  </si>
  <si>
    <t xml:space="preserve">this company is subsidiary of ahumada lead co.</t>
  </si>
  <si>
    <t xml:space="preserve">mmm151</t>
  </si>
  <si>
    <t xml:space="preserve">purch. Agt., john b. rawlings, 315 two republics bdg., el paso. texas.</t>
  </si>
  <si>
    <t xml:space="preserve">raub</t>
  </si>
  <si>
    <t xml:space="preserve">purch. Agt.</t>
  </si>
  <si>
    <t xml:space="preserve">mmm155</t>
  </si>
  <si>
    <t xml:space="preserve">manager, jose bovio, chihuahua, chih</t>
  </si>
  <si>
    <t xml:space="preserve">cia. min. la sorpresa y an. s. a.</t>
  </si>
  <si>
    <t xml:space="preserve">bovill</t>
  </si>
  <si>
    <t xml:space="preserve">mmm158</t>
  </si>
  <si>
    <t xml:space="preserve">manager, j. c. shepard, chihuahua, chih.</t>
  </si>
  <si>
    <t xml:space="preserve">cia. min. mexicana de la cieneguilla</t>
  </si>
  <si>
    <t xml:space="preserve">shepard</t>
  </si>
  <si>
    <t xml:space="preserve">mmm161</t>
  </si>
  <si>
    <t xml:space="preserve">this conmpany owns the san pascual mines .</t>
  </si>
  <si>
    <t xml:space="preserve">cia. Min. san pascual de las adargas s. a.</t>
  </si>
  <si>
    <t xml:space="preserve">lead silver gold.</t>
  </si>
  <si>
    <t xml:space="preserve">mmm172</t>
  </si>
  <si>
    <t xml:space="preserve">gold silver.</t>
  </si>
  <si>
    <t xml:space="preserve">dolores mines co.</t>
  </si>
  <si>
    <t xml:space="preserve">mmm174</t>
  </si>
  <si>
    <t xml:space="preserve">daily output, 200 metric tons, </t>
  </si>
  <si>
    <t xml:space="preserve">200 metric tons</t>
  </si>
  <si>
    <t xml:space="preserve">mmm177</t>
  </si>
  <si>
    <t xml:space="preserve">grl. Mgr., f. m. estes, la dura, son.</t>
  </si>
  <si>
    <t xml:space="preserve">la dura son</t>
  </si>
  <si>
    <t xml:space="preserve">estates</t>
  </si>
  <si>
    <t xml:space="preserve">francis</t>
  </si>
  <si>
    <t xml:space="preserve">grl. Mgr.</t>
  </si>
  <si>
    <t xml:space="preserve">mmm186</t>
  </si>
  <si>
    <t xml:space="preserve">foreign office, 780 fifth ave. new york, </t>
  </si>
  <si>
    <t xml:space="preserve">el potosi mining co.</t>
  </si>
  <si>
    <t xml:space="preserve">ave new york</t>
  </si>
  <si>
    <t xml:space="preserve">mmm192</t>
  </si>
  <si>
    <t xml:space="preserve">secr., w. j. walworth, new york., </t>
  </si>
  <si>
    <t xml:space="preserve">new york</t>
  </si>
  <si>
    <t xml:space="preserve">walworth</t>
  </si>
  <si>
    <t xml:space="preserve">secr.</t>
  </si>
  <si>
    <t xml:space="preserve">mmm197</t>
  </si>
  <si>
    <t xml:space="preserve">chairman, e. b. schley, new york., </t>
  </si>
  <si>
    <t xml:space="preserve">schlesinger</t>
  </si>
  <si>
    <t xml:space="preserve">evander</t>
  </si>
  <si>
    <t xml:space="preserve">chairman</t>
  </si>
  <si>
    <t xml:space="preserve">mmm199</t>
  </si>
  <si>
    <t xml:space="preserve">superintendent, h. a. walker., chihuahua, chih.</t>
  </si>
  <si>
    <t xml:space="preserve">mmm209</t>
  </si>
  <si>
    <t xml:space="preserve">owners, Dale Brothers,, chihuahua, chih.</t>
  </si>
  <si>
    <t xml:space="preserve">inglaterra mining co.</t>
  </si>
  <si>
    <t xml:space="preserve">mmm211</t>
  </si>
  <si>
    <t xml:space="preserve">location, santa barbara., chih., </t>
  </si>
  <si>
    <t xml:space="preserve">moctezuma lead company</t>
  </si>
  <si>
    <t xml:space="preserve">santa barbara chih</t>
  </si>
  <si>
    <t xml:space="preserve">mmm220</t>
  </si>
  <si>
    <t xml:space="preserve">daily output, 300 metric tons, </t>
  </si>
  <si>
    <t xml:space="preserve">palmarejo &amp; mexican gold fields ltd.</t>
  </si>
  <si>
    <t xml:space="preserve">300 metric tons</t>
  </si>
  <si>
    <t xml:space="preserve">mmm228</t>
  </si>
  <si>
    <t xml:space="preserve">organized, in 1906 in arizona., </t>
  </si>
  <si>
    <t xml:space="preserve">rio plata mining co.</t>
  </si>
  <si>
    <t xml:space="preserve">mmm230</t>
  </si>
  <si>
    <t xml:space="preserve">location, río plata, chih., </t>
  </si>
  <si>
    <t xml:space="preserve">río plata chih</t>
  </si>
  <si>
    <t xml:space="preserve">mmm231</t>
  </si>
  <si>
    <t xml:space="preserve">p. o., guazapares, chih., </t>
  </si>
  <si>
    <t xml:space="preserve">o guazapares chih</t>
  </si>
  <si>
    <t xml:space="preserve">mmm232</t>
  </si>
  <si>
    <t xml:space="preserve">silver gold</t>
  </si>
  <si>
    <t xml:space="preserve">mmm249</t>
  </si>
  <si>
    <t xml:space="preserve">mill. spt., glen. l. allen, parral, chih.</t>
  </si>
  <si>
    <t xml:space="preserve">san francisco mines of mexico ltd</t>
  </si>
  <si>
    <t xml:space="preserve">parral chih</t>
  </si>
  <si>
    <t xml:space="preserve">allen</t>
  </si>
  <si>
    <t xml:space="preserve">glen</t>
  </si>
  <si>
    <t xml:space="preserve">boyce</t>
  </si>
  <si>
    <t xml:space="preserve">mill. spt.</t>
  </si>
  <si>
    <t xml:space="preserve">mmm250</t>
  </si>
  <si>
    <t xml:space="preserve">mech. eng., w . g . savage, parral, chih.</t>
  </si>
  <si>
    <t xml:space="preserve">saup</t>
  </si>
  <si>
    <t xml:space="preserve">mech. eng.</t>
  </si>
  <si>
    <t xml:space="preserve">mmm252</t>
  </si>
  <si>
    <t xml:space="preserve">struct. steel foreman, henry weithaus, </t>
  </si>
  <si>
    <t xml:space="preserve">weiss</t>
  </si>
  <si>
    <t xml:space="preserve">struct. steel foreman</t>
  </si>
  <si>
    <t xml:space="preserve">mmm256</t>
  </si>
  <si>
    <t xml:space="preserve">$7. 000,000 u. s. c.</t>
  </si>
  <si>
    <t xml:space="preserve">san toy mining co.</t>
  </si>
  <si>
    <t xml:space="preserve">mmm257</t>
  </si>
  <si>
    <t xml:space="preserve">the company owns the juarez la central, la fotuna, independencia &amp; bustillos mines.</t>
  </si>
  <si>
    <t xml:space="preserve">mmm261</t>
  </si>
  <si>
    <t xml:space="preserve">location &amp; p. o., batopilas, chih., </t>
  </si>
  <si>
    <t xml:space="preserve">the batopilas mining co.</t>
  </si>
  <si>
    <t xml:space="preserve">batopilas chih</t>
  </si>
  <si>
    <t xml:space="preserve">mmm274</t>
  </si>
  <si>
    <t xml:space="preserve">location, sta. domingo, near sta. eulalia, chih.</t>
  </si>
  <si>
    <t xml:space="preserve">the buena tierra mining co. ltd</t>
  </si>
  <si>
    <t xml:space="preserve">sta eulalia chih</t>
  </si>
  <si>
    <t xml:space="preserve">mmm288</t>
  </si>
  <si>
    <t xml:space="preserve">grl. mgr., a . p. cortelyou., </t>
  </si>
  <si>
    <t xml:space="preserve">the concheño mining co.</t>
  </si>
  <si>
    <t xml:space="preserve">mmm291</t>
  </si>
  <si>
    <t xml:space="preserve">master mech., narcizo ruiz. Sr., concheño, chih.</t>
  </si>
  <si>
    <t xml:space="preserve">concheño chih</t>
  </si>
  <si>
    <t xml:space="preserve">mmm294</t>
  </si>
  <si>
    <t xml:space="preserve">foreign office, 1549 railway exchange bdg. chicago, ill., </t>
  </si>
  <si>
    <t xml:space="preserve">the cusi mining co.</t>
  </si>
  <si>
    <t xml:space="preserve">bdg chicago ill</t>
  </si>
  <si>
    <t xml:space="preserve">mmm307</t>
  </si>
  <si>
    <t xml:space="preserve">local office, baca, chih., </t>
  </si>
  <si>
    <t xml:space="preserve">the international ore &amp; smelting co.</t>
  </si>
  <si>
    <t xml:space="preserve">office baca chih</t>
  </si>
  <si>
    <t xml:space="preserve">mmm308</t>
  </si>
  <si>
    <t xml:space="preserve">main office in mexico, apartado 136 saltillo, coah., </t>
  </si>
  <si>
    <t xml:space="preserve">apartado saltillo coah</t>
  </si>
  <si>
    <t xml:space="preserve">mmm325</t>
  </si>
  <si>
    <t xml:space="preserve">president, alfonso madero, san pedro, coah.</t>
  </si>
  <si>
    <t xml:space="preserve">compañia exploradora y explotadora de minas, s. a.</t>
  </si>
  <si>
    <t xml:space="preserve">san pedro coah</t>
  </si>
  <si>
    <t xml:space="preserve">maczregor</t>
  </si>
  <si>
    <t xml:space="preserve">alfonso</t>
  </si>
  <si>
    <t xml:space="preserve">president</t>
  </si>
  <si>
    <t xml:space="preserve">mmm326</t>
  </si>
  <si>
    <t xml:space="preserve">secr., emillo madero, san pedro, coah.</t>
  </si>
  <si>
    <t xml:space="preserve">madden</t>
  </si>
  <si>
    <t xml:space="preserve">emillo</t>
  </si>
  <si>
    <t xml:space="preserve">mmm327</t>
  </si>
  <si>
    <t xml:space="preserve">treas., raul madero, san pedro, coah.</t>
  </si>
  <si>
    <t xml:space="preserve">raul</t>
  </si>
  <si>
    <t xml:space="preserve">treas.</t>
  </si>
  <si>
    <t xml:space="preserve">mmm332</t>
  </si>
  <si>
    <t xml:space="preserve">mining eng., alberto p gonzalez, bolivar 35, monterrey, n. l.</t>
  </si>
  <si>
    <t xml:space="preserve">monterrey n l</t>
  </si>
  <si>
    <t xml:space="preserve">gomez</t>
  </si>
  <si>
    <t xml:space="preserve">alberto</t>
  </si>
  <si>
    <t xml:space="preserve">mining eng.</t>
  </si>
  <si>
    <t xml:space="preserve">mmm335</t>
  </si>
  <si>
    <t xml:space="preserve">mexico city office, ave, madero 2. (apartado 2920.), </t>
  </si>
  <si>
    <t xml:space="preserve">compañia minera de minerales s. a.</t>
  </si>
  <si>
    <t xml:space="preserve">ave madero apartado</t>
  </si>
  <si>
    <t xml:space="preserve">mmm337</t>
  </si>
  <si>
    <t xml:space="preserve">grl. Mgr., f. e. salas,, saltillo, coah.</t>
  </si>
  <si>
    <t xml:space="preserve">saltillo coah</t>
  </si>
  <si>
    <t xml:space="preserve">mmm341</t>
  </si>
  <si>
    <t xml:space="preserve">sierra mojada, coah., c/o a. s. &amp; r. co., see special information (end of mining list.), </t>
  </si>
  <si>
    <t xml:space="preserve">cia. Metalurgica mexicana</t>
  </si>
  <si>
    <t xml:space="preserve">of mining list</t>
  </si>
  <si>
    <t xml:space="preserve">mmm348</t>
  </si>
  <si>
    <t xml:space="preserve">The company owns the esmeralda, providencia, tercera zona, etc., mines. The cia. Min. de peñoles s. a. owns 50% of the shares of this co. and operates these mines. See the sierra mojada esmeralda units of the cia. Min. de peñoles s. a.</t>
  </si>
  <si>
    <t xml:space="preserve">cia. Min. la constancia la constancia s. a.</t>
  </si>
  <si>
    <t xml:space="preserve">coahuila</t>
  </si>
  <si>
    <t xml:space="preserve">mmm352</t>
  </si>
  <si>
    <t xml:space="preserve">silver lead zinc.</t>
  </si>
  <si>
    <t xml:space="preserve">cia. minera favorita y a n.s. a.</t>
  </si>
  <si>
    <t xml:space="preserve">mmm353</t>
  </si>
  <si>
    <t xml:space="preserve">president &amp; gr. mgr., luis guimbardo, monterrey., n. l.</t>
  </si>
  <si>
    <t xml:space="preserve">guiana</t>
  </si>
  <si>
    <t xml:space="preserve">luis</t>
  </si>
  <si>
    <t xml:space="preserve">president &amp; gr. mgr.</t>
  </si>
  <si>
    <t xml:space="preserve">mmm357</t>
  </si>
  <si>
    <t xml:space="preserve">p. o., esmeralda, </t>
  </si>
  <si>
    <t xml:space="preserve">cia. Minera la parreña</t>
  </si>
  <si>
    <t xml:space="preserve">p o esmeralda</t>
  </si>
  <si>
    <t xml:space="preserve">mmm361</t>
  </si>
  <si>
    <t xml:space="preserve">location, bajan, coah., </t>
  </si>
  <si>
    <t xml:space="preserve">cia. Minera norias de bajan s. a.</t>
  </si>
  <si>
    <t xml:space="preserve">bajan coah</t>
  </si>
  <si>
    <t xml:space="preserve">mmm371</t>
  </si>
  <si>
    <t xml:space="preserve">location &amp; p. o., higueras, coah., </t>
  </si>
  <si>
    <t xml:space="preserve">cia. Min palomas y cabrillas s. a.</t>
  </si>
  <si>
    <t xml:space="preserve">higueras coah</t>
  </si>
  <si>
    <t xml:space="preserve">mmm384</t>
  </si>
  <si>
    <t xml:space="preserve">location &amp; p.o., rio escondido, coah., </t>
  </si>
  <si>
    <t xml:space="preserve">minas carboniferas de rio escondido</t>
  </si>
  <si>
    <t xml:space="preserve">rio escondido coah</t>
  </si>
  <si>
    <t xml:space="preserve">mmm398</t>
  </si>
  <si>
    <t xml:space="preserve">zinc metallurgist, g. ross, saltillo, coah.</t>
  </si>
  <si>
    <t xml:space="preserve">graham</t>
  </si>
  <si>
    <t xml:space="preserve">zinc metallurgist</t>
  </si>
  <si>
    <t xml:space="preserve">mmm402</t>
  </si>
  <si>
    <t xml:space="preserve">location &amp; p. o., cloete,, coah., coah.</t>
  </si>
  <si>
    <t xml:space="preserve">the new sabinas co. ltd.</t>
  </si>
  <si>
    <t xml:space="preserve">cloete coah coah</t>
  </si>
  <si>
    <t xml:space="preserve">mmm417</t>
  </si>
  <si>
    <t xml:space="preserve">l. 600,000</t>
  </si>
  <si>
    <t xml:space="preserve">the mazapil copper co. ltd.</t>
  </si>
  <si>
    <t xml:space="preserve">mmm422</t>
  </si>
  <si>
    <t xml:space="preserve">chairman, joseph ramsden, manchester, england</t>
  </si>
  <si>
    <t xml:space="preserve">manchester england</t>
  </si>
  <si>
    <t xml:space="preserve">ramirez</t>
  </si>
  <si>
    <t xml:space="preserve">mmm423</t>
  </si>
  <si>
    <t xml:space="preserve">grl. mgr., r. h. jeffrey, saltillo, coah.</t>
  </si>
  <si>
    <t xml:space="preserve">jdowpawtximited</t>
  </si>
  <si>
    <t xml:space="preserve">grl. mgr.</t>
  </si>
  <si>
    <t xml:space="preserve">mmm437</t>
  </si>
  <si>
    <t xml:space="preserve">grl. mgr., r. h. jeffrey, saltillo, </t>
  </si>
  <si>
    <t xml:space="preserve">a vino mines ltd.</t>
  </si>
  <si>
    <t xml:space="preserve">saltillo</t>
  </si>
  <si>
    <t xml:space="preserve">je ek</t>
  </si>
  <si>
    <t xml:space="preserve">mmm442</t>
  </si>
  <si>
    <t xml:space="preserve">organized, on june 7th 1904., </t>
  </si>
  <si>
    <t xml:space="preserve">bacis gold &amp; silver mining co. ltd.</t>
  </si>
  <si>
    <t xml:space="preserve">mmm444</t>
  </si>
  <si>
    <t xml:space="preserve">location, bacis district, santiago papasquiero, durango</t>
  </si>
  <si>
    <t xml:space="preserve">santiago papasquiero durango</t>
  </si>
  <si>
    <t xml:space="preserve">mmm470</t>
  </si>
  <si>
    <t xml:space="preserve">mill name, santa ana y anexas., </t>
  </si>
  <si>
    <t xml:space="preserve">cia. min. san andres de la sierra s. a.</t>
  </si>
  <si>
    <t xml:space="preserve">ana y anexas</t>
  </si>
  <si>
    <t xml:space="preserve">mmm472</t>
  </si>
  <si>
    <t xml:space="preserve">mill p. o., canelas, dgo., </t>
  </si>
  <si>
    <t xml:space="preserve">canelas dgo</t>
  </si>
  <si>
    <t xml:space="preserve">mmm475</t>
  </si>
  <si>
    <t xml:space="preserve">smelter name, cia. fundidora de la sierra., </t>
  </si>
  <si>
    <t xml:space="preserve">de la sierra</t>
  </si>
  <si>
    <t xml:space="preserve">mmm499</t>
  </si>
  <si>
    <t xml:space="preserve">location, san juan de guadalupe, dgo., </t>
  </si>
  <si>
    <t xml:space="preserve">alberto genty y cia.</t>
  </si>
  <si>
    <t xml:space="preserve">de guadalupe dgo</t>
  </si>
  <si>
    <t xml:space="preserve">mmm500</t>
  </si>
  <si>
    <t xml:space="preserve">p. o., estacion rivas, dgo., </t>
  </si>
  <si>
    <t xml:space="preserve">estacion rivas dgo</t>
  </si>
  <si>
    <t xml:space="preserve">mmm504</t>
  </si>
  <si>
    <t xml:space="preserve">anita custom mill</t>
  </si>
  <si>
    <t xml:space="preserve">mmm513</t>
  </si>
  <si>
    <t xml:space="preserve">gold, silver, lead</t>
  </si>
  <si>
    <t xml:space="preserve">inde gold mining co.</t>
  </si>
  <si>
    <t xml:space="preserve">mmm516</t>
  </si>
  <si>
    <t xml:space="preserve">daily output, 100 metric tons, </t>
  </si>
  <si>
    <t xml:space="preserve">100 metric tons</t>
  </si>
  <si>
    <t xml:space="preserve">mmm537</t>
  </si>
  <si>
    <t xml:space="preserve">san luis mining co.</t>
  </si>
  <si>
    <t xml:space="preserve">mmm548</t>
  </si>
  <si>
    <t xml:space="preserve">location &amp; p. o., guanacevi, dgo., </t>
  </si>
  <si>
    <t xml:space="preserve">the soto mines co. s. a.</t>
  </si>
  <si>
    <t xml:space="preserve">guanacevi dgo</t>
  </si>
  <si>
    <t xml:space="preserve">mmm552</t>
  </si>
  <si>
    <t xml:space="preserve">table &amp; flotation concentration., </t>
  </si>
  <si>
    <t xml:space="preserve">table &amp; flotation concentration.</t>
  </si>
  <si>
    <t xml:space="preserve">mmm559</t>
  </si>
  <si>
    <t xml:space="preserve">1.000,000 oro nac.</t>
  </si>
  <si>
    <t xml:space="preserve">cia. minera aurora y anexas s. a.</t>
  </si>
  <si>
    <t xml:space="preserve">guanajuato</t>
  </si>
  <si>
    <t xml:space="preserve">mmm567</t>
  </si>
  <si>
    <t xml:space="preserve">organized, in mexico on august 9, 1924, </t>
  </si>
  <si>
    <t xml:space="preserve">cia. minera cristo rey y anexas s. a.</t>
  </si>
  <si>
    <t xml:space="preserve">mmm575</t>
  </si>
  <si>
    <t xml:space="preserve">purch. agt., diego flores chapa, mexico, d. f.</t>
  </si>
  <si>
    <t xml:space="preserve">mexico df</t>
  </si>
  <si>
    <t xml:space="preserve">chapa</t>
  </si>
  <si>
    <t xml:space="preserve">diego</t>
  </si>
  <si>
    <t xml:space="preserve">flores</t>
  </si>
  <si>
    <t xml:space="preserve">mmm582</t>
  </si>
  <si>
    <t xml:space="preserve">This company owns the angustias, dolores and cinco señores mines, all located at pozos, gto.</t>
  </si>
  <si>
    <t xml:space="preserve">cia. minera de angustias dolores y anexas s. a.</t>
  </si>
  <si>
    <t xml:space="preserve">mmm591</t>
  </si>
  <si>
    <t xml:space="preserve">mine spt., j. welsh, pozos, gto.</t>
  </si>
  <si>
    <t xml:space="preserve">pozos gto</t>
  </si>
  <si>
    <t xml:space="preserve">welsh</t>
  </si>
  <si>
    <t xml:space="preserve">mine spt.</t>
  </si>
  <si>
    <t xml:space="preserve">mmm606</t>
  </si>
  <si>
    <t xml:space="preserve">president, h. l. hollis, chicago, ill.</t>
  </si>
  <si>
    <t xml:space="preserve">cia. minera del cubo s. a.</t>
  </si>
  <si>
    <t xml:space="preserve">chicago ill</t>
  </si>
  <si>
    <t xml:space="preserve">hollingworth</t>
  </si>
  <si>
    <t xml:space="preserve">mmm612</t>
  </si>
  <si>
    <t xml:space="preserve">location, la luz, gto., </t>
  </si>
  <si>
    <t xml:space="preserve">cia. minera explotadora y benificiado ra de guanajuato s. a.</t>
  </si>
  <si>
    <t xml:space="preserve">la luz gto</t>
  </si>
  <si>
    <t xml:space="preserve">mmm614</t>
  </si>
  <si>
    <t xml:space="preserve">mexico city office, calle isabel la católica 40 room l., gto.</t>
  </si>
  <si>
    <t xml:space="preserve">room l gto</t>
  </si>
  <si>
    <t xml:space="preserve">mmm625</t>
  </si>
  <si>
    <t xml:space="preserve">location &amp; p. o., apartado 33, guanajuato, gto.</t>
  </si>
  <si>
    <t xml:space="preserve">guanajuato consolidated mining &amp; milling co.</t>
  </si>
  <si>
    <t xml:space="preserve">apartado guanajuato gto</t>
  </si>
  <si>
    <t xml:space="preserve">mmm629</t>
  </si>
  <si>
    <t xml:space="preserve">table concentration &amp; cyanidation., </t>
  </si>
  <si>
    <t xml:space="preserve">table concentration &amp; cyanidation.</t>
  </si>
  <si>
    <t xml:space="preserve">mmm639</t>
  </si>
  <si>
    <t xml:space="preserve">chief electr., pancho garcía, guanajuato, gto.</t>
  </si>
  <si>
    <t xml:space="preserve">guanajuato gto</t>
  </si>
  <si>
    <t xml:space="preserve">garber</t>
  </si>
  <si>
    <t xml:space="preserve">pancho</t>
  </si>
  <si>
    <t xml:space="preserve">chief electr.</t>
  </si>
  <si>
    <t xml:space="preserve">mmm649</t>
  </si>
  <si>
    <t xml:space="preserve">grl. mgr., henry p. smith, guanajuato, gto.</t>
  </si>
  <si>
    <t xml:space="preserve">guanajuato reduction &amp; mines co.</t>
  </si>
  <si>
    <t xml:space="preserve">smith</t>
  </si>
  <si>
    <t xml:space="preserve">mmm651</t>
  </si>
  <si>
    <t xml:space="preserve">purch. agt., henry p. smith, guanajuato, gto.</t>
  </si>
  <si>
    <t xml:space="preserve">mmm652</t>
  </si>
  <si>
    <t xml:space="preserve">cashier, frank devotie, guanajuato, gto.</t>
  </si>
  <si>
    <t xml:space="preserve">devinney</t>
  </si>
  <si>
    <t xml:space="preserve">cashier</t>
  </si>
  <si>
    <t xml:space="preserve">mmm656</t>
  </si>
  <si>
    <t xml:space="preserve">spt, c. c. aisthrope, </t>
  </si>
  <si>
    <t xml:space="preserve">aitchison</t>
  </si>
  <si>
    <t xml:space="preserve">spt</t>
  </si>
  <si>
    <t xml:space="preserve">maccclloch</t>
  </si>
  <si>
    <t xml:space="preserve">augustus</t>
  </si>
  <si>
    <t xml:space="preserve"> superintendent</t>
  </si>
  <si>
    <t xml:space="preserve">mmm673</t>
  </si>
  <si>
    <t xml:space="preserve">mexico city office, avenida isabel la catolica 40, room 1., </t>
  </si>
  <si>
    <t xml:space="preserve">sociedad franco-mexicana de minas s. a.</t>
  </si>
  <si>
    <t xml:space="preserve">la catolica room</t>
  </si>
  <si>
    <t xml:space="preserve">mmm675</t>
  </si>
  <si>
    <t xml:space="preserve">president, adolfo aymes, mexico, d. f.</t>
  </si>
  <si>
    <t xml:space="preserve">aypruesvives</t>
  </si>
  <si>
    <t xml:space="preserve">adolfo</t>
  </si>
  <si>
    <t xml:space="preserve">mmm680</t>
  </si>
  <si>
    <t xml:space="preserve">united mines co.</t>
  </si>
  <si>
    <t xml:space="preserve">mmm686</t>
  </si>
  <si>
    <t xml:space="preserve">chief eng., albert helpling, guanajuato, gto.</t>
  </si>
  <si>
    <t xml:space="preserve">hellmann</t>
  </si>
  <si>
    <t xml:space="preserve">albert</t>
  </si>
  <si>
    <t xml:space="preserve">chief eng.</t>
  </si>
  <si>
    <t xml:space="preserve">mmm701</t>
  </si>
  <si>
    <t xml:space="preserve">purch. agt., fernando guinchard, mexico, </t>
  </si>
  <si>
    <t xml:space="preserve">cia. minera chontalpan y anexas s. a.</t>
  </si>
  <si>
    <t xml:space="preserve">guibault</t>
  </si>
  <si>
    <t xml:space="preserve">fernando</t>
  </si>
  <si>
    <t xml:space="preserve">mmm704</t>
  </si>
  <si>
    <t xml:space="preserve">mining eng., h. w. fowler, zacualpan, mex.</t>
  </si>
  <si>
    <t xml:space="preserve">zacualpan mex</t>
  </si>
  <si>
    <t xml:space="preserve">fowler</t>
  </si>
  <si>
    <t xml:space="preserve">mmm715</t>
  </si>
  <si>
    <t xml:space="preserve">main office in mexico, apartado 136, saltillo, coah.</t>
  </si>
  <si>
    <t xml:space="preserve">mmm716</t>
  </si>
  <si>
    <t xml:space="preserve">mill name, atlixtac, </t>
  </si>
  <si>
    <t xml:space="preserve">name atlixtac</t>
  </si>
  <si>
    <t xml:space="preserve">mmm719</t>
  </si>
  <si>
    <t xml:space="preserve">daily output, 100 metric tons., </t>
  </si>
  <si>
    <t xml:space="preserve">100 metric tons.</t>
  </si>
  <si>
    <t xml:space="preserve">guerrero</t>
  </si>
  <si>
    <t xml:space="preserve">mmm732</t>
  </si>
  <si>
    <t xml:space="preserve">vice-pres., b. j. silbert, taxco, mex.</t>
  </si>
  <si>
    <t xml:space="preserve">los membrillos s. a.</t>
  </si>
  <si>
    <t xml:space="preserve">taxco mex</t>
  </si>
  <si>
    <t xml:space="preserve">siiiister</t>
  </si>
  <si>
    <t xml:space="preserve">vice-pres.</t>
  </si>
  <si>
    <t xml:space="preserve">mmm741</t>
  </si>
  <si>
    <t xml:space="preserve">daily output, 150 metric tons., </t>
  </si>
  <si>
    <t xml:space="preserve">blaisdell coscotitlan syndicate</t>
  </si>
  <si>
    <t xml:space="preserve">150 metric tons.</t>
  </si>
  <si>
    <t xml:space="preserve">hidalgo</t>
  </si>
  <si>
    <t xml:space="preserve">mmm749</t>
  </si>
  <si>
    <t xml:space="preserve">this co. is the milling co. of cia. de santa gertrudis s. a. and is subsidiary of cia. de santa gertrudis, s. a., pachuca, hgo.</t>
  </si>
  <si>
    <t xml:space="preserve">cia. beneficiadora de pachoca s. a.</t>
  </si>
  <si>
    <t xml:space="preserve">mmm753</t>
  </si>
  <si>
    <t xml:space="preserve">location &amp; p. o., apartado 142, pachuca, hgo. 4</t>
  </si>
  <si>
    <t xml:space="preserve">cia. de minas "la blanca y an."</t>
  </si>
  <si>
    <t xml:space="preserve">apartado pachuca hgo</t>
  </si>
  <si>
    <t xml:space="preserve">mmm754</t>
  </si>
  <si>
    <t xml:space="preserve">mexico city office, plaza colegio de niños 4. rooms, 3-4-5, aprtado 7201., hgo.</t>
  </si>
  <si>
    <t xml:space="preserve">rooms aprtado hgo</t>
  </si>
  <si>
    <t xml:space="preserve">mmm755</t>
  </si>
  <si>
    <t xml:space="preserve">this company owns several mines in pachuca.</t>
  </si>
  <si>
    <t xml:space="preserve">mmm757</t>
  </si>
  <si>
    <t xml:space="preserve">daily output, 500 metric tons., </t>
  </si>
  <si>
    <t xml:space="preserve">500 metric tons.</t>
  </si>
  <si>
    <t xml:space="preserve">mmm761</t>
  </si>
  <si>
    <t xml:space="preserve">organized, in mexico., </t>
  </si>
  <si>
    <t xml:space="preserve">cia. de minas rosario viejo y an. s. a</t>
  </si>
  <si>
    <t xml:space="preserve">mmm774</t>
  </si>
  <si>
    <t xml:space="preserve">cyanidation., hgo</t>
  </si>
  <si>
    <t xml:space="preserve">cia. de real del monte y pachuca</t>
  </si>
  <si>
    <t xml:space="preserve">mmm777</t>
  </si>
  <si>
    <t xml:space="preserve">director, m. h. kuryla, pachuca, hgo.</t>
  </si>
  <si>
    <t xml:space="preserve">pachuca hgo</t>
  </si>
  <si>
    <t xml:space="preserve">kunze</t>
  </si>
  <si>
    <t xml:space="preserve">at</t>
  </si>
  <si>
    <t xml:space="preserve">director</t>
  </si>
  <si>
    <t xml:space="preserve">mmm781</t>
  </si>
  <si>
    <t xml:space="preserve">grl. spt. of mines, t. e. phillips, pachuca, hgo.</t>
  </si>
  <si>
    <t xml:space="preserve">grl. spt. of mines</t>
  </si>
  <si>
    <t xml:space="preserve">mmm783</t>
  </si>
  <si>
    <t xml:space="preserve">mill spt., g. s. embury, pachuca, hgo.</t>
  </si>
  <si>
    <t xml:space="preserve">elze</t>
  </si>
  <si>
    <t xml:space="preserve">mill spt.</t>
  </si>
  <si>
    <t xml:space="preserve">mmm787</t>
  </si>
  <si>
    <t xml:space="preserve">electr. eng., m. w. russey, pachuca, hgo.</t>
  </si>
  <si>
    <t xml:space="preserve">russell</t>
  </si>
  <si>
    <t xml:space="preserve">mines</t>
  </si>
  <si>
    <t xml:space="preserve">electr. eng.</t>
  </si>
  <si>
    <t xml:space="preserve">mmm792</t>
  </si>
  <si>
    <t xml:space="preserve">location &amp; p. o., apartado 142, pachuca, hgo.</t>
  </si>
  <si>
    <t xml:space="preserve">cia. min. de guadalupe hidalgo y an. s. a.</t>
  </si>
  <si>
    <t xml:space="preserve">mmm794</t>
  </si>
  <si>
    <t xml:space="preserve">president, thomas p. honey, capuchinas 38, d. f.</t>
  </si>
  <si>
    <t xml:space="preserve">capuchinas df</t>
  </si>
  <si>
    <t xml:space="preserve">hone</t>
  </si>
  <si>
    <t xml:space="preserve">mmm800</t>
  </si>
  <si>
    <t xml:space="preserve">this company is leased to the cía. Explorado de hidalgo, s. a.</t>
  </si>
  <si>
    <t xml:space="preserve">cia. min. de san cayetana s. a.</t>
  </si>
  <si>
    <t xml:space="preserve">mmm805</t>
  </si>
  <si>
    <t xml:space="preserve">l. 1. 500,000</t>
  </si>
  <si>
    <t xml:space="preserve">cia. de santa gertrudis s. a.</t>
  </si>
  <si>
    <t xml:space="preserve">mmm808</t>
  </si>
  <si>
    <t xml:space="preserve">this company is subsidiary of the santa gertrudis co. ltd. London, e. c.</t>
  </si>
  <si>
    <t xml:space="preserve">mmm811</t>
  </si>
  <si>
    <t xml:space="preserve">grl. mgr., c. a. lantz, pachuca, hgo.</t>
  </si>
  <si>
    <t xml:space="preserve">langworthy</t>
  </si>
  <si>
    <t xml:space="preserve">mmm813</t>
  </si>
  <si>
    <t xml:space="preserve">purch. agt., w. j. a. palmer, pachuca, hgo.</t>
  </si>
  <si>
    <t xml:space="preserve">palmer</t>
  </si>
  <si>
    <t xml:space="preserve">mmm815</t>
  </si>
  <si>
    <t xml:space="preserve">mill spt, w. c. crawford, pachuca, hgo.</t>
  </si>
  <si>
    <t xml:space="preserve">crawford</t>
  </si>
  <si>
    <t xml:space="preserve">mill spt</t>
  </si>
  <si>
    <t xml:space="preserve">mmm817</t>
  </si>
  <si>
    <t xml:space="preserve">mech. Eng., f. h. walsh, pachuca, hgo.</t>
  </si>
  <si>
    <t xml:space="preserve">walsh</t>
  </si>
  <si>
    <t xml:space="preserve">mech. Eng.</t>
  </si>
  <si>
    <t xml:space="preserve">mmm822</t>
  </si>
  <si>
    <t xml:space="preserve">location and p. o., apartado 1, pachuca, hgo., </t>
  </si>
  <si>
    <t xml:space="preserve">cia. Dos carlos s. a.</t>
  </si>
  <si>
    <t xml:space="preserve">mmm825</t>
  </si>
  <si>
    <t xml:space="preserve">this company is a subsidiary of cia. De real del monte y pachuca, hgo.</t>
  </si>
  <si>
    <t xml:space="preserve">cia. Exploradora de hildalgo s. a.</t>
  </si>
  <si>
    <t xml:space="preserve">mmm835</t>
  </si>
  <si>
    <t xml:space="preserve">$860,000 oro nac.</t>
  </si>
  <si>
    <t xml:space="preserve">cia. minera y fundidora de zimapan s. a</t>
  </si>
  <si>
    <t xml:space="preserve">mmm837</t>
  </si>
  <si>
    <t xml:space="preserve">mexico city office, capuchinas 93, room 15, </t>
  </si>
  <si>
    <t xml:space="preserve">office capuchinas room</t>
  </si>
  <si>
    <t xml:space="preserve">mmm850</t>
  </si>
  <si>
    <t xml:space="preserve">secretary, eduardo lopez portillo, mexico, d. f.</t>
  </si>
  <si>
    <t xml:space="preserve">el chico gold-silver mining co. s. a.</t>
  </si>
  <si>
    <t xml:space="preserve">porter</t>
  </si>
  <si>
    <t xml:space="preserve">eduardo</t>
  </si>
  <si>
    <t xml:space="preserve">lopez</t>
  </si>
  <si>
    <t xml:space="preserve">mmm853</t>
  </si>
  <si>
    <t xml:space="preserve">organized, in mexico in 187 4 ., </t>
  </si>
  <si>
    <t xml:space="preserve">negociacion minera de san rafael y anexas s. a.</t>
  </si>
  <si>
    <t xml:space="preserve">mmm855</t>
  </si>
  <si>
    <t xml:space="preserve">location &amp; p. o., apartado 79, pachuca, hgo.</t>
  </si>
  <si>
    <t xml:space="preserve">mmm860</t>
  </si>
  <si>
    <t xml:space="preserve">daily output, 600 metric tons, </t>
  </si>
  <si>
    <t xml:space="preserve">600 metric tons</t>
  </si>
  <si>
    <t xml:space="preserve">mmm865</t>
  </si>
  <si>
    <t xml:space="preserve">purch. agt., h. s. g. mackie, woolworth bdg., new york, </t>
  </si>
  <si>
    <t xml:space="preserve">mmm867</t>
  </si>
  <si>
    <t xml:space="preserve">mine spt., c. r. riley, pachuca, hgo., unit.</t>
  </si>
  <si>
    <t xml:space="preserve">pachuca hgo unit</t>
  </si>
  <si>
    <t xml:space="preserve">riggs</t>
  </si>
  <si>
    <t xml:space="preserve">mmm869</t>
  </si>
  <si>
    <t xml:space="preserve">chief eng., blair burwell, mexico, d. f.</t>
  </si>
  <si>
    <t xml:space="preserve">bury</t>
  </si>
  <si>
    <t xml:space="preserve">blair</t>
  </si>
  <si>
    <t xml:space="preserve">mmm877</t>
  </si>
  <si>
    <t xml:space="preserve">negociacion minera hacienda purisma grande y minas guadalupe y anexas</t>
  </si>
  <si>
    <t xml:space="preserve">mmm880</t>
  </si>
  <si>
    <t xml:space="preserve">daily output, 150 metric tons, </t>
  </si>
  <si>
    <t xml:space="preserve">150 metric tons</t>
  </si>
  <si>
    <t xml:space="preserve">mmm882</t>
  </si>
  <si>
    <t xml:space="preserve">secr., m. serralde, mexico, d. f.</t>
  </si>
  <si>
    <t xml:space="preserve">serjeant</t>
  </si>
  <si>
    <t xml:space="preserve">mmm893</t>
  </si>
  <si>
    <t xml:space="preserve">gold silver . mill location</t>
  </si>
  <si>
    <t xml:space="preserve">amparo mining co.</t>
  </si>
  <si>
    <t xml:space="preserve">jalisco</t>
  </si>
  <si>
    <t xml:space="preserve">mmm903</t>
  </si>
  <si>
    <t xml:space="preserve">mine spt., c. f. joyce, etzatlan, jal.</t>
  </si>
  <si>
    <t xml:space="preserve">etzatlan jal</t>
  </si>
  <si>
    <t xml:space="preserve">joues</t>
  </si>
  <si>
    <t xml:space="preserve">mmm929</t>
  </si>
  <si>
    <t xml:space="preserve">mining eng, w. a. gardiner, ameca, jal.</t>
  </si>
  <si>
    <t xml:space="preserve">cia. de cobre magistral ameca s. a.</t>
  </si>
  <si>
    <t xml:space="preserve">ameca jal</t>
  </si>
  <si>
    <t xml:space="preserve">gardiner</t>
  </si>
  <si>
    <t xml:space="preserve">mining eng</t>
  </si>
  <si>
    <t xml:space="preserve">mmm941</t>
  </si>
  <si>
    <t xml:space="preserve">asst. grl. Mgr., wm. howard, etzatlan, jal.</t>
  </si>
  <si>
    <t xml:space="preserve">cia. Minera de jalisco s. a.</t>
  </si>
  <si>
    <t xml:space="preserve">wm</t>
  </si>
  <si>
    <t xml:space="preserve">asst. grl. Mgr.</t>
  </si>
  <si>
    <t xml:space="preserve">mmm946</t>
  </si>
  <si>
    <t xml:space="preserve">zinc.</t>
  </si>
  <si>
    <t xml:space="preserve">cia. minera de plomozinc s. a.</t>
  </si>
  <si>
    <t xml:space="preserve">mmm947</t>
  </si>
  <si>
    <t xml:space="preserve">president, r. h. ludlow, mexico, d. f.</t>
  </si>
  <si>
    <t xml:space="preserve">lucme</t>
  </si>
  <si>
    <t xml:space="preserve">mmm950</t>
  </si>
  <si>
    <t xml:space="preserve">superint., e. r. edwards, higuero, jal.</t>
  </si>
  <si>
    <t xml:space="preserve">higuero jal</t>
  </si>
  <si>
    <t xml:space="preserve">edwarde</t>
  </si>
  <si>
    <t xml:space="preserve">superint.</t>
  </si>
  <si>
    <t xml:space="preserve">mmm952</t>
  </si>
  <si>
    <t xml:space="preserve">location, zacatongo, jal., </t>
  </si>
  <si>
    <t xml:space="preserve">cia. minera de zacatongo s. a.</t>
  </si>
  <si>
    <t xml:space="preserve">zacatongo jal</t>
  </si>
  <si>
    <t xml:space="preserve">mmm965</t>
  </si>
  <si>
    <t xml:space="preserve">secr. &amp; treas, ernest w. king, magdalena, jal.</t>
  </si>
  <si>
    <t xml:space="preserve">cia. minera del aguila s. a.</t>
  </si>
  <si>
    <t xml:space="preserve">magdalena jal</t>
  </si>
  <si>
    <t xml:space="preserve">king</t>
  </si>
  <si>
    <t xml:space="preserve">secr. &amp; treas</t>
  </si>
  <si>
    <t xml:space="preserve">mmm995</t>
  </si>
  <si>
    <t xml:space="preserve">p. o., la quemada, jal., </t>
  </si>
  <si>
    <t xml:space="preserve">espada mines co.</t>
  </si>
  <si>
    <t xml:space="preserve">la quemada jal</t>
  </si>
  <si>
    <t xml:space="preserve">mmm999</t>
  </si>
  <si>
    <t xml:space="preserve">president, e. poarch, san antonio, texas</t>
  </si>
  <si>
    <t xml:space="preserve">san antonio texas</t>
  </si>
  <si>
    <t xml:space="preserve">plunkett</t>
  </si>
  <si>
    <t xml:space="preserve">mmm1019</t>
  </si>
  <si>
    <t xml:space="preserve">master mech., f. clark, magdalena, jal.</t>
  </si>
  <si>
    <t xml:space="preserve">clark</t>
  </si>
  <si>
    <t xml:space="preserve">master mech.</t>
  </si>
  <si>
    <t xml:space="preserve">mmm1023</t>
  </si>
  <si>
    <t xml:space="preserve">mill location, etzatlan, jal., </t>
  </si>
  <si>
    <t xml:space="preserve">nueva cia. mjn. la mazata y an. s. a.</t>
  </si>
  <si>
    <t xml:space="preserve">mmm1024</t>
  </si>
  <si>
    <t xml:space="preserve">officers personnel, same as amparo mining co. etzatlan, </t>
  </si>
  <si>
    <t xml:space="preserve">mining co etzatlan</t>
  </si>
  <si>
    <t xml:space="preserve">mmm1026</t>
  </si>
  <si>
    <t xml:space="preserve">mill spt, jas. m. brown, etzatlan, jal.</t>
  </si>
  <si>
    <t xml:space="preserve">jas</t>
  </si>
  <si>
    <t xml:space="preserve">mmm1027</t>
  </si>
  <si>
    <t xml:space="preserve">asst. mine spt, f. g. willson, etzatlan, jal.</t>
  </si>
  <si>
    <t xml:space="preserve">willson</t>
  </si>
  <si>
    <t xml:space="preserve">asst. mine spt</t>
  </si>
  <si>
    <t xml:space="preserve">mmm1030</t>
  </si>
  <si>
    <t xml:space="preserve">$1.000,000 oro nac</t>
  </si>
  <si>
    <t xml:space="preserve">compañia esperanza s. a.</t>
  </si>
  <si>
    <t xml:space="preserve">mmm1034</t>
  </si>
  <si>
    <t xml:space="preserve">mill location, el oro, mex., </t>
  </si>
  <si>
    <t xml:space="preserve">el oro mex</t>
  </si>
  <si>
    <t xml:space="preserve">mmm1036</t>
  </si>
  <si>
    <t xml:space="preserve">mmm1042</t>
  </si>
  <si>
    <t xml:space="preserve">director, h. constante, el oro, mex.</t>
  </si>
  <si>
    <t xml:space="preserve">constable</t>
  </si>
  <si>
    <t xml:space="preserve">mmm1046</t>
  </si>
  <si>
    <t xml:space="preserve">mill spt, i. crosby, el oro, mex.</t>
  </si>
  <si>
    <t xml:space="preserve">crosby</t>
  </si>
  <si>
    <t xml:space="preserve">it</t>
  </si>
  <si>
    <t xml:space="preserve">mmm1050</t>
  </si>
  <si>
    <t xml:space="preserve">organized, in sultepec,, state of mexico, </t>
  </si>
  <si>
    <t xml:space="preserve">cia. minera la quimica y anexas s. a.</t>
  </si>
  <si>
    <t xml:space="preserve">mmm1054</t>
  </si>
  <si>
    <t xml:space="preserve">gold silver copper lead.</t>
  </si>
  <si>
    <t xml:space="preserve">this co. owns the la quimica y anexas, malacate, carbajal, beatriz (bronze) amparo, presentacion, san cayetano (lead), san antonio, tres marias, &amp; canchal mines, all located in sultepec.</t>
  </si>
  <si>
    <t xml:space="preserve">mmm1057</t>
  </si>
  <si>
    <t xml:space="preserve">table flotation concentration., </t>
  </si>
  <si>
    <t xml:space="preserve">table flotation concentration.</t>
  </si>
  <si>
    <t xml:space="preserve">mmm1060</t>
  </si>
  <si>
    <t xml:space="preserve">secr. &amp; treas, epifanio talavera, mexico, d. f.</t>
  </si>
  <si>
    <t xml:space="preserve">take</t>
  </si>
  <si>
    <t xml:space="preserve">epifanio</t>
  </si>
  <si>
    <t xml:space="preserve">mmm1067</t>
  </si>
  <si>
    <t xml:space="preserve">superintendent, j. c. l. lopez, el oro, mex, </t>
  </si>
  <si>
    <t xml:space="preserve">cia. min. los tres dulces nombres y anexas</t>
  </si>
  <si>
    <t xml:space="preserve">mex</t>
  </si>
  <si>
    <t xml:space="preserve">mmm1069</t>
  </si>
  <si>
    <t xml:space="preserve">organized, in mexico in 1918., </t>
  </si>
  <si>
    <t xml:space="preserve">cia. min. san miguel y an. s. a.</t>
  </si>
  <si>
    <t xml:space="preserve">mmm1072</t>
  </si>
  <si>
    <t xml:space="preserve">mexico city office, capuchinas 40 room 9., </t>
  </si>
  <si>
    <t xml:space="preserve">mmm1084</t>
  </si>
  <si>
    <t xml:space="preserve">el oro mining railway co. ltd.</t>
  </si>
  <si>
    <t xml:space="preserve">mmm1107</t>
  </si>
  <si>
    <t xml:space="preserve">silver gold.</t>
  </si>
  <si>
    <t xml:space="preserve">negociacion minera el alacran y anexas s. a.</t>
  </si>
  <si>
    <t xml:space="preserve">mmm1111</t>
  </si>
  <si>
    <t xml:space="preserve">cons. eng., luis c. espinosa, mexico, d. f.</t>
  </si>
  <si>
    <t xml:space="preserve">escobar</t>
  </si>
  <si>
    <t xml:space="preserve">cons. eng.</t>
  </si>
  <si>
    <t xml:space="preserve">mmm1114</t>
  </si>
  <si>
    <t xml:space="preserve">location, sultepec, mexico, </t>
  </si>
  <si>
    <t xml:space="preserve">negociacion minera san juan bautista y anexas</t>
  </si>
  <si>
    <t xml:space="preserve">sultepec mexico</t>
  </si>
  <si>
    <t xml:space="preserve">mmm1125</t>
  </si>
  <si>
    <t xml:space="preserve">l. 210,000</t>
  </si>
  <si>
    <t xml:space="preserve">the mexican mines of el oro, ltd.</t>
  </si>
  <si>
    <t xml:space="preserve">mmm1126</t>
  </si>
  <si>
    <t xml:space="preserve">location &amp; p. o., apartado 10. el oro, mex., </t>
  </si>
  <si>
    <t xml:space="preserve">mmm1130</t>
  </si>
  <si>
    <t xml:space="preserve">mmm1134</t>
  </si>
  <si>
    <t xml:space="preserve">secretary, edmund heisch, 18 rue chauveau-legarde paris, france</t>
  </si>
  <si>
    <t xml:space="preserve">legarde paris france</t>
  </si>
  <si>
    <t xml:space="preserve">heinle</t>
  </si>
  <si>
    <t xml:space="preserve">edmund</t>
  </si>
  <si>
    <t xml:space="preserve">mmm1137</t>
  </si>
  <si>
    <t xml:space="preserve">purch. agt., m. d. steta, el oro, mex.</t>
  </si>
  <si>
    <t xml:space="preserve">sterne</t>
  </si>
  <si>
    <t xml:space="preserve">mmm1152</t>
  </si>
  <si>
    <t xml:space="preserve">this co. owns the borda antigua, refugio, josefina, sta. rosa, tesoro, de borda, maravillas, azteca, sta. rita, coloradillas, la luz de la sirena, s. antonio comargo. Requeña, st. luis, carmen de los virgenes mines of which the borda antigua is the best producing property.</t>
  </si>
  <si>
    <t xml:space="preserve">cia. minera borda antigua y anexas s. a.</t>
  </si>
  <si>
    <t xml:space="preserve">michoacan</t>
  </si>
  <si>
    <t xml:space="preserve">mmm1162</t>
  </si>
  <si>
    <t xml:space="preserve">organized, on september 19, 1898., </t>
  </si>
  <si>
    <t xml:space="preserve">cia. minera de lais dos estrellas s. a.</t>
  </si>
  <si>
    <t xml:space="preserve">mmm1168</t>
  </si>
  <si>
    <t xml:space="preserve">mill name, el cedro., </t>
  </si>
  <si>
    <t xml:space="preserve">name el cedro</t>
  </si>
  <si>
    <t xml:space="preserve">mmm1171</t>
  </si>
  <si>
    <t xml:space="preserve">president, jose a. signoret, mexico, d. f.</t>
  </si>
  <si>
    <t xml:space="preserve">sievwright</t>
  </si>
  <si>
    <t xml:space="preserve">mmm1180</t>
  </si>
  <si>
    <t xml:space="preserve">consult. eng, h. jouanen, mexico, d. f.</t>
  </si>
  <si>
    <t xml:space="preserve">josephl</t>
  </si>
  <si>
    <t xml:space="preserve">consult. eng</t>
  </si>
  <si>
    <t xml:space="preserve">mmm1195</t>
  </si>
  <si>
    <t xml:space="preserve">grl. mgr., g p. garcÍa, pachuca, hgo.</t>
  </si>
  <si>
    <t xml:space="preserve">cia. exploradora de hidalgo s. a.</t>
  </si>
  <si>
    <t xml:space="preserve">ganser</t>
  </si>
  <si>
    <t xml:space="preserve">mmm1196</t>
  </si>
  <si>
    <t xml:space="preserve">local spt, maurice breen, tepic, nay.</t>
  </si>
  <si>
    <t xml:space="preserve">tepic nay</t>
  </si>
  <si>
    <t xml:space="preserve">breen</t>
  </si>
  <si>
    <t xml:space="preserve">maurice</t>
  </si>
  <si>
    <t xml:space="preserve">local spt</t>
  </si>
  <si>
    <t xml:space="preserve">mmm1219</t>
  </si>
  <si>
    <t xml:space="preserve">location p. o., apartado 22, tepic, nay., mines are in development stage.</t>
  </si>
  <si>
    <t xml:space="preserve">negociacion minera de huicicila</t>
  </si>
  <si>
    <t xml:space="preserve">in development stage</t>
  </si>
  <si>
    <t xml:space="preserve">mmm1224</t>
  </si>
  <si>
    <t xml:space="preserve">p. o., hostotipaquillo, jal., </t>
  </si>
  <si>
    <t xml:space="preserve">san miguel mining co.</t>
  </si>
  <si>
    <t xml:space="preserve">o hostotipaquillo jal</t>
  </si>
  <si>
    <t xml:space="preserve">mmm1229</t>
  </si>
  <si>
    <t xml:space="preserve">zapopan gold mining co.</t>
  </si>
  <si>
    <t xml:space="preserve">mmm1230</t>
  </si>
  <si>
    <t xml:space="preserve">president manager, geo. w. ray, hostotipaquillo, jal.</t>
  </si>
  <si>
    <t xml:space="preserve">hostotipaquillo jal</t>
  </si>
  <si>
    <t xml:space="preserve">mmm1231</t>
  </si>
  <si>
    <t xml:space="preserve">purch. agt., w. l. smart, calle madero 218,, guadalajara</t>
  </si>
  <si>
    <t xml:space="preserve">calle madero guadalajara</t>
  </si>
  <si>
    <t xml:space="preserve">smart</t>
  </si>
  <si>
    <t xml:space="preserve">willi</t>
  </si>
  <si>
    <t xml:space="preserve">am</t>
  </si>
  <si>
    <t xml:space="preserve">mmm1236</t>
  </si>
  <si>
    <t xml:space="preserve">p. o., villaldama, n. l., </t>
  </si>
  <si>
    <t xml:space="preserve">cia. exploradora de minas viejas s. a.</t>
  </si>
  <si>
    <t xml:space="preserve">villaldama n l</t>
  </si>
  <si>
    <t xml:space="preserve">mmm1242</t>
  </si>
  <si>
    <t xml:space="preserve">location, monterrey, nueva leon, (apartado 1336)</t>
  </si>
  <si>
    <t xml:space="preserve">cia. fundidora de fierro y acero de monterrey.</t>
  </si>
  <si>
    <t xml:space="preserve">nueva leon apartado</t>
  </si>
  <si>
    <t xml:space="preserve">mmm1244</t>
  </si>
  <si>
    <t xml:space="preserve">this company has its foundry at monterrey, n. l.</t>
  </si>
  <si>
    <t xml:space="preserve">nuevo leon</t>
  </si>
  <si>
    <t xml:space="preserve">mmm1257</t>
  </si>
  <si>
    <t xml:space="preserve">chemical eng., manuel martinez, monterrey, n. l.</t>
  </si>
  <si>
    <t xml:space="preserve">manuel</t>
  </si>
  <si>
    <t xml:space="preserve">chemical eng.</t>
  </si>
  <si>
    <t xml:space="preserve">mmm1264</t>
  </si>
  <si>
    <t xml:space="preserve">lead zinc.</t>
  </si>
  <si>
    <t xml:space="preserve">cia. minera la soledad s. a.</t>
  </si>
  <si>
    <t xml:space="preserve">mmm1265</t>
  </si>
  <si>
    <t xml:space="preserve">president, manuel garza guerra, mexico, d. f.</t>
  </si>
  <si>
    <t xml:space="preserve">guedalla</t>
  </si>
  <si>
    <t xml:space="preserve">garza</t>
  </si>
  <si>
    <t xml:space="preserve">mmm1266</t>
  </si>
  <si>
    <t xml:space="preserve">grl. mgr, jose l. garza, monterrey, n. l.</t>
  </si>
  <si>
    <t xml:space="preserve">gartner</t>
  </si>
  <si>
    <t xml:space="preserve">grl. mgr</t>
  </si>
  <si>
    <t xml:space="preserve">mmm1267</t>
  </si>
  <si>
    <t xml:space="preserve">ming. eng., juan p. mason, 144 bolivar st. Monterrey, n. l.</t>
  </si>
  <si>
    <t xml:space="preserve">Monterrey n l</t>
  </si>
  <si>
    <t xml:space="preserve">masjoan</t>
  </si>
  <si>
    <t xml:space="preserve">juan</t>
  </si>
  <si>
    <t xml:space="preserve">ming. eng.</t>
  </si>
  <si>
    <t xml:space="preserve">mmm1270</t>
  </si>
  <si>
    <t xml:space="preserve">location, monterrey, n. l., </t>
  </si>
  <si>
    <t xml:space="preserve">cia. min. santa eugenia de monterrey y anexas</t>
  </si>
  <si>
    <t xml:space="preserve">mmm1274</t>
  </si>
  <si>
    <t xml:space="preserve">location, sierra de la mitra, n. l., </t>
  </si>
  <si>
    <t xml:space="preserve">hijos de a. carnavali</t>
  </si>
  <si>
    <t xml:space="preserve">mitra n l</t>
  </si>
  <si>
    <t xml:space="preserve">mmm1290</t>
  </si>
  <si>
    <t xml:space="preserve">president, ricardo maiz, bilbao, spain</t>
  </si>
  <si>
    <t xml:space="preserve">sindicato minero fundidor cerralvo bustamante s. a.</t>
  </si>
  <si>
    <t xml:space="preserve">bilbao spain</t>
  </si>
  <si>
    <t xml:space="preserve">main</t>
  </si>
  <si>
    <t xml:space="preserve">ricardo</t>
  </si>
  <si>
    <t xml:space="preserve">mmm1291</t>
  </si>
  <si>
    <t xml:space="preserve">grl. Mgr, jose maiz, monterrey, n. l.</t>
  </si>
  <si>
    <t xml:space="preserve">grl. Mgr</t>
  </si>
  <si>
    <t xml:space="preserve">mmm1299</t>
  </si>
  <si>
    <t xml:space="preserve">this co. is a subsidiary of cia. Min. de peñoles, s. a. see natividad unit of the cia min. de peñoles, s. a.</t>
  </si>
  <si>
    <t xml:space="preserve">cia. min. natividad y an. s. a.</t>
  </si>
  <si>
    <t xml:space="preserve">mmm1302</t>
  </si>
  <si>
    <t xml:space="preserve">$1. 000,000 u. s. c.</t>
  </si>
  <si>
    <t xml:space="preserve">indiana-oaxaca mining co.</t>
  </si>
  <si>
    <t xml:space="preserve">mmm1308</t>
  </si>
  <si>
    <t xml:space="preserve">president, albert e. sterne, indianapolis, ind.</t>
  </si>
  <si>
    <t xml:space="preserve">indianapolis ind</t>
  </si>
  <si>
    <t xml:space="preserve">sternberg</t>
  </si>
  <si>
    <t xml:space="preserve">mmm1311</t>
  </si>
  <si>
    <t xml:space="preserve">treasurer, edgar o. hunter, indianapolis, ind.</t>
  </si>
  <si>
    <t xml:space="preserve">hunt</t>
  </si>
  <si>
    <t xml:space="preserve">edgar</t>
  </si>
  <si>
    <t xml:space="preserve">treasurer</t>
  </si>
  <si>
    <t xml:space="preserve">mmm1315</t>
  </si>
  <si>
    <t xml:space="preserve">p. o., oaxaca, oax., </t>
  </si>
  <si>
    <t xml:space="preserve">minas la leona y jucamaya</t>
  </si>
  <si>
    <t xml:space="preserve">o oaxaca oax</t>
  </si>
  <si>
    <t xml:space="preserve">mmm1322</t>
  </si>
  <si>
    <t xml:space="preserve">purch. agt., b. j. silbert, mexico, d. f.</t>
  </si>
  <si>
    <t xml:space="preserve">siiiveh</t>
  </si>
  <si>
    <t xml:space="preserve">mmm1331</t>
  </si>
  <si>
    <t xml:space="preserve">mill location, tequisquiapan, qro., </t>
  </si>
  <si>
    <t xml:space="preserve">cia. Minera ajuchitlan s. a.</t>
  </si>
  <si>
    <t xml:space="preserve">tequisquiapan qro</t>
  </si>
  <si>
    <t xml:space="preserve">mmm1344</t>
  </si>
  <si>
    <t xml:space="preserve">location, san pedro, s. l. p., </t>
  </si>
  <si>
    <t xml:space="preserve">cia. metalurgica mexicana san pedro mines</t>
  </si>
  <si>
    <t xml:space="preserve">s l p</t>
  </si>
  <si>
    <t xml:space="preserve">mmm1353</t>
  </si>
  <si>
    <t xml:space="preserve">cia. minera el barreno y anexas s. a.</t>
  </si>
  <si>
    <t xml:space="preserve">san luis potosi</t>
  </si>
  <si>
    <t xml:space="preserve">mmm1354</t>
  </si>
  <si>
    <t xml:space="preserve">daily output, 50 metric tons, </t>
  </si>
  <si>
    <t xml:space="preserve">50 metric tons</t>
  </si>
  <si>
    <t xml:space="preserve">mmm1356</t>
  </si>
  <si>
    <t xml:space="preserve">superint., d. b. mcalister, apartado 64, san lucia potosi, s. l. p.</t>
  </si>
  <si>
    <t xml:space="preserve">apel</t>
  </si>
  <si>
    <t xml:space="preserve">mmm1361</t>
  </si>
  <si>
    <t xml:space="preserve">location, la paz, s. l. p., </t>
  </si>
  <si>
    <t xml:space="preserve">cia. minera sucesora nueva paz y anexas s. a.</t>
  </si>
  <si>
    <t xml:space="preserve">mmm1363</t>
  </si>
  <si>
    <t xml:space="preserve">mexico city office, avenida uruguay 70., </t>
  </si>
  <si>
    <t xml:space="preserve">office avenida uruguay</t>
  </si>
  <si>
    <t xml:space="preserve">mmm1372</t>
  </si>
  <si>
    <t xml:space="preserve">c/o a. s. &amp; r. co. see special information (end of mining list.)</t>
  </si>
  <si>
    <t xml:space="preserve">potosi rio verde railway co.</t>
  </si>
  <si>
    <t xml:space="preserve">mmm1391</t>
  </si>
  <si>
    <t xml:space="preserve">organized, in 1877 ., </t>
  </si>
  <si>
    <t xml:space="preserve">cia. minera de panuco</t>
  </si>
  <si>
    <t xml:space="preserve">sinaloa</t>
  </si>
  <si>
    <t xml:space="preserve">mmm1401</t>
  </si>
  <si>
    <t xml:space="preserve">silver</t>
  </si>
  <si>
    <t xml:space="preserve">cia. minera la soledad y an. s. a.</t>
  </si>
  <si>
    <t xml:space="preserve">mmm1408</t>
  </si>
  <si>
    <t xml:space="preserve">foreign office, 1207 first ntl bk bdg. san francisco, calif., </t>
  </si>
  <si>
    <t xml:space="preserve">mexican candelaria co. s. a.</t>
  </si>
  <si>
    <t xml:space="preserve">san francisco calif</t>
  </si>
  <si>
    <t xml:space="preserve">mmm1411</t>
  </si>
  <si>
    <t xml:space="preserve">vice pres, r. j. dunphy, estacion dimas, sin.</t>
  </si>
  <si>
    <t xml:space="preserve">estacion dimas sin</t>
  </si>
  <si>
    <t xml:space="preserve">dunning</t>
  </si>
  <si>
    <t xml:space="preserve">vice pres</t>
  </si>
  <si>
    <t xml:space="preserve">mmm1418</t>
  </si>
  <si>
    <t xml:space="preserve">contra estaca mill, e. a. knapp, superintendent, </t>
  </si>
  <si>
    <t xml:space="preserve">a knapp superintendent</t>
  </si>
  <si>
    <t xml:space="preserve">mmm1428</t>
  </si>
  <si>
    <t xml:space="preserve">minas el tajo s. a.</t>
  </si>
  <si>
    <t xml:space="preserve">mmm1440</t>
  </si>
  <si>
    <t xml:space="preserve">mill location, guadalupe de los reyes, sin., </t>
  </si>
  <si>
    <t xml:space="preserve">negociacion minera de guadalupe de los reyes s. a.</t>
  </si>
  <si>
    <t xml:space="preserve">los reyes sin</t>
  </si>
  <si>
    <t xml:space="preserve">mmm1449</t>
  </si>
  <si>
    <t xml:space="preserve">location, san vicente, sin., </t>
  </si>
  <si>
    <t xml:space="preserve">nueva compañia de san vicente</t>
  </si>
  <si>
    <t xml:space="preserve">san vicente sin</t>
  </si>
  <si>
    <t xml:space="preserve">mmm1452</t>
  </si>
  <si>
    <t xml:space="preserve">mmm1454</t>
  </si>
  <si>
    <t xml:space="preserve">gr. mgr, gordon wilson, san vicente, sin.</t>
  </si>
  <si>
    <t xml:space="preserve">wilson</t>
  </si>
  <si>
    <t xml:space="preserve">gordon</t>
  </si>
  <si>
    <t xml:space="preserve">gr. mgr</t>
  </si>
  <si>
    <t xml:space="preserve">mmm1460</t>
  </si>
  <si>
    <t xml:space="preserve">post office, mocorito, sin., </t>
  </si>
  <si>
    <t xml:space="preserve">the potrero co.</t>
  </si>
  <si>
    <t xml:space="preserve">office mocorito sin</t>
  </si>
  <si>
    <t xml:space="preserve">mmm1463</t>
  </si>
  <si>
    <t xml:space="preserve">mill location, magistral, sin., </t>
  </si>
  <si>
    <t xml:space="preserve">magistral sin</t>
  </si>
  <si>
    <t xml:space="preserve">mmm1474</t>
  </si>
  <si>
    <t xml:space="preserve">foreign office, 702 oliver bdg. pittsburgh, </t>
  </si>
  <si>
    <t xml:space="preserve">calumet sonora co. s. a.</t>
  </si>
  <si>
    <t xml:space="preserve">oliver bdg pittsburgh</t>
  </si>
  <si>
    <t xml:space="preserve">mmm1475</t>
  </si>
  <si>
    <t xml:space="preserve">this co. owns the buenavista, chivera, san juan, san antonio &amp; catalina mines</t>
  </si>
  <si>
    <t xml:space="preserve">sonora</t>
  </si>
  <si>
    <t xml:space="preserve">silver lead zinc</t>
  </si>
  <si>
    <t xml:space="preserve">mmm1476</t>
  </si>
  <si>
    <t xml:space="preserve">mill location, cananea, son., </t>
  </si>
  <si>
    <t xml:space="preserve">cananea son</t>
  </si>
  <si>
    <t xml:space="preserve">mmm1480</t>
  </si>
  <si>
    <t xml:space="preserve">vice pres, henry wyman, zacatecas, zac.</t>
  </si>
  <si>
    <t xml:space="preserve">zacatecas zac</t>
  </si>
  <si>
    <t xml:space="preserve">wyman</t>
  </si>
  <si>
    <t xml:space="preserve">mmm1481</t>
  </si>
  <si>
    <t xml:space="preserve">ser. treas., r. e. lund., </t>
  </si>
  <si>
    <t xml:space="preserve">mmm1486</t>
  </si>
  <si>
    <t xml:space="preserve">main office, la dura, son., </t>
  </si>
  <si>
    <t xml:space="preserve">creston colorada co.</t>
  </si>
  <si>
    <t xml:space="preserve">mmm1488</t>
  </si>
  <si>
    <t xml:space="preserve">organized, in 1919, </t>
  </si>
  <si>
    <t xml:space="preserve">dolores esperanza corp.</t>
  </si>
  <si>
    <t xml:space="preserve">mmm1494</t>
  </si>
  <si>
    <t xml:space="preserve">gr. mgr, f.m. estes, la dura, son.</t>
  </si>
  <si>
    <t xml:space="preserve">mmm1498</t>
  </si>
  <si>
    <t xml:space="preserve">copper.</t>
  </si>
  <si>
    <t xml:space="preserve">el canario consolidated copper co. s. a.</t>
  </si>
  <si>
    <t xml:space="preserve">mmm1502</t>
  </si>
  <si>
    <t xml:space="preserve">grl. spt., frank r. wilson, nacozari, son.</t>
  </si>
  <si>
    <t xml:space="preserve">nacozari son</t>
  </si>
  <si>
    <t xml:space="preserve">mmm1506</t>
  </si>
  <si>
    <t xml:space="preserve">foreign address, 111 broadway, new york, </t>
  </si>
  <si>
    <t xml:space="preserve">la dura mill &amp; mining co.</t>
  </si>
  <si>
    <t xml:space="preserve">broadway new york</t>
  </si>
  <si>
    <t xml:space="preserve">mmm1509</t>
  </si>
  <si>
    <t xml:space="preserve">mill location, la dura, son., </t>
  </si>
  <si>
    <t xml:space="preserve">mmm1513</t>
  </si>
  <si>
    <t xml:space="preserve">vice pres, a. t. black, new york, </t>
  </si>
  <si>
    <t xml:space="preserve">blaakk</t>
  </si>
  <si>
    <t xml:space="preserve">mmm1515</t>
  </si>
  <si>
    <t xml:space="preserve">manager, j. h. oates, la dura, son.</t>
  </si>
  <si>
    <t xml:space="preserve">oakes</t>
  </si>
  <si>
    <t xml:space="preserve">mmm1517</t>
  </si>
  <si>
    <t xml:space="preserve">mine spt., h. b. martin, la dura, son.</t>
  </si>
  <si>
    <t xml:space="preserve">stuart</t>
  </si>
  <si>
    <t xml:space="preserve">mmm1520</t>
  </si>
  <si>
    <t xml:space="preserve">pedrazzini gold silver mining co.</t>
  </si>
  <si>
    <t xml:space="preserve">mmm1526</t>
  </si>
  <si>
    <t xml:space="preserve">flotation concentration, </t>
  </si>
  <si>
    <t xml:space="preserve">flotation concentration</t>
  </si>
  <si>
    <t xml:space="preserve">mmm1536</t>
  </si>
  <si>
    <t xml:space="preserve">$10.000,000 u. s. c.</t>
  </si>
  <si>
    <t xml:space="preserve">the cananea consolidated copper co. s. a.</t>
  </si>
  <si>
    <t xml:space="preserve">mmm1537</t>
  </si>
  <si>
    <t xml:space="preserve">location &amp; p. o., cananea, son., </t>
  </si>
  <si>
    <t xml:space="preserve">mmm1550</t>
  </si>
  <si>
    <t xml:space="preserve">smelter spt., a. w. wilkinson, cananea, son.</t>
  </si>
  <si>
    <t xml:space="preserve">wilkinson</t>
  </si>
  <si>
    <t xml:space="preserve">smelter spt.</t>
  </si>
  <si>
    <t xml:space="preserve">mmm1556</t>
  </si>
  <si>
    <t xml:space="preserve">the moctezuma co.</t>
  </si>
  <si>
    <t xml:space="preserve">mmm1566</t>
  </si>
  <si>
    <t xml:space="preserve">ming. eng., l. d. macrea, nacozari, son.</t>
  </si>
  <si>
    <t xml:space="preserve">macpherson</t>
  </si>
  <si>
    <t xml:space="preserve">lillian</t>
  </si>
  <si>
    <t xml:space="preserve">mmm1567</t>
  </si>
  <si>
    <t xml:space="preserve">mech. eng., a. j. houle, nacozari, son.</t>
  </si>
  <si>
    <t xml:space="preserve">houghton</t>
  </si>
  <si>
    <t xml:space="preserve">mmm1573</t>
  </si>
  <si>
    <t xml:space="preserve">location p. o., el tigre, son., </t>
  </si>
  <si>
    <t xml:space="preserve">the tigre mining co. s. a.</t>
  </si>
  <si>
    <t xml:space="preserve">el tigre son</t>
  </si>
  <si>
    <t xml:space="preserve">mmm1589</t>
  </si>
  <si>
    <t xml:space="preserve">organized, in 1921., </t>
  </si>
  <si>
    <t xml:space="preserve">amatlan mining company of zacatecas s. a.</t>
  </si>
  <si>
    <t xml:space="preserve">mmm1593</t>
  </si>
  <si>
    <t xml:space="preserve">this company owns the la colorado mine</t>
  </si>
  <si>
    <t xml:space="preserve">mmm1595</t>
  </si>
  <si>
    <t xml:space="preserve">vice pres, m. h. willis., </t>
  </si>
  <si>
    <t xml:space="preserve">mmm1596</t>
  </si>
  <si>
    <t xml:space="preserve">ser., treas. &amp; attorney, john d. mackay, tampico, tamps.</t>
  </si>
  <si>
    <t xml:space="preserve">tampico tamps</t>
  </si>
  <si>
    <t xml:space="preserve">macizregor</t>
  </si>
  <si>
    <t xml:space="preserve">ser., treas. &amp; attorney</t>
  </si>
  <si>
    <t xml:space="preserve">mmm1598</t>
  </si>
  <si>
    <t xml:space="preserve">asst mgr., john w. lawson, chalchihuites, zac.</t>
  </si>
  <si>
    <t xml:space="preserve">chalchihuites zac</t>
  </si>
  <si>
    <t xml:space="preserve">lawson</t>
  </si>
  <si>
    <t xml:space="preserve">asst mgr.</t>
  </si>
  <si>
    <t xml:space="preserve">mmm1602</t>
  </si>
  <si>
    <t xml:space="preserve">organized, in june 1925., </t>
  </si>
  <si>
    <t xml:space="preserve">carnegie metals co.</t>
  </si>
  <si>
    <t xml:space="preserve">mmm1608</t>
  </si>
  <si>
    <t xml:space="preserve">secretary, caroline peterson, pittsburgh, pa.</t>
  </si>
  <si>
    <t xml:space="preserve">pittsburgh pa</t>
  </si>
  <si>
    <t xml:space="preserve">peters</t>
  </si>
  <si>
    <t xml:space="preserve">caroline</t>
  </si>
  <si>
    <t xml:space="preserve">mmm1618</t>
  </si>
  <si>
    <t xml:space="preserve">purch. agt., e. r. atchison, mexico, d. f.</t>
  </si>
  <si>
    <t xml:space="preserve">cia. de inversiones del oro s. a.</t>
  </si>
  <si>
    <t xml:space="preserve">ated</t>
  </si>
  <si>
    <t xml:space="preserve">mmm1624</t>
  </si>
  <si>
    <t xml:space="preserve">cia. international minera s. a.</t>
  </si>
  <si>
    <t xml:space="preserve">mmm1625</t>
  </si>
  <si>
    <t xml:space="preserve">mill location, zacatecas mining district, zac., </t>
  </si>
  <si>
    <t xml:space="preserve">mining district zac</t>
  </si>
  <si>
    <t xml:space="preserve">mmm1626</t>
  </si>
  <si>
    <t xml:space="preserve">table concentration., </t>
  </si>
  <si>
    <t xml:space="preserve">table concentration.</t>
  </si>
  <si>
    <t xml:space="preserve">mmm1627</t>
  </si>
  <si>
    <t xml:space="preserve">grl. mgr., w. o. north, guadalupe, zac.</t>
  </si>
  <si>
    <t xml:space="preserve">guadalupe zac</t>
  </si>
  <si>
    <t xml:space="preserve">north</t>
  </si>
  <si>
    <t xml:space="preserve">mmm1629</t>
  </si>
  <si>
    <t xml:space="preserve">mine spt., a. syveron, guadalupe, zac.</t>
  </si>
  <si>
    <t xml:space="preserve">synodinos</t>
  </si>
  <si>
    <t xml:space="preserve">mmm1631</t>
  </si>
  <si>
    <t xml:space="preserve">mech. eng., w. e. mashburn, guadalupe, zac.</t>
  </si>
  <si>
    <t xml:space="preserve">marx</t>
  </si>
  <si>
    <t xml:space="preserve">mmm1640</t>
  </si>
  <si>
    <t xml:space="preserve">cia. Mnera la parroquia y an</t>
  </si>
  <si>
    <t xml:space="preserve">mmm1641</t>
  </si>
  <si>
    <t xml:space="preserve">grl. mgr., gualterio c. palmer, zac., </t>
  </si>
  <si>
    <t xml:space="preserve">zac</t>
  </si>
  <si>
    <t xml:space="preserve">gualterio</t>
  </si>
  <si>
    <t xml:space="preserve">mmm1647</t>
  </si>
  <si>
    <t xml:space="preserve">mexico city office, edificio españa, room 408, </t>
  </si>
  <si>
    <t xml:space="preserve">cia. minera la providencia s. a.</t>
  </si>
  <si>
    <t xml:space="preserve">edificio españa room</t>
  </si>
  <si>
    <t xml:space="preserve">mmm1649</t>
  </si>
  <si>
    <t xml:space="preserve">mill, in construction, </t>
  </si>
  <si>
    <t xml:space="preserve">in construction</t>
  </si>
  <si>
    <t xml:space="preserve">mmm1654</t>
  </si>
  <si>
    <t xml:space="preserve">secretary, antonio maza, mexico, d. f.</t>
  </si>
  <si>
    <t xml:space="preserve">mayne</t>
  </si>
  <si>
    <t xml:space="preserve">antonio</t>
  </si>
  <si>
    <t xml:space="preserve">mmm1662</t>
  </si>
  <si>
    <t xml:space="preserve">location, vetagrande, zac, </t>
  </si>
  <si>
    <t xml:space="preserve">cia. restauradora del mineral de vetagrande s. a.</t>
  </si>
  <si>
    <t xml:space="preserve">vetagrande zac</t>
  </si>
  <si>
    <t xml:space="preserve">mmm1665</t>
  </si>
  <si>
    <t xml:space="preserve">president, lic. rodolfo f . villalpando, mexico, d. f.</t>
  </si>
  <si>
    <t xml:space="preserve">villaines</t>
  </si>
  <si>
    <t xml:space="preserve">lic</t>
  </si>
  <si>
    <t xml:space="preserve">mmm1667</t>
  </si>
  <si>
    <t xml:space="preserve">location, sombrerete, c/o cia. Min. asarco, s. a., see special information (end of mining list.)</t>
  </si>
  <si>
    <t xml:space="preserve">moctezuma mining co.</t>
  </si>
  <si>
    <t xml:space="preserve">mmm1669</t>
  </si>
  <si>
    <t xml:space="preserve">organized, in 1924 in mexico., </t>
  </si>
  <si>
    <t xml:space="preserve">palenque mining co. s. a.</t>
  </si>
  <si>
    <t xml:space="preserve">mmm1670</t>
  </si>
  <si>
    <t xml:space="preserve">$77,000 u. s. c.</t>
  </si>
  <si>
    <t xml:space="preserve">mmm1689</t>
  </si>
  <si>
    <t xml:space="preserve">mill name, el bote, </t>
  </si>
  <si>
    <t xml:space="preserve">pittsburg bote mining co. s. a.</t>
  </si>
  <si>
    <t xml:space="preserve">name el bote</t>
  </si>
  <si>
    <t xml:space="preserve">mmm1692</t>
  </si>
  <si>
    <t xml:space="preserve">this company is subsidiary of the carnegie metals co.</t>
  </si>
  <si>
    <t xml:space="preserve">mmm1694</t>
  </si>
  <si>
    <t xml:space="preserve">mmm1707</t>
  </si>
  <si>
    <t xml:space="preserve">location &amp; p. o., apartado 7, zacetecas, zac., </t>
  </si>
  <si>
    <t xml:space="preserve">pittsburgh veta grande mining co. s. a.</t>
  </si>
  <si>
    <t xml:space="preserve">apartado zacetecas zac</t>
  </si>
  <si>
    <t xml:space="preserve">mmm1709</t>
  </si>
  <si>
    <t xml:space="preserve">this company owns the vetagrande and san acacio mines.</t>
  </si>
  <si>
    <t xml:space="preserve">mmm1713</t>
  </si>
  <si>
    <t xml:space="preserve">president, j. h. sanford, pittsburgh, pa.</t>
  </si>
  <si>
    <t xml:space="preserve">sandy</t>
  </si>
  <si>
    <t xml:space="preserve">mmm1718</t>
  </si>
  <si>
    <t xml:space="preserve">business mgr., g. f. kinney, zacatecas, zac.</t>
  </si>
  <si>
    <t xml:space="preserve">kinjj</t>
  </si>
  <si>
    <t xml:space="preserve">business mgr.</t>
  </si>
  <si>
    <t xml:space="preserve">mmm1719</t>
  </si>
  <si>
    <t xml:space="preserve">director grl, henry wyman, zacatecas, zac.</t>
  </si>
  <si>
    <t xml:space="preserve">director grl</t>
  </si>
  <si>
    <t xml:space="preserve">mmm1722</t>
  </si>
  <si>
    <t xml:space="preserve">mine spt., g. r. tingle, zacatecas, zac.</t>
  </si>
  <si>
    <t xml:space="preserve">tindall</t>
  </si>
  <si>
    <t xml:space="preserve">mmm1734</t>
  </si>
  <si>
    <t xml:space="preserve">mill p. o. address, apartado 12, concepcion del oro, zac, </t>
  </si>
  <si>
    <t xml:space="preserve">santa rosa mining co. ltd.</t>
  </si>
  <si>
    <t xml:space="preserve">del oro zac</t>
  </si>
  <si>
    <t xml:space="preserve">mmm1736</t>
  </si>
  <si>
    <t xml:space="preserve">table concentration cyanidation., </t>
  </si>
  <si>
    <t xml:space="preserve">table concentration cyanidation.</t>
  </si>
  <si>
    <t xml:space="preserve">mmm1756</t>
  </si>
  <si>
    <t xml:space="preserve">grl. Mines spt., w. whyte, concepcion del oro, zac.</t>
  </si>
  <si>
    <t xml:space="preserve">the mazapil copper co ltd.</t>
  </si>
  <si>
    <t xml:space="preserve">whyte</t>
  </si>
  <si>
    <t xml:space="preserve">grl. Mines spt.</t>
  </si>
  <si>
    <t xml:space="preserve">mmm1769</t>
  </si>
  <si>
    <t xml:space="preserve">this company is associated with cia. De santa gertrudis, s. a.</t>
  </si>
  <si>
    <t xml:space="preserve">the mexican corporation s. a.</t>
  </si>
  <si>
    <t xml:space="preserve">gold, silver, lead, zinc, copper</t>
  </si>
  <si>
    <t xml:space="preserve">mmm1781</t>
  </si>
  <si>
    <t xml:space="preserve">geologist, max. m. dixon, pachuca, hgo.</t>
  </si>
  <si>
    <t xml:space="preserve">dixon</t>
  </si>
  <si>
    <t xml:space="preserve">max</t>
  </si>
  <si>
    <t xml:space="preserve">geologist</t>
  </si>
  <si>
    <t xml:space="preserve">mmm1782</t>
  </si>
  <si>
    <t xml:space="preserve">chief eng., a. livingston, fresnillo, zac.</t>
  </si>
  <si>
    <t xml:space="preserve">fresnillo zac</t>
  </si>
  <si>
    <t xml:space="preserve">livermore</t>
  </si>
  <si>
    <t xml:space="preserve">archibald</t>
  </si>
  <si>
    <t xml:space="preserve">mmm1783</t>
  </si>
  <si>
    <t xml:space="preserve">mech. eng., h. t. colson, fresnillo, zac.</t>
  </si>
  <si>
    <t xml:space="preserve">colquhoun</t>
  </si>
  <si>
    <t xml:space="preserve">mmm1790</t>
  </si>
  <si>
    <t xml:space="preserve">location, sombrerete, zac., </t>
  </si>
  <si>
    <t xml:space="preserve">the sombrerete mining co.</t>
  </si>
  <si>
    <t xml:space="preserve">sombrerete zac</t>
  </si>
  <si>
    <t xml:space="preserve">mmm1793</t>
  </si>
  <si>
    <t xml:space="preserve">location &amp; p. o., zacatecas, zac., </t>
  </si>
  <si>
    <t xml:space="preserve">zacatecas mining corp.</t>
  </si>
  <si>
    <t xml:space="preserve">mmm1815</t>
  </si>
  <si>
    <t xml:space="preserve">management, </t>
  </si>
  <si>
    <t xml:space="preserve">american smelting refining co.</t>
  </si>
  <si>
    <t xml:space="preserve">mmm1822</t>
  </si>
  <si>
    <t xml:space="preserve">milling engineer, h. cooper, </t>
  </si>
  <si>
    <t xml:space="preserve">cooper</t>
  </si>
  <si>
    <t xml:space="preserve">milling engineer</t>
  </si>
  <si>
    <t xml:space="preserve">mmm1829</t>
  </si>
  <si>
    <t xml:space="preserve">mail and telegraphic address, 1112 mills bldg., el paso, texas</t>
  </si>
  <si>
    <t xml:space="preserve">mmm1841</t>
  </si>
  <si>
    <t xml:space="preserve">mail address, cia. metalurgica mexicana, apartado 307, mexico</t>
  </si>
  <si>
    <t xml:space="preserve">mexicana apartado mexico</t>
  </si>
  <si>
    <t xml:space="preserve">mmm1844</t>
  </si>
  <si>
    <t xml:space="preserve">mmm1859</t>
  </si>
  <si>
    <t xml:space="preserve">telegraphic address, edificio iturbe ave, juarez 83, mexico</t>
  </si>
  <si>
    <t xml:space="preserve">ave juarez mexico</t>
  </si>
  <si>
    <t xml:space="preserve">mmm1865</t>
  </si>
  <si>
    <t xml:space="preserve">cashier, d. r. salazar, </t>
  </si>
  <si>
    <t xml:space="preserve">saine</t>
  </si>
  <si>
    <t xml:space="preserve">domingo</t>
  </si>
  <si>
    <t xml:space="preserve">mmm1876</t>
  </si>
  <si>
    <t xml:space="preserve">mail address, american smelting refining co, apartado 137, aguascalientes</t>
  </si>
  <si>
    <t xml:space="preserve">aguascalientes plant</t>
  </si>
  <si>
    <t xml:space="preserve">co apartado aguascalientes</t>
  </si>
  <si>
    <t xml:space="preserve">mmm1892</t>
  </si>
  <si>
    <t xml:space="preserve">mines at los lamentos, chih., ook of m in e s</t>
  </si>
  <si>
    <t xml:space="preserve">los lamentos</t>
  </si>
  <si>
    <t xml:space="preserve">in e s</t>
  </si>
  <si>
    <t xml:space="preserve">mmm1900</t>
  </si>
  <si>
    <t xml:space="preserve">supt., h. h. sharp, </t>
  </si>
  <si>
    <t xml:space="preserve">parral consolidated</t>
  </si>
  <si>
    <t xml:space="preserve">sharp</t>
  </si>
  <si>
    <t xml:space="preserve">parkinson</t>
  </si>
  <si>
    <t xml:space="preserve">supt.</t>
  </si>
  <si>
    <t xml:space="preserve">mmm1907</t>
  </si>
  <si>
    <t xml:space="preserve">supt., s. e. reed, </t>
  </si>
  <si>
    <t xml:space="preserve">reed</t>
  </si>
  <si>
    <t xml:space="preserve">samuel</t>
  </si>
  <si>
    <t xml:space="preserve">mmm1909</t>
  </si>
  <si>
    <t xml:space="preserve">mail address, cia. minera asarco s. a., apartado 85, parral</t>
  </si>
  <si>
    <t xml:space="preserve">a apartado parral</t>
  </si>
  <si>
    <t xml:space="preserve">mmm1922</t>
  </si>
  <si>
    <t xml:space="preserve">mail and telegraphic address, minas tecolotes, santa barbara, chih.</t>
  </si>
  <si>
    <t xml:space="preserve">santa barbara</t>
  </si>
  <si>
    <t xml:space="preserve">mmm1927</t>
  </si>
  <si>
    <t xml:space="preserve">mines at santa eulalia, chih., </t>
  </si>
  <si>
    <t xml:space="preserve">santa eulalia</t>
  </si>
  <si>
    <t xml:space="preserve">santa eulalia chih</t>
  </si>
  <si>
    <t xml:space="preserve">mmm1952</t>
  </si>
  <si>
    <t xml:space="preserve">tel. address, american smelting refining co, esmeralda, coah</t>
  </si>
  <si>
    <t xml:space="preserve">veta grande</t>
  </si>
  <si>
    <t xml:space="preserve">co esmeralda coah</t>
  </si>
  <si>
    <t xml:space="preserve">mmm1960</t>
  </si>
  <si>
    <t xml:space="preserve">grl. Mgr. rosita coah., j. w. kniffin, </t>
  </si>
  <si>
    <t xml:space="preserve">compañía carbonifera de sabinas, s. a.</t>
  </si>
  <si>
    <t xml:space="preserve">knauth</t>
  </si>
  <si>
    <t xml:space="preserve">grl. Mgr. rosita coah.</t>
  </si>
  <si>
    <t xml:space="preserve">mmm1969</t>
  </si>
  <si>
    <t xml:space="preserve">supt., g. p. robinson, </t>
  </si>
  <si>
    <t xml:space="preserve">asarco plant</t>
  </si>
  <si>
    <t xml:space="preserve">mmm1978</t>
  </si>
  <si>
    <t xml:space="preserve">supt., r. e. adams, </t>
  </si>
  <si>
    <t xml:space="preserve">velardeña</t>
  </si>
  <si>
    <t xml:space="preserve">adams</t>
  </si>
  <si>
    <t xml:space="preserve">mmm2012</t>
  </si>
  <si>
    <t xml:space="preserve">mail and telegraphic address, mina tiro general, charcas, s. l. p.</t>
  </si>
  <si>
    <t xml:space="preserve">mexican lead co.</t>
  </si>
  <si>
    <t xml:space="preserve">mmm2036</t>
  </si>
  <si>
    <t xml:space="preserve">mines near sombrerete, zac., </t>
  </si>
  <si>
    <t xml:space="preserve">matehuala plant</t>
  </si>
  <si>
    <t xml:space="preserve">near sombrerete zac</t>
  </si>
  <si>
    <t xml:space="preserve">mmm2043</t>
  </si>
  <si>
    <t xml:space="preserve">mines at sombrerete, sombrerete, zac, </t>
  </si>
  <si>
    <t xml:space="preserve">sombrerete mining co.</t>
  </si>
  <si>
    <t xml:space="preserve">sombrerete sombrerete zac</t>
  </si>
  <si>
    <t xml:space="preserve">mmm2055</t>
  </si>
  <si>
    <t xml:space="preserve">2nd vice pres &amp; treasurer, h. himes, </t>
  </si>
  <si>
    <t xml:space="preserve">cia. minera de penoles s. a.</t>
  </si>
  <si>
    <t xml:space="preserve">hills</t>
  </si>
  <si>
    <t xml:space="preserve">2nd vice pres &amp; treasurer</t>
  </si>
  <si>
    <t xml:space="preserve">mmm2057</t>
  </si>
  <si>
    <t xml:space="preserve">assistant to the general manager, j. m. brooks jr., </t>
  </si>
  <si>
    <t xml:space="preserve">mmm2062</t>
  </si>
  <si>
    <t xml:space="preserve">travelling auditor, e. m. gutierrez, </t>
  </si>
  <si>
    <t xml:space="preserve">guskell</t>
  </si>
  <si>
    <t xml:space="preserve">travelling auditor</t>
  </si>
  <si>
    <t xml:space="preserve">mmm2075</t>
  </si>
  <si>
    <t xml:space="preserve">master mechanic, f. rothe, </t>
  </si>
  <si>
    <t xml:space="preserve">the naica mines of mexico</t>
  </si>
  <si>
    <t xml:space="preserve">chih.</t>
  </si>
  <si>
    <t xml:space="preserve">rossman</t>
  </si>
  <si>
    <t xml:space="preserve">master mechanic</t>
  </si>
  <si>
    <t xml:space="preserve">mmm2076</t>
  </si>
  <si>
    <t xml:space="preserve">santa eulalia, </t>
  </si>
  <si>
    <t xml:space="preserve">mmm2081</t>
  </si>
  <si>
    <t xml:space="preserve">agent., e. cortazar, chihuahua, </t>
  </si>
  <si>
    <t xml:space="preserve">corser</t>
  </si>
  <si>
    <t xml:space="preserve">agent.</t>
  </si>
  <si>
    <t xml:space="preserve">mmm2084</t>
  </si>
  <si>
    <t xml:space="preserve">gen. supt., m. f. crossette, </t>
  </si>
  <si>
    <t xml:space="preserve">cross</t>
  </si>
  <si>
    <t xml:space="preserve">gen. supt.</t>
  </si>
  <si>
    <t xml:space="preserve">mmm2091</t>
  </si>
  <si>
    <t xml:space="preserve">ass't master mechanic, c. a. burn, </t>
  </si>
  <si>
    <t xml:space="preserve">burn</t>
  </si>
  <si>
    <t xml:space="preserve">hlpellmm</t>
  </si>
  <si>
    <t xml:space="preserve">ass't master mechanic</t>
  </si>
  <si>
    <t xml:space="preserve">mmm2158</t>
  </si>
  <si>
    <t xml:space="preserve">asst. chemist, c. s. bogart, </t>
  </si>
  <si>
    <t xml:space="preserve">monterrey smelter &amp; refinery</t>
  </si>
  <si>
    <t xml:space="preserve">bogajewsky</t>
  </si>
  <si>
    <t xml:space="preserve">asst. chemist</t>
  </si>
  <si>
    <t xml:space="preserve">mmm2187</t>
  </si>
  <si>
    <t xml:space="preserve">engineer, o. c. reinheimer, </t>
  </si>
  <si>
    <t xml:space="preserve">cia. minera y beneficiadora del norte</t>
  </si>
  <si>
    <t xml:space="preserve">reillv</t>
  </si>
  <si>
    <t xml:space="preserve">o</t>
  </si>
  <si>
    <t xml:space="preserve">mmm14861</t>
  </si>
  <si>
    <t xml:space="preserve">this company owns the creston colorada and prieta mines, which are leased to w. c. taylor of hermosillo, son. The mill of this company is in ruins.</t>
  </si>
  <si>
    <t xml:space="preserve">source</t>
  </si>
  <si>
    <t xml:space="preserve">org</t>
  </si>
  <si>
    <t xml:space="preserve">co21472</t>
  </si>
  <si>
    <t xml:space="preserve">colmines</t>
  </si>
  <si>
    <t xml:space="preserve">hill</t>
  </si>
  <si>
    <t xml:space="preserve">student</t>
  </si>
  <si>
    <t xml:space="preserve">co34769</t>
  </si>
  <si>
    <t xml:space="preserve">patterson</t>
  </si>
  <si>
    <t xml:space="preserve">co48041</t>
  </si>
  <si>
    <t xml:space="preserve">wells</t>
  </si>
  <si>
    <t xml:space="preserve">cu12925</t>
  </si>
  <si>
    <t xml:space="preserve">cu</t>
  </si>
  <si>
    <t xml:space="preserve">drasel</t>
  </si>
  <si>
    <t xml:space="preserve">ny city</t>
  </si>
  <si>
    <t xml:space="preserve">cu16012</t>
  </si>
  <si>
    <t xml:space="preserve">earle</t>
  </si>
  <si>
    <t xml:space="preserve">cu18812</t>
  </si>
  <si>
    <t xml:space="preserve">guinchard</t>
  </si>
  <si>
    <t xml:space="preserve">cu19207</t>
  </si>
  <si>
    <t xml:space="preserve">hall</t>
  </si>
  <si>
    <t xml:space="preserve">harry</t>
  </si>
  <si>
    <t xml:space="preserve">cu20488</t>
  </si>
  <si>
    <t xml:space="preserve">hay</t>
  </si>
  <si>
    <t xml:space="preserve">cu21124</t>
  </si>
  <si>
    <t xml:space="preserve">herter</t>
  </si>
  <si>
    <t xml:space="preserve">cu21791</t>
  </si>
  <si>
    <t xml:space="preserve">hoffbauer</t>
  </si>
  <si>
    <t xml:space="preserve">cu22577</t>
  </si>
  <si>
    <t xml:space="preserve">howe</t>
  </si>
  <si>
    <t xml:space="preserve">cu23330</t>
  </si>
  <si>
    <t xml:space="preserve">hutchinson</t>
  </si>
  <si>
    <t xml:space="preserve">cu26219</t>
  </si>
  <si>
    <t xml:space="preserve">lamb</t>
  </si>
  <si>
    <t xml:space="preserve">cu28529</t>
  </si>
  <si>
    <t xml:space="preserve">macdermott</t>
  </si>
  <si>
    <t xml:space="preserve">cu29080</t>
  </si>
  <si>
    <t xml:space="preserve">mannheim</t>
  </si>
  <si>
    <t xml:space="preserve">paul</t>
  </si>
  <si>
    <t xml:space="preserve">cu31533</t>
  </si>
  <si>
    <t xml:space="preserve">moffett</t>
  </si>
  <si>
    <t xml:space="preserve">cu36129</t>
  </si>
  <si>
    <t xml:space="preserve">popper</t>
  </si>
  <si>
    <t xml:space="preserve">cu37053</t>
  </si>
  <si>
    <t xml:space="preserve">raphael</t>
  </si>
  <si>
    <t xml:space="preserve">cu44627</t>
  </si>
  <si>
    <t xml:space="preserve">cu46393</t>
  </si>
  <si>
    <t xml:space="preserve">van</t>
  </si>
  <si>
    <t xml:space="preserve">cu5040</t>
  </si>
  <si>
    <t xml:space="preserve">brcneman</t>
  </si>
  <si>
    <t xml:space="preserve">cu5940</t>
  </si>
  <si>
    <t xml:space="preserve">bryce</t>
  </si>
  <si>
    <t xml:space="preserve">cu6025</t>
  </si>
  <si>
    <t xml:space="preserve">buckmaster</t>
  </si>
  <si>
    <t xml:space="preserve">cu7529</t>
  </si>
  <si>
    <t xml:space="preserve">casamajor</t>
  </si>
  <si>
    <t xml:space="preserve">cu7564</t>
  </si>
  <si>
    <t xml:space="preserve">caspe</t>
  </si>
  <si>
    <t xml:space="preserve">cu8314</t>
  </si>
  <si>
    <t xml:space="preserve">church</t>
  </si>
  <si>
    <t xml:space="preserve">en34067</t>
  </si>
  <si>
    <t xml:space="preserve">eni</t>
  </si>
  <si>
    <t xml:space="preserve">ostos</t>
  </si>
  <si>
    <t xml:space="preserve">mexico city</t>
  </si>
  <si>
    <t xml:space="preserve">en34315</t>
  </si>
  <si>
    <t xml:space="preserve">palacio</t>
  </si>
  <si>
    <t xml:space="preserve">en46554</t>
  </si>
  <si>
    <t xml:space="preserve">vazquez</t>
  </si>
  <si>
    <t xml:space="preserve">fr2471</t>
  </si>
  <si>
    <t xml:space="preserve">frei</t>
  </si>
  <si>
    <t xml:space="preserve">de crano</t>
  </si>
  <si>
    <t xml:space="preserve">san francisco usa</t>
  </si>
  <si>
    <t xml:space="preserve">fr2510</t>
  </si>
  <si>
    <t xml:space="preserve">dietze</t>
  </si>
  <si>
    <t xml:space="preserve">georg</t>
  </si>
  <si>
    <t xml:space="preserve">moritz</t>
  </si>
  <si>
    <t xml:space="preserve">freiberg sachsen</t>
  </si>
  <si>
    <t xml:space="preserve">?b</t>
  </si>
  <si>
    <t xml:space="preserve">fr2638</t>
  </si>
  <si>
    <t xml:space="preserve">asbury</t>
  </si>
  <si>
    <t xml:space="preserve">freiberg school</t>
  </si>
  <si>
    <t xml:space="preserve">washington usa</t>
  </si>
  <si>
    <t xml:space="preserve">fr2697</t>
  </si>
  <si>
    <t xml:space="preserve">zoric</t>
  </si>
  <si>
    <t xml:space="preserve">svetosar</t>
  </si>
  <si>
    <t xml:space="preserve">titel ungarn</t>
  </si>
  <si>
    <t xml:space="preserve">fr2732</t>
  </si>
  <si>
    <t xml:space="preserve">stoiber</t>
  </si>
  <si>
    <t xml:space="preserve">eduard</t>
  </si>
  <si>
    <t xml:space="preserve">new york usa</t>
  </si>
  <si>
    <t xml:space="preserve">fr2813</t>
  </si>
  <si>
    <t xml:space="preserve">heck</t>
  </si>
  <si>
    <t xml:space="preserve">dierdorf rheinpreuben</t>
  </si>
  <si>
    <t xml:space="preserve">fr2955</t>
  </si>
  <si>
    <t xml:space="preserve">fuch8</t>
  </si>
  <si>
    <t xml:space="preserve">ernst</t>
  </si>
  <si>
    <t xml:space="preserve">fiirchtegott</t>
  </si>
  <si>
    <t xml:space="preserve">chemnitz sachsen</t>
  </si>
  <si>
    <t xml:space="preserve">fr2987</t>
  </si>
  <si>
    <t xml:space="preserve">wei8</t>
  </si>
  <si>
    <t xml:space="preserve">marienberg</t>
  </si>
  <si>
    <t xml:space="preserve">fr2988</t>
  </si>
  <si>
    <t xml:space="preserve">zetzsche</t>
  </si>
  <si>
    <t xml:space="preserve">heinrich</t>
  </si>
  <si>
    <t xml:space="preserve">altenburg</t>
  </si>
  <si>
    <t xml:space="preserve">fr3001</t>
  </si>
  <si>
    <t xml:space="preserve">fischer</t>
  </si>
  <si>
    <t xml:space="preserve">colditz sachsen</t>
  </si>
  <si>
    <t xml:space="preserve">fr3010</t>
  </si>
  <si>
    <t xml:space="preserve">jeramjanz</t>
  </si>
  <si>
    <t xml:space="preserve">stephan</t>
  </si>
  <si>
    <t xml:space="preserve">erivan rubland</t>
  </si>
  <si>
    <t xml:space="preserve">fr3210</t>
  </si>
  <si>
    <t xml:space="preserve">krantz</t>
  </si>
  <si>
    <t xml:space="preserve">friedrich</t>
  </si>
  <si>
    <t xml:space="preserve">august</t>
  </si>
  <si>
    <t xml:space="preserve">aimaberg rubland</t>
  </si>
  <si>
    <t xml:space="preserve">fr3306</t>
  </si>
  <si>
    <t xml:space="preserve">eydam</t>
  </si>
  <si>
    <t xml:space="preserve">willy</t>
  </si>
  <si>
    <t xml:space="preserve">weida b</t>
  </si>
  <si>
    <t xml:space="preserve">fr3341</t>
  </si>
  <si>
    <t xml:space="preserve">franz</t>
  </si>
  <si>
    <t xml:space="preserve">pleiske b</t>
  </si>
  <si>
    <t xml:space="preserve">fr3343</t>
  </si>
  <si>
    <t xml:space="preserve">schulze</t>
  </si>
  <si>
    <t xml:space="preserve">fr3368</t>
  </si>
  <si>
    <t xml:space="preserve">v dessauer</t>
  </si>
  <si>
    <t xml:space="preserve">anton</t>
  </si>
  <si>
    <t xml:space="preserve">munchen</t>
  </si>
  <si>
    <t xml:space="preserve">fr3465</t>
  </si>
  <si>
    <t xml:space="preserve">roldan e pego</t>
  </si>
  <si>
    <t xml:space="preserve">fr3528</t>
  </si>
  <si>
    <t xml:space="preserve">zell</t>
  </si>
  <si>
    <t xml:space="preserve">neuruppin</t>
  </si>
  <si>
    <t xml:space="preserve">fr3610</t>
  </si>
  <si>
    <t xml:space="preserve">keller</t>
  </si>
  <si>
    <t xml:space="preserve">richard</t>
  </si>
  <si>
    <t xml:space="preserve">city wisconsin usa</t>
  </si>
  <si>
    <t xml:space="preserve">fr3662</t>
  </si>
  <si>
    <t xml:space="preserve">hey</t>
  </si>
  <si>
    <t xml:space="preserve">gustav</t>
  </si>
  <si>
    <t xml:space="preserve">adolf</t>
  </si>
  <si>
    <t xml:space="preserve">fr3692</t>
  </si>
  <si>
    <t xml:space="preserve">schneiders</t>
  </si>
  <si>
    <t xml:space="preserve">karl</t>
  </si>
  <si>
    <t xml:space="preserve">gottfried</t>
  </si>
  <si>
    <t xml:space="preserve">aachen preuben</t>
  </si>
  <si>
    <t xml:space="preserve">fr3708</t>
  </si>
  <si>
    <t xml:space="preserve">wehner</t>
  </si>
  <si>
    <t xml:space="preserve">frederik</t>
  </si>
  <si>
    <t xml:space="preserve">fr3718</t>
  </si>
  <si>
    <t xml:space="preserve">boddinghaus</t>
  </si>
  <si>
    <t xml:space="preserve">walther</t>
  </si>
  <si>
    <t xml:space="preserve">elberfeld</t>
  </si>
  <si>
    <t xml:space="preserve">fr3781</t>
  </si>
  <si>
    <t xml:space="preserve">v wolff</t>
  </si>
  <si>
    <t xml:space="preserve">erich</t>
  </si>
  <si>
    <t xml:space="preserve">maximilian</t>
  </si>
  <si>
    <t xml:space="preserve">baron hintzenberg rubland</t>
  </si>
  <si>
    <t xml:space="preserve">fr3852</t>
  </si>
  <si>
    <t xml:space="preserve">abe</t>
  </si>
  <si>
    <t xml:space="preserve">witten preuben</t>
  </si>
  <si>
    <t xml:space="preserve">fr3874</t>
  </si>
  <si>
    <t xml:space="preserve">lister</t>
  </si>
  <si>
    <t xml:space="preserve">yercand indien</t>
  </si>
  <si>
    <t xml:space="preserve">fr3906</t>
  </si>
  <si>
    <t xml:space="preserve">bernhard</t>
  </si>
  <si>
    <t xml:space="preserve">schlobchemnitz bei chemnitz</t>
  </si>
  <si>
    <t xml:space="preserve">fr4049</t>
  </si>
  <si>
    <t xml:space="preserve">bauer</t>
  </si>
  <si>
    <t xml:space="preserve">oswald</t>
  </si>
  <si>
    <t xml:space="preserve">goldingen rubl</t>
  </si>
  <si>
    <t xml:space="preserve">fr4085</t>
  </si>
  <si>
    <t xml:space="preserve">korwazki</t>
  </si>
  <si>
    <t xml:space="preserve">wasili</t>
  </si>
  <si>
    <t xml:space="preserve">ananiew rubland</t>
  </si>
  <si>
    <t xml:space="preserve">fr4118</t>
  </si>
  <si>
    <t xml:space="preserve">spitzner</t>
  </si>
  <si>
    <t xml:space="preserve">justus</t>
  </si>
  <si>
    <t xml:space="preserve">dresden</t>
  </si>
  <si>
    <t xml:space="preserve">fr4135</t>
  </si>
  <si>
    <t xml:space="preserve">balasinovici</t>
  </si>
  <si>
    <t xml:space="preserve">eugeniu</t>
  </si>
  <si>
    <t xml:space="preserve">cordareni rumii</t>
  </si>
  <si>
    <t xml:space="preserve">fr4279</t>
  </si>
  <si>
    <t xml:space="preserve">hilgenberg</t>
  </si>
  <si>
    <t xml:space="preserve">hermann</t>
  </si>
  <si>
    <t xml:space="preserve">cassel preuben</t>
  </si>
  <si>
    <t xml:space="preserve">fr4298</t>
  </si>
  <si>
    <t xml:space="preserve">kulbach</t>
  </si>
  <si>
    <t xml:space="preserve">tabbifer rubland</t>
  </si>
  <si>
    <t xml:space="preserve">fr4344</t>
  </si>
  <si>
    <t xml:space="preserve">schott</t>
  </si>
  <si>
    <t xml:space="preserve">fr4412</t>
  </si>
  <si>
    <t xml:space="preserve">v kupffer</t>
  </si>
  <si>
    <t xml:space="preserve">moskau</t>
  </si>
  <si>
    <t xml:space="preserve">fr4477</t>
  </si>
  <si>
    <t xml:space="preserve">dabkowicz</t>
  </si>
  <si>
    <t xml:space="preserve">jan</t>
  </si>
  <si>
    <t xml:space="preserve">warschau</t>
  </si>
  <si>
    <t xml:space="preserve">fr4540</t>
  </si>
  <si>
    <t xml:space="preserve">v neyman</t>
  </si>
  <si>
    <t xml:space="preserve">kasimir</t>
  </si>
  <si>
    <t xml:space="preserve">kharkov ukraine</t>
  </si>
  <si>
    <t xml:space="preserve">fr4545</t>
  </si>
  <si>
    <t xml:space="preserve">goslar preu en</t>
  </si>
  <si>
    <t xml:space="preserve">fr4602</t>
  </si>
  <si>
    <t xml:space="preserve">brill</t>
  </si>
  <si>
    <t xml:space="preserve">jassy rum</t>
  </si>
  <si>
    <t xml:space="preserve">fr4648</t>
  </si>
  <si>
    <t xml:space="preserve">konjaroff</t>
  </si>
  <si>
    <t xml:space="preserve">georgi</t>
  </si>
  <si>
    <t xml:space="preserve">plowdir bulgarien</t>
  </si>
  <si>
    <t xml:space="preserve">fr4685</t>
  </si>
  <si>
    <t xml:space="preserve">popoff</t>
  </si>
  <si>
    <t xml:space="preserve">irkutsk rubland</t>
  </si>
  <si>
    <t xml:space="preserve">fr4714</t>
  </si>
  <si>
    <t xml:space="preserve">steinberg</t>
  </si>
  <si>
    <t xml:space="preserve">wladimir</t>
  </si>
  <si>
    <t xml:space="preserve">odessa rubland</t>
  </si>
  <si>
    <t xml:space="preserve">fr4839</t>
  </si>
  <si>
    <t xml:space="preserve">singher</t>
  </si>
  <si>
    <t xml:space="preserve">leibu</t>
  </si>
  <si>
    <t xml:space="preserve">vaslui rum</t>
  </si>
  <si>
    <t xml:space="preserve">fr4958</t>
  </si>
  <si>
    <t xml:space="preserve">browne</t>
  </si>
  <si>
    <t xml:space="preserve">fr4979</t>
  </si>
  <si>
    <t xml:space="preserve">gorenstein</t>
  </si>
  <si>
    <t xml:space="preserve">nachim</t>
  </si>
  <si>
    <t xml:space="preserve">kiew rubland</t>
  </si>
  <si>
    <t xml:space="preserve">fr4989</t>
  </si>
  <si>
    <t xml:space="preserve">jones</t>
  </si>
  <si>
    <t xml:space="preserve">sidney</t>
  </si>
  <si>
    <t xml:space="preserve">kapstadt stidafrika</t>
  </si>
  <si>
    <t xml:space="preserve">fr5058</t>
  </si>
  <si>
    <t xml:space="preserve">warnecke</t>
  </si>
  <si>
    <t xml:space="preserve">hornhausen preuben</t>
  </si>
  <si>
    <t xml:space="preserve">fr5112</t>
  </si>
  <si>
    <t xml:space="preserve">glockler</t>
  </si>
  <si>
    <t xml:space="preserve">adam</t>
  </si>
  <si>
    <t xml:space="preserve">wasserau rubi</t>
  </si>
  <si>
    <t xml:space="preserve">fr5129</t>
  </si>
  <si>
    <t xml:space="preserve">johnson</t>
  </si>
  <si>
    <t xml:space="preserve">bernard</t>
  </si>
  <si>
    <t xml:space="preserve">angas</t>
  </si>
  <si>
    <t xml:space="preserve">london england</t>
  </si>
  <si>
    <t xml:space="preserve">fr5176</t>
  </si>
  <si>
    <t xml:space="preserve">ralff</t>
  </si>
  <si>
    <t xml:space="preserve">eugen</t>
  </si>
  <si>
    <t xml:space="preserve">belopolie rubland</t>
  </si>
  <si>
    <t xml:space="preserve">fr5208</t>
  </si>
  <si>
    <t xml:space="preserve">v gel</t>
  </si>
  <si>
    <t xml:space="preserve">herbert</t>
  </si>
  <si>
    <t xml:space="preserve">herbert dresden</t>
  </si>
  <si>
    <t xml:space="preserve">fr5214</t>
  </si>
  <si>
    <t xml:space="preserve">weise</t>
  </si>
  <si>
    <t xml:space="preserve">gerhard</t>
  </si>
  <si>
    <t xml:space="preserve">oskar</t>
  </si>
  <si>
    <t xml:space="preserve">sayda</t>
  </si>
  <si>
    <t xml:space="preserve">fr5230</t>
  </si>
  <si>
    <t xml:space="preserve">brandt</t>
  </si>
  <si>
    <t xml:space="preserve">rudolf</t>
  </si>
  <si>
    <t xml:space="preserve">zwickau sachsen</t>
  </si>
  <si>
    <t xml:space="preserve">fr5368</t>
  </si>
  <si>
    <t xml:space="preserve">ficker</t>
  </si>
  <si>
    <t xml:space="preserve">kurt</t>
  </si>
  <si>
    <t xml:space="preserve">johannes</t>
  </si>
  <si>
    <t xml:space="preserve">johannes dresden</t>
  </si>
  <si>
    <t xml:space="preserve">fr5413</t>
  </si>
  <si>
    <t xml:space="preserve">molls</t>
  </si>
  <si>
    <t xml:space="preserve">otto</t>
  </si>
  <si>
    <t xml:space="preserve">nowapraga b</t>
  </si>
  <si>
    <t xml:space="preserve">fr5415</t>
  </si>
  <si>
    <t xml:space="preserve">moshaizew</t>
  </si>
  <si>
    <t xml:space="preserve">andreas</t>
  </si>
  <si>
    <t xml:space="preserve">lwowitsch</t>
  </si>
  <si>
    <t xml:space="preserve">kotelniki russia</t>
  </si>
  <si>
    <t xml:space="preserve">fr5464</t>
  </si>
  <si>
    <t xml:space="preserve">beck</t>
  </si>
  <si>
    <t xml:space="preserve">felix</t>
  </si>
  <si>
    <t xml:space="preserve">sachsen</t>
  </si>
  <si>
    <t xml:space="preserve">fr5773</t>
  </si>
  <si>
    <t xml:space="preserve">nette</t>
  </si>
  <si>
    <t xml:space="preserve">oberschlema sachsen</t>
  </si>
  <si>
    <t xml:space="preserve">fr5791</t>
  </si>
  <si>
    <t xml:space="preserve">schonfelder</t>
  </si>
  <si>
    <t xml:space="preserve">holzminden braunschweig</t>
  </si>
  <si>
    <t xml:space="preserve">fr5797</t>
  </si>
  <si>
    <t xml:space="preserve">schwirkus</t>
  </si>
  <si>
    <t xml:space="preserve">fr5923</t>
  </si>
  <si>
    <t xml:space="preserve">glanzberg</t>
  </si>
  <si>
    <t xml:space="preserve">erwin</t>
  </si>
  <si>
    <t xml:space="preserve">grillenburg sachsen</t>
  </si>
  <si>
    <t xml:space="preserve">fr6000</t>
  </si>
  <si>
    <t xml:space="preserve">wiirfel</t>
  </si>
  <si>
    <t xml:space="preserve">alwin</t>
  </si>
  <si>
    <t xml:space="preserve">gotthard</t>
  </si>
  <si>
    <t xml:space="preserve">li ibau sachsen</t>
  </si>
  <si>
    <t xml:space="preserve">fr6022</t>
  </si>
  <si>
    <t xml:space="preserve">wiegemann</t>
  </si>
  <si>
    <t xml:space="preserve">rosa</t>
  </si>
  <si>
    <t xml:space="preserve">fr6034</t>
  </si>
  <si>
    <t xml:space="preserve">geuthner</t>
  </si>
  <si>
    <t xml:space="preserve">leipzig</t>
  </si>
  <si>
    <t xml:space="preserve">fr6061</t>
  </si>
  <si>
    <t xml:space="preserve">mtiller</t>
  </si>
  <si>
    <t xml:space="preserve">merchant</t>
  </si>
  <si>
    <t xml:space="preserve">zitzau</t>
  </si>
  <si>
    <t xml:space="preserve">fr6080</t>
  </si>
  <si>
    <t xml:space="preserve">schleiz germany</t>
  </si>
  <si>
    <t xml:space="preserve">fr6093</t>
  </si>
  <si>
    <t xml:space="preserve">dachselt</t>
  </si>
  <si>
    <t xml:space="preserve">freiberg sa</t>
  </si>
  <si>
    <t xml:space="preserve">fr6127</t>
  </si>
  <si>
    <t xml:space="preserve">klinger</t>
  </si>
  <si>
    <t xml:space="preserve">kau frnann</t>
  </si>
  <si>
    <t xml:space="preserve">fr6166</t>
  </si>
  <si>
    <t xml:space="preserve">rautenberg</t>
  </si>
  <si>
    <t xml:space="preserve">pastor</t>
  </si>
  <si>
    <t xml:space="preserve">fr6317</t>
  </si>
  <si>
    <t xml:space="preserve">raber</t>
  </si>
  <si>
    <t xml:space="preserve">schwyz switzerland</t>
  </si>
  <si>
    <t xml:space="preserve">fr6540</t>
  </si>
  <si>
    <t xml:space="preserve">gri rnmig</t>
  </si>
  <si>
    <t xml:space="preserve">hans</t>
  </si>
  <si>
    <t xml:space="preserve">weibwasser kr</t>
  </si>
  <si>
    <t xml:space="preserve">fr6653</t>
  </si>
  <si>
    <t xml:space="preserve">berg</t>
  </si>
  <si>
    <t xml:space="preserve">dortmund</t>
  </si>
  <si>
    <t xml:space="preserve">fr6705</t>
  </si>
  <si>
    <t xml:space="preserve">hinkel</t>
  </si>
  <si>
    <t xml:space="preserve">fr6720</t>
  </si>
  <si>
    <t xml:space="preserve">kebner</t>
  </si>
  <si>
    <t xml:space="preserve">riga lettland</t>
  </si>
  <si>
    <t xml:space="preserve">fr6949</t>
  </si>
  <si>
    <t xml:space="preserve">meyer</t>
  </si>
  <si>
    <t xml:space="preserve">fr6951</t>
  </si>
  <si>
    <t xml:space="preserve">muller</t>
  </si>
  <si>
    <t xml:space="preserve">goppingen</t>
  </si>
  <si>
    <t xml:space="preserve">fr7118</t>
  </si>
  <si>
    <t xml:space="preserve">maucher</t>
  </si>
  <si>
    <t xml:space="preserve">fr7152</t>
  </si>
  <si>
    <t xml:space="preserve">kimse</t>
  </si>
  <si>
    <t xml:space="preserve">werner</t>
  </si>
  <si>
    <t xml:space="preserve">dill lngen</t>
  </si>
  <si>
    <t xml:space="preserve">fr7183</t>
  </si>
  <si>
    <t xml:space="preserve">herrmanns</t>
  </si>
  <si>
    <t xml:space="preserve">owner</t>
  </si>
  <si>
    <t xml:space="preserve">grobauheim b</t>
  </si>
  <si>
    <t xml:space="preserve">fr7202</t>
  </si>
  <si>
    <t xml:space="preserve">wolfgang</t>
  </si>
  <si>
    <t xml:space="preserve">annaberg erzgeb</t>
  </si>
  <si>
    <t xml:space="preserve">fr7207</t>
  </si>
  <si>
    <t xml:space="preserve">steck</t>
  </si>
  <si>
    <t xml:space="preserve">gunter</t>
  </si>
  <si>
    <t xml:space="preserve">biebrioh ruhr</t>
  </si>
  <si>
    <t xml:space="preserve">fr7222</t>
  </si>
  <si>
    <t xml:space="preserve">leon</t>
  </si>
  <si>
    <t xml:space="preserve">falticeni rur</t>
  </si>
  <si>
    <t xml:space="preserve">fr7226</t>
  </si>
  <si>
    <t xml:space="preserve">kraghwehn</t>
  </si>
  <si>
    <t xml:space="preserve">oslo</t>
  </si>
  <si>
    <t xml:space="preserve">fr7267</t>
  </si>
  <si>
    <t xml:space="preserve">knackstedt</t>
  </si>
  <si>
    <t xml:space="preserve">zeitz</t>
  </si>
  <si>
    <t xml:space="preserve">mi19434</t>
  </si>
  <si>
    <t xml:space="preserve">michcoll</t>
  </si>
  <si>
    <t xml:space="preserve">hamilton</t>
  </si>
  <si>
    <t xml:space="preserve">houghton mich</t>
  </si>
  <si>
    <t xml:space="preserve">mi27853</t>
  </si>
  <si>
    <t xml:space="preserve">longshore</t>
  </si>
  <si>
    <t xml:space="preserve">mi46377</t>
  </si>
  <si>
    <t xml:space="preserve">mi7654</t>
  </si>
  <si>
    <t xml:space="preserve">cavazos</t>
  </si>
  <si>
    <t xml:space="preserve">mitg11841</t>
  </si>
  <si>
    <t xml:space="preserve">MIT</t>
  </si>
  <si>
    <t xml:space="preserve">hughe</t>
  </si>
  <si>
    <t xml:space="preserve">mitg12098</t>
  </si>
  <si>
    <t xml:space="preserve">ilall</t>
  </si>
  <si>
    <t xml:space="preserve">mitg12140</t>
  </si>
  <si>
    <t xml:space="preserve">inglesias</t>
  </si>
  <si>
    <t xml:space="preserve">mitg12435</t>
  </si>
  <si>
    <t xml:space="preserve">v</t>
  </si>
  <si>
    <t xml:space="preserve">hilo hawaii</t>
  </si>
  <si>
    <t xml:space="preserve">mitg1246</t>
  </si>
  <si>
    <t xml:space="preserve">barr</t>
  </si>
  <si>
    <t xml:space="preserve">new york city new york</t>
  </si>
  <si>
    <t xml:space="preserve">mitg12629</t>
  </si>
  <si>
    <t xml:space="preserve">joyce</t>
  </si>
  <si>
    <t xml:space="preserve">clarence</t>
  </si>
  <si>
    <t xml:space="preserve">mitg12658</t>
  </si>
  <si>
    <t xml:space="preserve">kalbach</t>
  </si>
  <si>
    <t xml:space="preserve">lee</t>
  </si>
  <si>
    <t xml:space="preserve">oskaloosa iowa</t>
  </si>
  <si>
    <t xml:space="preserve">mitg13025</t>
  </si>
  <si>
    <t xml:space="preserve">killam</t>
  </si>
  <si>
    <t xml:space="preserve">mitg13663</t>
  </si>
  <si>
    <t xml:space="preserve">lazenby</t>
  </si>
  <si>
    <t xml:space="preserve">chicago illinois</t>
  </si>
  <si>
    <t xml:space="preserve">mitg14088</t>
  </si>
  <si>
    <t xml:space="preserve">llarkness</t>
  </si>
  <si>
    <t xml:space="preserve">mitg14233</t>
  </si>
  <si>
    <t xml:space="preserve">look</t>
  </si>
  <si>
    <t xml:space="preserve">moses</t>
  </si>
  <si>
    <t xml:space="preserve">brown station new york</t>
  </si>
  <si>
    <t xml:space="preserve">mitg15258</t>
  </si>
  <si>
    <t xml:space="preserve">mayo</t>
  </si>
  <si>
    <t xml:space="preserve">lincoln</t>
  </si>
  <si>
    <t xml:space="preserve">mitg16107</t>
  </si>
  <si>
    <t xml:space="preserve">amalfi colombia</t>
  </si>
  <si>
    <t xml:space="preserve">mitg16348</t>
  </si>
  <si>
    <t xml:space="preserve">new haven connecticut</t>
  </si>
  <si>
    <t xml:space="preserve">mitg17152</t>
  </si>
  <si>
    <t xml:space="preserve">orcm</t>
  </si>
  <si>
    <t xml:space="preserve">mitg1742</t>
  </si>
  <si>
    <t xml:space="preserve">berge</t>
  </si>
  <si>
    <t xml:space="preserve">mitg18153</t>
  </si>
  <si>
    <t xml:space="preserve">place</t>
  </si>
  <si>
    <t xml:space="preserve">adolph</t>
  </si>
  <si>
    <t xml:space="preserve">mexico city mexico</t>
  </si>
  <si>
    <t xml:space="preserve">mitg19939</t>
  </si>
  <si>
    <t xml:space="preserve">mitg207</t>
  </si>
  <si>
    <t xml:space="preserve">albr</t>
  </si>
  <si>
    <t xml:space="preserve">mitg21128</t>
  </si>
  <si>
    <t xml:space="preserve">frederic</t>
  </si>
  <si>
    <t xml:space="preserve">cudahy wisconsin</t>
  </si>
  <si>
    <t xml:space="preserve">mitg21649</t>
  </si>
  <si>
    <t xml:space="preserve">stanley</t>
  </si>
  <si>
    <t xml:space="preserve">salem massachusetts</t>
  </si>
  <si>
    <t xml:space="preserve">mitg21847</t>
  </si>
  <si>
    <t xml:space="preserve">stevens</t>
  </si>
  <si>
    <t xml:space="preserve">quinebaug connecticut</t>
  </si>
  <si>
    <t xml:space="preserve">mitg2350</t>
  </si>
  <si>
    <t xml:space="preserve">bovnton</t>
  </si>
  <si>
    <t xml:space="preserve">mitg23524</t>
  </si>
  <si>
    <t xml:space="preserve">veaton</t>
  </si>
  <si>
    <t xml:space="preserve">mitg24278</t>
  </si>
  <si>
    <t xml:space="preserve">mitg24452</t>
  </si>
  <si>
    <t xml:space="preserve">weymouth</t>
  </si>
  <si>
    <t xml:space="preserve">northampton pennsylvania</t>
  </si>
  <si>
    <t xml:space="preserve">mitg24892</t>
  </si>
  <si>
    <t xml:space="preserve">david</t>
  </si>
  <si>
    <t xml:space="preserve">johannesburg africa south</t>
  </si>
  <si>
    <t xml:space="preserve">mitg3556</t>
  </si>
  <si>
    <t xml:space="preserve">calkins</t>
  </si>
  <si>
    <t xml:space="preserve">gary</t>
  </si>
  <si>
    <t xml:space="preserve">mitg4687</t>
  </si>
  <si>
    <t xml:space="preserve">coffin</t>
  </si>
  <si>
    <t xml:space="preserve">mitg534</t>
  </si>
  <si>
    <t xml:space="preserve">angus</t>
  </si>
  <si>
    <t xml:space="preserve">mitg5966</t>
  </si>
  <si>
    <t xml:space="preserve">mitg6265</t>
  </si>
  <si>
    <t xml:space="preserve">derr</t>
  </si>
  <si>
    <t xml:space="preserve">louis</t>
  </si>
  <si>
    <t xml:space="preserve">mitg7525</t>
  </si>
  <si>
    <t xml:space="preserve">fallon</t>
  </si>
  <si>
    <t xml:space="preserve">nugent</t>
  </si>
  <si>
    <t xml:space="preserve">lynn massachusetts</t>
  </si>
  <si>
    <t xml:space="preserve">mitg78</t>
  </si>
  <si>
    <t xml:space="preserve">spencer massachusetts</t>
  </si>
  <si>
    <t xml:space="preserve">mitg8891</t>
  </si>
  <si>
    <t xml:space="preserve">gi</t>
  </si>
  <si>
    <t xml:space="preserve">mitg9825</t>
  </si>
  <si>
    <t xml:space="preserve">hale</t>
  </si>
  <si>
    <t xml:space="preserve">pasadena california</t>
  </si>
  <si>
    <t xml:space="preserve">mitg9835</t>
  </si>
  <si>
    <t xml:space="preserve">newburyport massachusetts</t>
  </si>
  <si>
    <t xml:space="preserve">mito10010</t>
  </si>
  <si>
    <t xml:space="preserve">gilmore</t>
  </si>
  <si>
    <t xml:space="preserve">luther</t>
  </si>
  <si>
    <t xml:space="preserve">with s g flagg</t>
  </si>
  <si>
    <t xml:space="preserve">mito10036</t>
  </si>
  <si>
    <t xml:space="preserve">messinger</t>
  </si>
  <si>
    <t xml:space="preserve">physician</t>
  </si>
  <si>
    <t xml:space="preserve">mito10190</t>
  </si>
  <si>
    <t xml:space="preserve">aumack</t>
  </si>
  <si>
    <t xml:space="preserve">alma</t>
  </si>
  <si>
    <t xml:space="preserve">mito10303</t>
  </si>
  <si>
    <t xml:space="preserve">gilson</t>
  </si>
  <si>
    <t xml:space="preserve">expert</t>
  </si>
  <si>
    <t xml:space="preserve">mito10448</t>
  </si>
  <si>
    <t xml:space="preserve">krueger</t>
  </si>
  <si>
    <t xml:space="preserve">mrs</t>
  </si>
  <si>
    <t xml:space="preserve">mito10529</t>
  </si>
  <si>
    <t xml:space="preserve">holmes</t>
  </si>
  <si>
    <t xml:space="preserve">mito10559</t>
  </si>
  <si>
    <t xml:space="preserve">ayer</t>
  </si>
  <si>
    <t xml:space="preserve">mito10649</t>
  </si>
  <si>
    <t xml:space="preserve">taber</t>
  </si>
  <si>
    <t xml:space="preserve">edward</t>
  </si>
  <si>
    <t xml:space="preserve">mito10768</t>
  </si>
  <si>
    <t xml:space="preserve">fairchild</t>
  </si>
  <si>
    <t xml:space="preserve">mito10890</t>
  </si>
  <si>
    <t xml:space="preserve">laforest</t>
  </si>
  <si>
    <t xml:space="preserve">mito11015</t>
  </si>
  <si>
    <t xml:space="preserve">norris</t>
  </si>
  <si>
    <t xml:space="preserve">wilfred</t>
  </si>
  <si>
    <t xml:space="preserve">architect</t>
  </si>
  <si>
    <t xml:space="preserve">mito11041</t>
  </si>
  <si>
    <t xml:space="preserve">kershaw</t>
  </si>
  <si>
    <t xml:space="preserve">mito11272</t>
  </si>
  <si>
    <t xml:space="preserve">wright</t>
  </si>
  <si>
    <t xml:space="preserve">julian</t>
  </si>
  <si>
    <t xml:space="preserve">lawyer</t>
  </si>
  <si>
    <t xml:space="preserve">mito11457</t>
  </si>
  <si>
    <t xml:space="preserve">mathesius</t>
  </si>
  <si>
    <t xml:space="preserve">mito11589</t>
  </si>
  <si>
    <t xml:space="preserve">howes</t>
  </si>
  <si>
    <t xml:space="preserve">ralph</t>
  </si>
  <si>
    <t xml:space="preserve">mito11684</t>
  </si>
  <si>
    <t xml:space="preserve">fogerty</t>
  </si>
  <si>
    <t xml:space="preserve">emory</t>
  </si>
  <si>
    <t xml:space="preserve">mito11688</t>
  </si>
  <si>
    <t xml:space="preserve">mito11745</t>
  </si>
  <si>
    <t xml:space="preserve">du pont</t>
  </si>
  <si>
    <t xml:space="preserve">mito1183</t>
  </si>
  <si>
    <t xml:space="preserve">sears</t>
  </si>
  <si>
    <t xml:space="preserve">assistant</t>
  </si>
  <si>
    <t xml:space="preserve">assistant lockwood greene co.</t>
  </si>
  <si>
    <t xml:space="preserve">mito11905</t>
  </si>
  <si>
    <t xml:space="preserve">mito12139</t>
  </si>
  <si>
    <t xml:space="preserve">mito12147</t>
  </si>
  <si>
    <t xml:space="preserve">cole</t>
  </si>
  <si>
    <t xml:space="preserve">rhoda</t>
  </si>
  <si>
    <t xml:space="preserve">mito1218</t>
  </si>
  <si>
    <t xml:space="preserve">warren</t>
  </si>
  <si>
    <t xml:space="preserve">of warren gerrish archi</t>
  </si>
  <si>
    <t xml:space="preserve">mito1220</t>
  </si>
  <si>
    <t xml:space="preserve">wattles</t>
  </si>
  <si>
    <t xml:space="preserve">edison electric illuminating co.</t>
  </si>
  <si>
    <t xml:space="preserve">mito1248</t>
  </si>
  <si>
    <t xml:space="preserve">with directors of port</t>
  </si>
  <si>
    <t xml:space="preserve">mito12514</t>
  </si>
  <si>
    <t xml:space="preserve">mito12611</t>
  </si>
  <si>
    <t xml:space="preserve">youngerman</t>
  </si>
  <si>
    <t xml:space="preserve">conrad</t>
  </si>
  <si>
    <t xml:space="preserve">mito12643</t>
  </si>
  <si>
    <t xml:space="preserve">mito12666</t>
  </si>
  <si>
    <t xml:space="preserve">hammond</t>
  </si>
  <si>
    <t xml:space="preserve">mito1279</t>
  </si>
  <si>
    <t xml:space="preserve">drummey</t>
  </si>
  <si>
    <t xml:space="preserve">accountant</t>
  </si>
  <si>
    <t xml:space="preserve">haven hartford railroad co.</t>
  </si>
  <si>
    <t xml:space="preserve">mito12810</t>
  </si>
  <si>
    <t xml:space="preserve">boush</t>
  </si>
  <si>
    <t xml:space="preserve">kenneth</t>
  </si>
  <si>
    <t xml:space="preserve">mito12884</t>
  </si>
  <si>
    <t xml:space="preserve">drake</t>
  </si>
  <si>
    <t xml:space="preserve">mito12952</t>
  </si>
  <si>
    <t xml:space="preserve">hansen</t>
  </si>
  <si>
    <t xml:space="preserve">mito12998</t>
  </si>
  <si>
    <t xml:space="preserve">joslin</t>
  </si>
  <si>
    <t xml:space="preserve">mito13003</t>
  </si>
  <si>
    <t xml:space="preserve">kendall</t>
  </si>
  <si>
    <t xml:space="preserve">sewall</t>
  </si>
  <si>
    <t xml:space="preserve">mito13362</t>
  </si>
  <si>
    <t xml:space="preserve">haley</t>
  </si>
  <si>
    <t xml:space="preserve">mito13473</t>
  </si>
  <si>
    <t xml:space="preserve">sparrow</t>
  </si>
  <si>
    <t xml:space="preserve">mito13522</t>
  </si>
  <si>
    <t xml:space="preserve">yoder</t>
  </si>
  <si>
    <t xml:space="preserve">bartolette</t>
  </si>
  <si>
    <t xml:space="preserve">mito13528</t>
  </si>
  <si>
    <t xml:space="preserve">abbott</t>
  </si>
  <si>
    <t xml:space="preserve">mito13750</t>
  </si>
  <si>
    <t xml:space="preserve">cutler</t>
  </si>
  <si>
    <t xml:space="preserve">ephraim</t>
  </si>
  <si>
    <t xml:space="preserve">mito13751</t>
  </si>
  <si>
    <t xml:space="preserve">cutting</t>
  </si>
  <si>
    <t xml:space="preserve">mito13809</t>
  </si>
  <si>
    <t xml:space="preserve">evans</t>
  </si>
  <si>
    <t xml:space="preserve">mito13835</t>
  </si>
  <si>
    <t xml:space="preserve">footman</t>
  </si>
  <si>
    <t xml:space="preserve">mito13924</t>
  </si>
  <si>
    <t xml:space="preserve">hastings</t>
  </si>
  <si>
    <t xml:space="preserve">mito13983</t>
  </si>
  <si>
    <t xml:space="preserve">jameson</t>
  </si>
  <si>
    <t xml:space="preserve">mito13997</t>
  </si>
  <si>
    <t xml:space="preserve">johnston</t>
  </si>
  <si>
    <t xml:space="preserve">mito14051</t>
  </si>
  <si>
    <t xml:space="preserve">lombard</t>
  </si>
  <si>
    <t xml:space="preserve">mito14059</t>
  </si>
  <si>
    <t xml:space="preserve">low</t>
  </si>
  <si>
    <t xml:space="preserve">mito14121</t>
  </si>
  <si>
    <t xml:space="preserve">minor</t>
  </si>
  <si>
    <t xml:space="preserve">mito14189</t>
  </si>
  <si>
    <t xml:space="preserve">parmenter</t>
  </si>
  <si>
    <t xml:space="preserve">mito14205</t>
  </si>
  <si>
    <t xml:space="preserve">mito14218</t>
  </si>
  <si>
    <t xml:space="preserve">pike</t>
  </si>
  <si>
    <t xml:space="preserve">mito14409</t>
  </si>
  <si>
    <t xml:space="preserve">tuttle</t>
  </si>
  <si>
    <t xml:space="preserve">mito14434</t>
  </si>
  <si>
    <t xml:space="preserve">ware</t>
  </si>
  <si>
    <t xml:space="preserve">mito1486</t>
  </si>
  <si>
    <t xml:space="preserve">sohier</t>
  </si>
  <si>
    <t xml:space="preserve">counselor</t>
  </si>
  <si>
    <t xml:space="preserve">massachusetts highway commission</t>
  </si>
  <si>
    <t xml:space="preserve">mito1624</t>
  </si>
  <si>
    <t xml:space="preserve">crocker</t>
  </si>
  <si>
    <t xml:space="preserve">calvin</t>
  </si>
  <si>
    <t xml:space="preserve">assistant engineer depart</t>
  </si>
  <si>
    <t xml:space="preserve">mito1794</t>
  </si>
  <si>
    <t xml:space="preserve">guy</t>
  </si>
  <si>
    <t xml:space="preserve">draftsman</t>
  </si>
  <si>
    <t xml:space="preserve">united states government balboa</t>
  </si>
  <si>
    <t xml:space="preserve">mito1840</t>
  </si>
  <si>
    <t xml:space="preserve">rich</t>
  </si>
  <si>
    <t xml:space="preserve">chester</t>
  </si>
  <si>
    <t xml:space="preserve">orchardist and school</t>
  </si>
  <si>
    <t xml:space="preserve">mito189</t>
  </si>
  <si>
    <t xml:space="preserve">welbourn</t>
  </si>
  <si>
    <t xml:space="preserve">superintendent rennous kleinle co.</t>
  </si>
  <si>
    <t xml:space="preserve">mito2039</t>
  </si>
  <si>
    <t xml:space="preserve">burnham</t>
  </si>
  <si>
    <t xml:space="preserve">wholesale hair depart</t>
  </si>
  <si>
    <t xml:space="preserve">mito2234</t>
  </si>
  <si>
    <t xml:space="preserve">rickey</t>
  </si>
  <si>
    <t xml:space="preserve">singer manufac turing co.</t>
  </si>
  <si>
    <t xml:space="preserve">mito2376</t>
  </si>
  <si>
    <t xml:space="preserve">detroit edison illuminating co.</t>
  </si>
  <si>
    <t xml:space="preserve">mito2474</t>
  </si>
  <si>
    <t xml:space="preserve">dennison</t>
  </si>
  <si>
    <t xml:space="preserve">chemist</t>
  </si>
  <si>
    <t xml:space="preserve">chemist american rubber co.</t>
  </si>
  <si>
    <t xml:space="preserve">mito2562</t>
  </si>
  <si>
    <t xml:space="preserve">raymond</t>
  </si>
  <si>
    <t xml:space="preserve">england gas coke co.</t>
  </si>
  <si>
    <t xml:space="preserve">mito2625</t>
  </si>
  <si>
    <t xml:space="preserve">mauran</t>
  </si>
  <si>
    <t xml:space="preserve">castner electrolytic alkali co.</t>
  </si>
  <si>
    <t xml:space="preserve">mito2765</t>
  </si>
  <si>
    <t xml:space="preserve">anderson</t>
  </si>
  <si>
    <t xml:space="preserve">president electric boat co.</t>
  </si>
  <si>
    <t xml:space="preserve">mito2779</t>
  </si>
  <si>
    <t xml:space="preserve">hart</t>
  </si>
  <si>
    <t xml:space="preserve">engineer canadian westinghouse co.</t>
  </si>
  <si>
    <t xml:space="preserve">mito2841</t>
  </si>
  <si>
    <t xml:space="preserve">gentner</t>
  </si>
  <si>
    <t xml:space="preserve">commissioners engineering depart</t>
  </si>
  <si>
    <t xml:space="preserve">mito312</t>
  </si>
  <si>
    <t xml:space="preserve">jackson</t>
  </si>
  <si>
    <t xml:space="preserve">daniel</t>
  </si>
  <si>
    <t xml:space="preserve">united shoe machinery co.</t>
  </si>
  <si>
    <t xml:space="preserve">mito3136</t>
  </si>
  <si>
    <t xml:space="preserve">hamblet</t>
  </si>
  <si>
    <t xml:space="preserve">proprietor</t>
  </si>
  <si>
    <t xml:space="preserve">proprietor hamblet machine co.</t>
  </si>
  <si>
    <t xml:space="preserve">mito3162</t>
  </si>
  <si>
    <t xml:space="preserve">patten</t>
  </si>
  <si>
    <t xml:space="preserve">pulp and paper co.</t>
  </si>
  <si>
    <t xml:space="preserve">mito323</t>
  </si>
  <si>
    <t xml:space="preserve">states treasury depart</t>
  </si>
  <si>
    <t xml:space="preserve">mito3237</t>
  </si>
  <si>
    <t xml:space="preserve">pead</t>
  </si>
  <si>
    <t xml:space="preserve">lowell gas light co.</t>
  </si>
  <si>
    <t xml:space="preserve">mito3304</t>
  </si>
  <si>
    <t xml:space="preserve">cummings</t>
  </si>
  <si>
    <t xml:space="preserve">of mathematics depart</t>
  </si>
  <si>
    <t xml:space="preserve">mito334</t>
  </si>
  <si>
    <t xml:space="preserve">paessler</t>
  </si>
  <si>
    <t xml:space="preserve">vinton</t>
  </si>
  <si>
    <t xml:space="preserve">principal barlow school</t>
  </si>
  <si>
    <t xml:space="preserve">mito3509</t>
  </si>
  <si>
    <t xml:space="preserve">berliner</t>
  </si>
  <si>
    <t xml:space="preserve">the berliner gramophone co.</t>
  </si>
  <si>
    <t xml:space="preserve">mito3538</t>
  </si>
  <si>
    <t xml:space="preserve">gray</t>
  </si>
  <si>
    <t xml:space="preserve">curtis</t>
  </si>
  <si>
    <t xml:space="preserve">manager vulcanized products co.</t>
  </si>
  <si>
    <t xml:space="preserve">mito3665</t>
  </si>
  <si>
    <t xml:space="preserve">valley sewage commission</t>
  </si>
  <si>
    <t xml:space="preserve">mito369</t>
  </si>
  <si>
    <t xml:space="preserve">breitzke</t>
  </si>
  <si>
    <t xml:space="preserve">of water depart</t>
  </si>
  <si>
    <t xml:space="preserve">mito3754</t>
  </si>
  <si>
    <t xml:space="preserve">capen</t>
  </si>
  <si>
    <t xml:space="preserve">bessie</t>
  </si>
  <si>
    <t xml:space="preserve">capen s school</t>
  </si>
  <si>
    <t xml:space="preserve">mito3778</t>
  </si>
  <si>
    <t xml:space="preserve">craven</t>
  </si>
  <si>
    <t xml:space="preserve">of ogden ogden utah</t>
  </si>
  <si>
    <t xml:space="preserve">mito4129</t>
  </si>
  <si>
    <t xml:space="preserve">munroe</t>
  </si>
  <si>
    <t xml:space="preserve">light and power co.</t>
  </si>
  <si>
    <t xml:space="preserve">mito429</t>
  </si>
  <si>
    <t xml:space="preserve">shepherd</t>
  </si>
  <si>
    <t xml:space="preserve">boston maine railroad</t>
  </si>
  <si>
    <t xml:space="preserve">mito470</t>
  </si>
  <si>
    <t xml:space="preserve">rowe</t>
  </si>
  <si>
    <t xml:space="preserve">allan</t>
  </si>
  <si>
    <t xml:space="preserve">professor</t>
  </si>
  <si>
    <t xml:space="preserve">of chemistry boston university</t>
  </si>
  <si>
    <t xml:space="preserve">mito4859</t>
  </si>
  <si>
    <t xml:space="preserve">rounds</t>
  </si>
  <si>
    <t xml:space="preserve">tacoma railway power co.</t>
  </si>
  <si>
    <t xml:space="preserve">mito4919</t>
  </si>
  <si>
    <t xml:space="preserve">schaffer</t>
  </si>
  <si>
    <t xml:space="preserve">mito4956</t>
  </si>
  <si>
    <t xml:space="preserve">litchman</t>
  </si>
  <si>
    <t xml:space="preserve">ing and drawing university</t>
  </si>
  <si>
    <t xml:space="preserve">mito5246</t>
  </si>
  <si>
    <t xml:space="preserve">haynes</t>
  </si>
  <si>
    <t xml:space="preserve">winthrop</t>
  </si>
  <si>
    <t xml:space="preserve">in geology harvard university</t>
  </si>
  <si>
    <t xml:space="preserve">mito5262</t>
  </si>
  <si>
    <t xml:space="preserve">comstock</t>
  </si>
  <si>
    <t xml:space="preserve">with general electric co.</t>
  </si>
  <si>
    <t xml:space="preserve">mito5764</t>
  </si>
  <si>
    <t xml:space="preserve">mcquaid</t>
  </si>
  <si>
    <t xml:space="preserve">silk manufac turing co.</t>
  </si>
  <si>
    <t xml:space="preserve">mito5898</t>
  </si>
  <si>
    <t xml:space="preserve">bowles</t>
  </si>
  <si>
    <t xml:space="preserve">the carnegie steel co.</t>
  </si>
  <si>
    <t xml:space="preserve">mito5919</t>
  </si>
  <si>
    <t xml:space="preserve">scales</t>
  </si>
  <si>
    <t xml:space="preserve">giant portland cement co.</t>
  </si>
  <si>
    <t xml:space="preserve">mito5975</t>
  </si>
  <si>
    <t xml:space="preserve">dennett</t>
  </si>
  <si>
    <t xml:space="preserve">hartley</t>
  </si>
  <si>
    <t xml:space="preserve">mito5980</t>
  </si>
  <si>
    <t xml:space="preserve">coye</t>
  </si>
  <si>
    <t xml:space="preserve">mito6448</t>
  </si>
  <si>
    <t xml:space="preserve">with a h richardson</t>
  </si>
  <si>
    <t xml:space="preserve">mito6491</t>
  </si>
  <si>
    <t xml:space="preserve">mito6591</t>
  </si>
  <si>
    <t xml:space="preserve">harding</t>
  </si>
  <si>
    <t xml:space="preserve">mito6928</t>
  </si>
  <si>
    <t xml:space="preserve">harrington</t>
  </si>
  <si>
    <t xml:space="preserve">mito7339</t>
  </si>
  <si>
    <t xml:space="preserve">lunan</t>
  </si>
  <si>
    <t xml:space="preserve">mito7417</t>
  </si>
  <si>
    <t xml:space="preserve">hugelmann</t>
  </si>
  <si>
    <t xml:space="preserve">mito7858</t>
  </si>
  <si>
    <t xml:space="preserve">ferdinand</t>
  </si>
  <si>
    <t xml:space="preserve">mito7862</t>
  </si>
  <si>
    <t xml:space="preserve">conron</t>
  </si>
  <si>
    <t xml:space="preserve">mito8029</t>
  </si>
  <si>
    <t xml:space="preserve">spencer</t>
  </si>
  <si>
    <t xml:space="preserve">mito8078</t>
  </si>
  <si>
    <t xml:space="preserve">irish</t>
  </si>
  <si>
    <t xml:space="preserve">mito8213</t>
  </si>
  <si>
    <t xml:space="preserve">mito8309</t>
  </si>
  <si>
    <t xml:space="preserve">mito8422</t>
  </si>
  <si>
    <t xml:space="preserve">beal</t>
  </si>
  <si>
    <t xml:space="preserve">mito8518</t>
  </si>
  <si>
    <t xml:space="preserve">snell</t>
  </si>
  <si>
    <t xml:space="preserve">elmer</t>
  </si>
  <si>
    <t xml:space="preserve">mito8572</t>
  </si>
  <si>
    <t xml:space="preserve">hancock</t>
  </si>
  <si>
    <t xml:space="preserve">mito8610</t>
  </si>
  <si>
    <t xml:space="preserve">bohlen</t>
  </si>
  <si>
    <t xml:space="preserve">oscar</t>
  </si>
  <si>
    <t xml:space="preserve">mito8754</t>
  </si>
  <si>
    <t xml:space="preserve">cannon</t>
  </si>
  <si>
    <t xml:space="preserve">mito8775</t>
  </si>
  <si>
    <t xml:space="preserve">boardman</t>
  </si>
  <si>
    <t xml:space="preserve">jvajtpr</t>
  </si>
  <si>
    <t xml:space="preserve">mito8906</t>
  </si>
  <si>
    <t xml:space="preserve">hampton</t>
  </si>
  <si>
    <t xml:space="preserve">lawrence</t>
  </si>
  <si>
    <t xml:space="preserve">mito9088</t>
  </si>
  <si>
    <t xml:space="preserve">baker</t>
  </si>
  <si>
    <t xml:space="preserve">mito9256</t>
  </si>
  <si>
    <t xml:space="preserve">davila</t>
  </si>
  <si>
    <t xml:space="preserve">janaro</t>
  </si>
  <si>
    <t xml:space="preserve">mito9876</t>
  </si>
  <si>
    <t xml:space="preserve">speer</t>
  </si>
  <si>
    <t xml:space="preserve">farmer</t>
  </si>
  <si>
    <t xml:space="preserve">mo19909</t>
  </si>
  <si>
    <t xml:space="preserve">montana</t>
  </si>
  <si>
    <t xml:space="preserve">engineer's department</t>
  </si>
  <si>
    <t xml:space="preserve">city of butte.</t>
  </si>
  <si>
    <t xml:space="preserve">butte, mont.</t>
  </si>
  <si>
    <t xml:space="preserve">mo2718</t>
  </si>
  <si>
    <t xml:space="preserve">bassett</t>
  </si>
  <si>
    <t xml:space="preserve">montana school of mines</t>
  </si>
  <si>
    <t xml:space="preserve">mo42573</t>
  </si>
  <si>
    <t xml:space="preserve">butte</t>
  </si>
  <si>
    <t xml:space="preserve">mo43910</t>
  </si>
  <si>
    <t xml:space="preserve">stuewe</t>
  </si>
  <si>
    <t xml:space="preserve">pe14778</t>
  </si>
  <si>
    <t xml:space="preserve">pennstate</t>
  </si>
  <si>
    <t xml:space="preserve">fehl</t>
  </si>
  <si>
    <t xml:space="preserve">state college penn</t>
  </si>
  <si>
    <t xml:space="preserve">pe21347</t>
  </si>
  <si>
    <t xml:space="preserve">hildebrand</t>
  </si>
  <si>
    <t xml:space="preserve">rs10290</t>
  </si>
  <si>
    <t xml:space="preserve">rsm</t>
  </si>
  <si>
    <t xml:space="preserve">arsm</t>
  </si>
  <si>
    <t xml:space="preserve">ma</t>
  </si>
  <si>
    <t xml:space="preserve">cambridge</t>
  </si>
  <si>
    <t xml:space="preserve">trustee</t>
  </si>
  <si>
    <t xml:space="preserve">the australian museum</t>
  </si>
  <si>
    <t xml:space="preserve">naval architecture</t>
  </si>
  <si>
    <t xml:space="preserve">rs10385</t>
  </si>
  <si>
    <t xml:space="preserve">love</t>
  </si>
  <si>
    <t xml:space="preserve">gilkison</t>
  </si>
  <si>
    <t xml:space="preserve">co tavoy burma</t>
  </si>
  <si>
    <t xml:space="preserve">rs11178</t>
  </si>
  <si>
    <t xml:space="preserve">monteiro</t>
  </si>
  <si>
    <t xml:space="preserve">joachim</t>
  </si>
  <si>
    <t xml:space="preserve">royal school of mines</t>
  </si>
  <si>
    <t xml:space="preserve">rs1190</t>
  </si>
  <si>
    <t xml:space="preserve">cooke</t>
  </si>
  <si>
    <t xml:space="preserve">rs1251</t>
  </si>
  <si>
    <t xml:space="preserve">creswell</t>
  </si>
  <si>
    <t xml:space="preserve">assayer</t>
  </si>
  <si>
    <t xml:space="preserve">assayer the yuruaru co</t>
  </si>
  <si>
    <t xml:space="preserve">venezuela</t>
  </si>
  <si>
    <t xml:space="preserve">rs12766</t>
  </si>
  <si>
    <t xml:space="preserve">mimm</t>
  </si>
  <si>
    <t xml:space="preserve">fgs</t>
  </si>
  <si>
    <t xml:space="preserve">lecturer</t>
  </si>
  <si>
    <t xml:space="preserve">sydney</t>
  </si>
  <si>
    <t xml:space="preserve">rs13299</t>
  </si>
  <si>
    <t xml:space="preserve">tawerner</t>
  </si>
  <si>
    <t xml:space="preserve">rs14046</t>
  </si>
  <si>
    <t xml:space="preserve">arcs</t>
  </si>
  <si>
    <t xml:space="preserve">s neumann</t>
  </si>
  <si>
    <t xml:space="preserve">otago</t>
  </si>
  <si>
    <t xml:space="preserve">rs14231</t>
  </si>
  <si>
    <t xml:space="preserve">young</t>
  </si>
  <si>
    <t xml:space="preserve">edwin</t>
  </si>
  <si>
    <t xml:space="preserve">rs1559</t>
  </si>
  <si>
    <t xml:space="preserve">school</t>
  </si>
  <si>
    <t xml:space="preserve">st</t>
  </si>
  <si>
    <t xml:space="preserve">rs1778</t>
  </si>
  <si>
    <t xml:space="preserve">finch</t>
  </si>
  <si>
    <t xml:space="preserve">fred</t>
  </si>
  <si>
    <t xml:space="preserve">rs1866</t>
  </si>
  <si>
    <t xml:space="preserve">gilghrist</t>
  </si>
  <si>
    <t xml:space="preserve">carlyle</t>
  </si>
  <si>
    <t xml:space="preserve">3638556 tons</t>
  </si>
  <si>
    <t xml:space="preserve">rs2346</t>
  </si>
  <si>
    <t xml:space="preserve">harrison</t>
  </si>
  <si>
    <t xml:space="preserve">rs2696</t>
  </si>
  <si>
    <t xml:space="preserve">humpidge</t>
  </si>
  <si>
    <t xml:space="preserve">scholar</t>
  </si>
  <si>
    <t xml:space="preserve">rs2741</t>
  </si>
  <si>
    <t xml:space="preserve">iervis</t>
  </si>
  <si>
    <t xml:space="preserve">il</t>
  </si>
  <si>
    <t xml:space="preserve">cav</t>
  </si>
  <si>
    <t xml:space="preserve">master</t>
  </si>
  <si>
    <t xml:space="preserve">rs2927</t>
  </si>
  <si>
    <t xml:space="preserve">kitchener</t>
  </si>
  <si>
    <t xml:space="preserve">waiiii ivio grange dunback otago new zealand</t>
  </si>
  <si>
    <t xml:space="preserve">rs3070</t>
  </si>
  <si>
    <t xml:space="preserve">liversidge</t>
  </si>
  <si>
    <t xml:space="preserve">the sydney university</t>
  </si>
  <si>
    <t xml:space="preserve">rs3178</t>
  </si>
  <si>
    <t xml:space="preserve">mirza</t>
  </si>
  <si>
    <t xml:space="preserve">medhj</t>
  </si>
  <si>
    <t xml:space="preserve">khan</t>
  </si>
  <si>
    <t xml:space="preserve">author</t>
  </si>
  <si>
    <t xml:space="preserve">the nizarn</t>
  </si>
  <si>
    <t xml:space="preserve">rs3962</t>
  </si>
  <si>
    <t xml:space="preserve">riley</t>
  </si>
  <si>
    <t xml:space="preserve">other works</t>
  </si>
  <si>
    <t xml:space="preserve">rs4119</t>
  </si>
  <si>
    <t xml:space="preserve">saifeord</t>
  </si>
  <si>
    <t xml:space="preserve">cedars road clapham common london sw</t>
  </si>
  <si>
    <t xml:space="preserve">rs4304</t>
  </si>
  <si>
    <t xml:space="preserve">simpson</t>
  </si>
  <si>
    <t xml:space="preserve">matthew</t>
  </si>
  <si>
    <t xml:space="preserve">died</t>
  </si>
  <si>
    <t xml:space="preserve">engaged in gold mining died in british guiana on february th</t>
  </si>
  <si>
    <t xml:space="preserve">rs432</t>
  </si>
  <si>
    <t xml:space="preserve">becher</t>
  </si>
  <si>
    <t xml:space="preserve">pahang</t>
  </si>
  <si>
    <t xml:space="preserve">the gold quartz deposits of pahang</t>
  </si>
  <si>
    <t xml:space="preserve">rs4334</t>
  </si>
  <si>
    <t xml:space="preserve">smeeth</t>
  </si>
  <si>
    <t xml:space="preserve">rs4387</t>
  </si>
  <si>
    <t xml:space="preserve">spiller</t>
  </si>
  <si>
    <t xml:space="preserve">rs4472</t>
  </si>
  <si>
    <t xml:space="preserve">streatfeild</t>
  </si>
  <si>
    <t xml:space="preserve">hugh</t>
  </si>
  <si>
    <t xml:space="preserve">rs4530</t>
  </si>
  <si>
    <t xml:space="preserve">swinburne</t>
  </si>
  <si>
    <t xml:space="preserve">umfreville</t>
  </si>
  <si>
    <t xml:space="preserve">rs5936</t>
  </si>
  <si>
    <t xml:space="preserve">mgmi</t>
  </si>
  <si>
    <t xml:space="preserve">rs6089</t>
  </si>
  <si>
    <t xml:space="preserve">beringer</t>
  </si>
  <si>
    <t xml:space="preserve">the camborne school mine</t>
  </si>
  <si>
    <t xml:space="preserve">rs6200</t>
  </si>
  <si>
    <t xml:space="preserve">gregory</t>
  </si>
  <si>
    <t xml:space="preserve">rs6692</t>
  </si>
  <si>
    <t xml:space="preserve">aimm</t>
  </si>
  <si>
    <t xml:space="preserve">jan 1920 dept</t>
  </si>
  <si>
    <t xml:space="preserve">belgium</t>
  </si>
  <si>
    <t xml:space="preserve">rs6968</t>
  </si>
  <si>
    <t xml:space="preserve">forbes</t>
  </si>
  <si>
    <t xml:space="preserve">medallist</t>
  </si>
  <si>
    <t xml:space="preserve">links end ashford middlesex</t>
  </si>
  <si>
    <t xml:space="preserve">rs7419</t>
  </si>
  <si>
    <t xml:space="preserve">manager moss rose mine</t>
  </si>
  <si>
    <t xml:space="preserve">organ</t>
  </si>
  <si>
    <t xml:space="preserve">rs81</t>
  </si>
  <si>
    <t xml:space="preserve">adie</t>
  </si>
  <si>
    <t xml:space="preserve">haliburton</t>
  </si>
  <si>
    <t xml:space="preserve">rs8174</t>
  </si>
  <si>
    <t xml:space="preserve">la</t>
  </si>
  <si>
    <t xml:space="preserve">surveyor</t>
  </si>
  <si>
    <t xml:space="preserve">11 pahang consolidated co ltd</t>
  </si>
  <si>
    <t xml:space="preserve">mining co fms</t>
  </si>
  <si>
    <t xml:space="preserve">rs8299</t>
  </si>
  <si>
    <t xml:space="preserve">garrido</t>
  </si>
  <si>
    <t xml:space="preserve">1914 assistant demonstrator in mine</t>
  </si>
  <si>
    <t xml:space="preserve">surveying at rsm</t>
  </si>
  <si>
    <t xml:space="preserve">rs8761</t>
  </si>
  <si>
    <t xml:space="preserve">griffiths</t>
  </si>
  <si>
    <t xml:space="preserve">andre</t>
  </si>
  <si>
    <t xml:space="preserve">pierre</t>
  </si>
  <si>
    <t xml:space="preserve">99 manager oaheawai quicksilver mine</t>
  </si>
  <si>
    <t xml:space="preserve">italy</t>
  </si>
  <si>
    <t xml:space="preserve">st13192</t>
  </si>
  <si>
    <t xml:space="preserve">stanford</t>
  </si>
  <si>
    <t xml:space="preserve">dunbtan</t>
  </si>
  <si>
    <t xml:space="preserve">teacher</t>
  </si>
  <si>
    <t xml:space="preserve">cal.</t>
  </si>
  <si>
    <t xml:space="preserve">st18537</t>
  </si>
  <si>
    <t xml:space="preserve">gregg</t>
  </si>
  <si>
    <t xml:space="preserve">stanford university</t>
  </si>
  <si>
    <t xml:space="preserve">st19836</t>
  </si>
  <si>
    <t xml:space="preserve">harrelson</t>
  </si>
  <si>
    <t xml:space="preserve">san francisco cal.</t>
  </si>
  <si>
    <t xml:space="preserve">st21982</t>
  </si>
  <si>
    <t xml:space="preserve">hollistkr</t>
  </si>
  <si>
    <t xml:space="preserve">chapila st.. santa barbara cal.</t>
  </si>
  <si>
    <t xml:space="preserve">st2450</t>
  </si>
  <si>
    <t xml:space="preserve">barnhisel</t>
  </si>
  <si>
    <t xml:space="preserve">st27083</t>
  </si>
  <si>
    <t xml:space="preserve">lesley</t>
  </si>
  <si>
    <t xml:space="preserve">st28944</t>
  </si>
  <si>
    <t xml:space="preserve">mailer</t>
  </si>
  <si>
    <t xml:space="preserve">st37171</t>
  </si>
  <si>
    <t xml:space="preserve">rdddell</t>
  </si>
  <si>
    <t xml:space="preserve">indianapolis ind.</t>
  </si>
  <si>
    <t xml:space="preserve">st43764</t>
  </si>
  <si>
    <t xml:space="preserve">stratton</t>
  </si>
  <si>
    <t xml:space="preserve">roadmaster</t>
  </si>
  <si>
    <t xml:space="preserve">southern pacific company.</t>
  </si>
  <si>
    <t xml:space="preserve">st44348</t>
  </si>
  <si>
    <t xml:space="preserve">stockton cal.</t>
  </si>
  <si>
    <t xml:space="preserve">st47692</t>
  </si>
  <si>
    <t xml:space="preserve">wbioht</t>
  </si>
  <si>
    <t xml:space="preserve">hollands cal.</t>
  </si>
  <si>
    <t xml:space="preserve">st49037</t>
  </si>
  <si>
    <t xml:space="preserve">wigle</t>
  </si>
  <si>
    <t xml:space="preserve">soji jose cal.</t>
  </si>
  <si>
    <t xml:space="preserve">st49880</t>
  </si>
  <si>
    <t xml:space="preserve">wood</t>
  </si>
  <si>
    <t xml:space="preserve">campbell cal.</t>
  </si>
  <si>
    <t xml:space="preserve">st50564</t>
  </si>
  <si>
    <t xml:space="preserve">santa rosa cal.</t>
  </si>
  <si>
    <t xml:space="preserve">st50663</t>
  </si>
  <si>
    <t xml:space="preserve">zion</t>
  </si>
  <si>
    <t xml:space="preserve">st9890</t>
  </si>
  <si>
    <t xml:space="preserve">cory</t>
  </si>
  <si>
    <t xml:space="preserve">san jose cal</t>
  </si>
  <si>
    <t xml:space="preserve">ua25301</t>
  </si>
  <si>
    <t xml:space="preserve">uariz</t>
  </si>
  <si>
    <t xml:space="preserve">kilgore</t>
  </si>
  <si>
    <t xml:space="preserve">tucson arizona</t>
  </si>
  <si>
    <t xml:space="preserve">ua25303</t>
  </si>
  <si>
    <t xml:space="preserve">kilgour</t>
  </si>
  <si>
    <t xml:space="preserve">wo10390</t>
  </si>
  <si>
    <t xml:space="preserve">worcester</t>
  </si>
  <si>
    <t xml:space="preserve">crooker</t>
  </si>
  <si>
    <t xml:space="preserve">boston, mass</t>
  </si>
  <si>
    <t xml:space="preserve">wo13011</t>
  </si>
  <si>
    <t xml:space="preserve">drury</t>
  </si>
  <si>
    <t xml:space="preserve">wo13210</t>
  </si>
  <si>
    <t xml:space="preserve">duncan</t>
  </si>
  <si>
    <t xml:space="preserve">new york.</t>
  </si>
  <si>
    <t xml:space="preserve">wo13552</t>
  </si>
  <si>
    <t xml:space="preserve">eaton</t>
  </si>
  <si>
    <t xml:space="preserve">e. pittsburgh.</t>
  </si>
  <si>
    <t xml:space="preserve">wo13567</t>
  </si>
  <si>
    <t xml:space="preserve">wo1771</t>
  </si>
  <si>
    <t xml:space="preserve">bagdigian</t>
  </si>
  <si>
    <t xml:space="preserve">wo17954</t>
  </si>
  <si>
    <t xml:space="preserve">wo19272</t>
  </si>
  <si>
    <t xml:space="preserve">shanghai.</t>
  </si>
  <si>
    <t xml:space="preserve">wo19938</t>
  </si>
  <si>
    <t xml:space="preserve">orange.</t>
  </si>
  <si>
    <t xml:space="preserve">wo20552</t>
  </si>
  <si>
    <t xml:space="preserve">hayes</t>
  </si>
  <si>
    <t xml:space="preserve">wo22419</t>
  </si>
  <si>
    <t xml:space="preserve">hossack</t>
  </si>
  <si>
    <t xml:space="preserve">wo22639</t>
  </si>
  <si>
    <t xml:space="preserve">wo23737</t>
  </si>
  <si>
    <t xml:space="preserve">jacobs</t>
  </si>
  <si>
    <t xml:space="preserve">wo23817</t>
  </si>
  <si>
    <t xml:space="preserve">jamieson</t>
  </si>
  <si>
    <t xml:space="preserve">wo24361</t>
  </si>
  <si>
    <t xml:space="preserve">wo26994</t>
  </si>
  <si>
    <t xml:space="preserve">leland</t>
  </si>
  <si>
    <t xml:space="preserve">newtonville.</t>
  </si>
  <si>
    <t xml:space="preserve">wo27882</t>
  </si>
  <si>
    <t xml:space="preserve">loomis</t>
  </si>
  <si>
    <t xml:space="preserve">wo28373</t>
  </si>
  <si>
    <t xml:space="preserve">lyman</t>
  </si>
  <si>
    <t xml:space="preserve">wo28727</t>
  </si>
  <si>
    <t xml:space="preserve">macnamara</t>
  </si>
  <si>
    <t xml:space="preserve">atlanta.</t>
  </si>
  <si>
    <t xml:space="preserve">wo32820</t>
  </si>
  <si>
    <t xml:space="preserve">nelson</t>
  </si>
  <si>
    <t xml:space="preserve">wo34198</t>
  </si>
  <si>
    <t xml:space="preserve">paelian</t>
  </si>
  <si>
    <t xml:space="preserve">wo35300</t>
  </si>
  <si>
    <t xml:space="preserve">perry</t>
  </si>
  <si>
    <t xml:space="preserve">wo35627</t>
  </si>
  <si>
    <t xml:space="preserve">pickwick</t>
  </si>
  <si>
    <t xml:space="preserve">wo39021</t>
  </si>
  <si>
    <t xml:space="preserve">rowell</t>
  </si>
  <si>
    <t xml:space="preserve">wo40791</t>
  </si>
  <si>
    <t xml:space="preserve">shaw</t>
  </si>
  <si>
    <t xml:space="preserve">brackley</t>
  </si>
  <si>
    <t xml:space="preserve">wo41805</t>
  </si>
  <si>
    <t xml:space="preserve">wo42702</t>
  </si>
  <si>
    <t xml:space="preserve">sprague</t>
  </si>
  <si>
    <t xml:space="preserve">wo42712</t>
  </si>
  <si>
    <t xml:space="preserve">wo42912</t>
  </si>
  <si>
    <t xml:space="preserve">starbird</t>
  </si>
  <si>
    <t xml:space="preserve">wo44732</t>
  </si>
  <si>
    <t xml:space="preserve">tenney</t>
  </si>
  <si>
    <t xml:space="preserve">wo46341</t>
  </si>
  <si>
    <t xml:space="preserve">vail</t>
  </si>
  <si>
    <t xml:space="preserve">wo4703</t>
  </si>
  <si>
    <t xml:space="preserve">bowman</t>
  </si>
  <si>
    <t xml:space="preserve">wo47518</t>
  </si>
  <si>
    <t xml:space="preserve">washburn</t>
  </si>
  <si>
    <t xml:space="preserve">wo49047</t>
  </si>
  <si>
    <t xml:space="preserve">wilber</t>
  </si>
  <si>
    <t xml:space="preserve">wo49704</t>
  </si>
  <si>
    <t xml:space="preserve">winslow</t>
  </si>
  <si>
    <t xml:space="preserve">wo49826</t>
  </si>
  <si>
    <t xml:space="preserve">wolcott</t>
  </si>
  <si>
    <t xml:space="preserve">worcester.</t>
  </si>
  <si>
    <t xml:space="preserve">wo50260</t>
  </si>
  <si>
    <t xml:space="preserve">wrede</t>
  </si>
  <si>
    <t xml:space="preserve">hannover</t>
  </si>
  <si>
    <t xml:space="preserve">wo5573</t>
  </si>
  <si>
    <t xml:space="preserve">wo6431</t>
  </si>
  <si>
    <t xml:space="preserve">burpee</t>
  </si>
  <si>
    <t xml:space="preserve">leominster.</t>
  </si>
  <si>
    <t xml:space="preserve">wo7974</t>
  </si>
  <si>
    <t xml:space="preserve">chapman</t>
  </si>
  <si>
    <t xml:space="preserve">wilkinsburg.</t>
  </si>
  <si>
    <t xml:space="preserve">wo8154</t>
  </si>
  <si>
    <t xml:space="preserve">wo8227</t>
  </si>
  <si>
    <t xml:space="preserve">childs</t>
  </si>
  <si>
    <t xml:space="preserve">wo8585</t>
  </si>
  <si>
    <t xml:space="preserve">wv14372</t>
  </si>
  <si>
    <t xml:space="preserve">wvu</t>
  </si>
  <si>
    <t xml:space="preserve">everstine</t>
  </si>
  <si>
    <t xml:space="preserve">morgantown w virginia</t>
  </si>
  <si>
    <t xml:space="preserve">wv16826</t>
  </si>
  <si>
    <t xml:space="preserve">gardner</t>
  </si>
  <si>
    <t xml:space="preserve">lester</t>
  </si>
  <si>
    <t xml:space="preserve">wv18130</t>
  </si>
  <si>
    <t xml:space="preserve">wv28420</t>
  </si>
  <si>
    <t xml:space="preserve">lynch</t>
  </si>
  <si>
    <t xml:space="preserve">wv40565</t>
  </si>
  <si>
    <t xml:space="preserve">selby</t>
  </si>
  <si>
    <t xml:space="preserve">wv42688</t>
  </si>
  <si>
    <t xml:space="preserve">spragg</t>
  </si>
  <si>
    <t xml:space="preserve">wv43405</t>
  </si>
  <si>
    <t xml:space="preserve">stickler</t>
  </si>
  <si>
    <t xml:space="preserve">wv43923</t>
  </si>
  <si>
    <t xml:space="preserve">stump</t>
  </si>
  <si>
    <t xml:space="preserve">wv46327</t>
  </si>
  <si>
    <t xml:space="preserve">utt</t>
  </si>
  <si>
    <t xml:space="preserve">wv49293</t>
  </si>
  <si>
    <t xml:space="preserve">williams</t>
  </si>
  <si>
    <t xml:space="preserve">simpname</t>
  </si>
  <si>
    <t xml:space="preserve">nationality</t>
  </si>
  <si>
    <t xml:space="preserve">edu</t>
  </si>
  <si>
    <t xml:space="preserve">tai83</t>
  </si>
  <si>
    <t xml:space="preserve">faber, d</t>
  </si>
  <si>
    <t xml:space="preserve">new york city</t>
  </si>
  <si>
    <t xml:space="preserve">tai86</t>
  </si>
  <si>
    <t xml:space="preserve">firmstone, w</t>
  </si>
  <si>
    <t xml:space="preserve">easton pa</t>
  </si>
  <si>
    <t xml:space="preserve">tai137</t>
  </si>
  <si>
    <t xml:space="preserve">humphreys, a</t>
  </si>
  <si>
    <t xml:space="preserve">tai152</t>
  </si>
  <si>
    <t xml:space="preserve">k, n</t>
  </si>
  <si>
    <t xml:space="preserve">fountain mill</t>
  </si>
  <si>
    <t xml:space="preserve">westmoreland co pa</t>
  </si>
  <si>
    <t xml:space="preserve">tai201</t>
  </si>
  <si>
    <t xml:space="preserve">pearse, j</t>
  </si>
  <si>
    <t xml:space="preserve">dauphin co pa</t>
  </si>
  <si>
    <t xml:space="preserve">tai251</t>
  </si>
  <si>
    <t xml:space="preserve">symincton, w</t>
  </si>
  <si>
    <t xml:space="preserve">brooklyn n y</t>
  </si>
  <si>
    <t xml:space="preserve">tai287</t>
  </si>
  <si>
    <t xml:space="preserve">allen, o</t>
  </si>
  <si>
    <t xml:space="preserve">new haven conn</t>
  </si>
  <si>
    <t xml:space="preserve">tai301</t>
  </si>
  <si>
    <t xml:space="preserve">beardslek, c</t>
  </si>
  <si>
    <t xml:space="preserve">u.s. navy</t>
  </si>
  <si>
    <t xml:space="preserve">washington d.c.</t>
  </si>
  <si>
    <t xml:space="preserve">tai307</t>
  </si>
  <si>
    <t xml:space="preserve">bennett, d</t>
  </si>
  <si>
    <t xml:space="preserve">montgomery co pa</t>
  </si>
  <si>
    <t xml:space="preserve">tai336</t>
  </si>
  <si>
    <t xml:space="preserve">bowir, a</t>
  </si>
  <si>
    <t xml:space="preserve">san francisco cal</t>
  </si>
  <si>
    <t xml:space="preserve">tai367</t>
  </si>
  <si>
    <t xml:space="preserve">burden, i</t>
  </si>
  <si>
    <t xml:space="preserve">troy n y</t>
  </si>
  <si>
    <t xml:space="preserve">tai374</t>
  </si>
  <si>
    <t xml:space="preserve">burtue, p</t>
  </si>
  <si>
    <t xml:space="preserve">paris france</t>
  </si>
  <si>
    <t xml:space="preserve">tai430</t>
  </si>
  <si>
    <t xml:space="preserve">croxton, s</t>
  </si>
  <si>
    <t xml:space="preserve">canal dover ohio</t>
  </si>
  <si>
    <t xml:space="preserve">tai457</t>
  </si>
  <si>
    <t xml:space="preserve">duval, c</t>
  </si>
  <si>
    <t xml:space="preserve">care wm. ford</t>
  </si>
  <si>
    <t xml:space="preserve">tai462</t>
  </si>
  <si>
    <t xml:space="preserve">ellsworta, a</t>
  </si>
  <si>
    <t xml:space="preserve">care union iron works</t>
  </si>
  <si>
    <t xml:space="preserve">tai547</t>
  </si>
  <si>
    <t xml:space="preserve">harden, o</t>
  </si>
  <si>
    <t xml:space="preserve">charleston s. c.</t>
  </si>
  <si>
    <t xml:space="preserve">tai593</t>
  </si>
  <si>
    <t xml:space="preserve">tai665</t>
  </si>
  <si>
    <t xml:space="preserve">macfarlane, t</t>
  </si>
  <si>
    <t xml:space="preserve">quebec canada.</t>
  </si>
  <si>
    <t xml:space="preserve">tai699</t>
  </si>
  <si>
    <t xml:space="preserve">mickley, e</t>
  </si>
  <si>
    <t xml:space="preserve">hokendauqua pa</t>
  </si>
  <si>
    <t xml:space="preserve">tai813</t>
  </si>
  <si>
    <t xml:space="preserve">ropinson, l</t>
  </si>
  <si>
    <t xml:space="preserve">philadelphia pa</t>
  </si>
  <si>
    <t xml:space="preserve">tai973</t>
  </si>
  <si>
    <t xml:space="preserve">wood, h</t>
  </si>
  <si>
    <t xml:space="preserve">streator ill</t>
  </si>
  <si>
    <t xml:space="preserve">tai984</t>
  </si>
  <si>
    <t xml:space="preserve">agasiz, a</t>
  </si>
  <si>
    <t xml:space="preserve">cambridge mass</t>
  </si>
  <si>
    <t xml:space="preserve">tai1030</t>
  </si>
  <si>
    <t xml:space="preserve">bonnell, s</t>
  </si>
  <si>
    <t xml:space="preserve">tai1093</t>
  </si>
  <si>
    <t xml:space="preserve">champin, h</t>
  </si>
  <si>
    <t xml:space="preserve">chateauneuf de mazenc dr me</t>
  </si>
  <si>
    <t xml:space="preserve">tai1220</t>
  </si>
  <si>
    <t xml:space="preserve">garlick, e</t>
  </si>
  <si>
    <t xml:space="preserve">tai1287</t>
  </si>
  <si>
    <t xml:space="preserve">haut, r</t>
  </si>
  <si>
    <t xml:space="preserve">eliza furnaces</t>
  </si>
  <si>
    <t xml:space="preserve">tai1307</t>
  </si>
  <si>
    <t xml:space="preserve">himrop, c</t>
  </si>
  <si>
    <t xml:space="preserve">youngstown ohio</t>
  </si>
  <si>
    <t xml:space="preserve">tai1354</t>
  </si>
  <si>
    <t xml:space="preserve">kelly, r</t>
  </si>
  <si>
    <t xml:space="preserve">tai1376</t>
  </si>
  <si>
    <t xml:space="preserve">lauder, w</t>
  </si>
  <si>
    <t xml:space="preserve">riddlesburg pa</t>
  </si>
  <si>
    <t xml:space="preserve">tai1469</t>
  </si>
  <si>
    <t xml:space="preserve">olcott, e</t>
  </si>
  <si>
    <t xml:space="preserve">orinoco exploring and mining co.</t>
  </si>
  <si>
    <t xml:space="preserve">walnut st philada</t>
  </si>
  <si>
    <t xml:space="preserve">tai1494</t>
  </si>
  <si>
    <t xml:space="preserve">pickanps, h</t>
  </si>
  <si>
    <t xml:space="preserve">nelsonville ohio</t>
  </si>
  <si>
    <t xml:space="preserve">tai1529</t>
  </si>
  <si>
    <t xml:space="preserve">raper, c</t>
  </si>
  <si>
    <t xml:space="preserve">tai1559</t>
  </si>
  <si>
    <t xml:space="preserve">ross, w</t>
  </si>
  <si>
    <t xml:space="preserve">cincinnati ohio</t>
  </si>
  <si>
    <t xml:space="preserve">tai1570</t>
  </si>
  <si>
    <t xml:space="preserve">sanders, r</t>
  </si>
  <si>
    <t xml:space="preserve">tai1578</t>
  </si>
  <si>
    <t xml:space="preserve">scott, n</t>
  </si>
  <si>
    <t xml:space="preserve">twenty mile stand ohio</t>
  </si>
  <si>
    <t xml:space="preserve">tai1596</t>
  </si>
  <si>
    <t xml:space="preserve">smeaton, w</t>
  </si>
  <si>
    <t xml:space="preserve">columbia school of mines</t>
  </si>
  <si>
    <t xml:space="preserve">tai1671</t>
  </si>
  <si>
    <t xml:space="preserve">warren, h</t>
  </si>
  <si>
    <t xml:space="preserve">care a. w. thompson</t>
  </si>
  <si>
    <t xml:space="preserve">tai1696</t>
  </si>
  <si>
    <t xml:space="preserve">wickrs, g</t>
  </si>
  <si>
    <t xml:space="preserve">alleghany co va</t>
  </si>
  <si>
    <t xml:space="preserve">tai1810</t>
  </si>
  <si>
    <t xml:space="preserve">brown, a</t>
  </si>
  <si>
    <t xml:space="preserve">cleveland ohio</t>
  </si>
  <si>
    <t xml:space="preserve">tai1813</t>
  </si>
  <si>
    <t xml:space="preserve">brown, f</t>
  </si>
  <si>
    <t xml:space="preserve">tai1841</t>
  </si>
  <si>
    <t xml:space="preserve">case, w</t>
  </si>
  <si>
    <t xml:space="preserve">port henry n y</t>
  </si>
  <si>
    <t xml:space="preserve">tai1865</t>
  </si>
  <si>
    <t xml:space="preserve">colrtron, c</t>
  </si>
  <si>
    <t xml:space="preserve">tai1897</t>
  </si>
  <si>
    <t xml:space="preserve">crossley, w</t>
  </si>
  <si>
    <t xml:space="preserve">english</t>
  </si>
  <si>
    <t xml:space="preserve">dalton in furness england</t>
  </si>
  <si>
    <t xml:space="preserve">tai1914</t>
  </si>
  <si>
    <t xml:space="preserve">davenport, r</t>
  </si>
  <si>
    <t xml:space="preserve">midvale steel works</t>
  </si>
  <si>
    <t xml:space="preserve">nicetown philadelphia</t>
  </si>
  <si>
    <t xml:space="preserve">tai1921</t>
  </si>
  <si>
    <t xml:space="preserve">de, c</t>
  </si>
  <si>
    <t xml:space="preserve">cambridgeport mass</t>
  </si>
  <si>
    <t xml:space="preserve">tai1992</t>
  </si>
  <si>
    <t xml:space="preserve">freeman, h</t>
  </si>
  <si>
    <t xml:space="preserve">alto pass Ill</t>
  </si>
  <si>
    <t xml:space="preserve">tai2007</t>
  </si>
  <si>
    <t xml:space="preserve">gardner, g</t>
  </si>
  <si>
    <t xml:space="preserve">greenfield mass</t>
  </si>
  <si>
    <t xml:space="preserve">tai2013</t>
  </si>
  <si>
    <t xml:space="preserve">gibson, v</t>
  </si>
  <si>
    <t xml:space="preserve">eg shakspere new mexico</t>
  </si>
  <si>
    <t xml:space="preserve">tai2023</t>
  </si>
  <si>
    <t xml:space="preserve">graham, t</t>
  </si>
  <si>
    <t xml:space="preserve">tai2073</t>
  </si>
  <si>
    <t xml:space="preserve">henry, e</t>
  </si>
  <si>
    <t xml:space="preserve">titusville pa</t>
  </si>
  <si>
    <t xml:space="preserve">tai2125</t>
  </si>
  <si>
    <t xml:space="preserve">janin, h</t>
  </si>
  <si>
    <t xml:space="preserve">occidental hotel</t>
  </si>
  <si>
    <t xml:space="preserve">tai2141</t>
  </si>
  <si>
    <t xml:space="preserve">jossa, n</t>
  </si>
  <si>
    <t xml:space="preserve">russian</t>
  </si>
  <si>
    <t xml:space="preserve">st petersburg russia</t>
  </si>
  <si>
    <t xml:space="preserve">tai2168</t>
  </si>
  <si>
    <t xml:space="preserve">land, w</t>
  </si>
  <si>
    <t xml:space="preserve">atlanta ga</t>
  </si>
  <si>
    <t xml:space="preserve">tai2228</t>
  </si>
  <si>
    <t xml:space="preserve">mccultlou, e</t>
  </si>
  <si>
    <t xml:space="preserve">aurora ill</t>
  </si>
  <si>
    <t xml:space="preserve">tai2287</t>
  </si>
  <si>
    <t xml:space="preserve">noble, c</t>
  </si>
  <si>
    <t xml:space="preserve">anniston alabama</t>
  </si>
  <si>
    <t xml:space="preserve">tai2336</t>
  </si>
  <si>
    <t xml:space="preserve">preklor, h</t>
  </si>
  <si>
    <t xml:space="preserve">cambria steel co</t>
  </si>
  <si>
    <t xml:space="preserve">johnstown pa</t>
  </si>
  <si>
    <t xml:space="preserve">tai2424</t>
  </si>
  <si>
    <t xml:space="preserve">sherrerd, j</t>
  </si>
  <si>
    <t xml:space="preserve">secaucus n j</t>
  </si>
  <si>
    <t xml:space="preserve">tai2458</t>
  </si>
  <si>
    <t xml:space="preserve">strieby, w</t>
  </si>
  <si>
    <t xml:space="preserve">santa f new mexico</t>
  </si>
  <si>
    <t xml:space="preserve">tai2483</t>
  </si>
  <si>
    <t xml:space="preserve">thompson, h</t>
  </si>
  <si>
    <t xml:space="preserve">pottsville pa</t>
  </si>
  <si>
    <t xml:space="preserve">tai2484</t>
  </si>
  <si>
    <t xml:space="preserve">thonarp, l</t>
  </si>
  <si>
    <t xml:space="preserve">liege belgium</t>
  </si>
  <si>
    <t xml:space="preserve">tai2489</t>
  </si>
  <si>
    <t xml:space="preserve">townsend, d</t>
  </si>
  <si>
    <t xml:space="preserve">tai2499</t>
  </si>
  <si>
    <t xml:space="preserve">van vornuts, w</t>
  </si>
  <si>
    <t xml:space="preserve">manhattanville n y</t>
  </si>
  <si>
    <t xml:space="preserve">tai2501</t>
  </si>
  <si>
    <t xml:space="preserve">van, b</t>
  </si>
  <si>
    <t xml:space="preserve">eureka nevada</t>
  </si>
  <si>
    <t xml:space="preserve">tai2552</t>
  </si>
  <si>
    <t xml:space="preserve">williams, w</t>
  </si>
  <si>
    <t xml:space="preserve">gautier steel co.</t>
  </si>
  <si>
    <t xml:space="preserve">tai2587</t>
  </si>
  <si>
    <t xml:space="preserve">allen, j</t>
  </si>
  <si>
    <t xml:space="preserve">ore knob n c</t>
  </si>
  <si>
    <t xml:space="preserve">tai2640</t>
  </si>
  <si>
    <t xml:space="preserve">bertolet, a</t>
  </si>
  <si>
    <t xml:space="preserve">crown point n y</t>
  </si>
  <si>
    <t xml:space="preserve">tai2660</t>
  </si>
  <si>
    <t xml:space="preserve">borpa, e</t>
  </si>
  <si>
    <t xml:space="preserve">tai2673</t>
  </si>
  <si>
    <t xml:space="preserve">brakm, h</t>
  </si>
  <si>
    <t xml:space="preserve">tai2682</t>
  </si>
  <si>
    <t xml:space="preserve">brinley, c</t>
  </si>
  <si>
    <t xml:space="preserve">tai2699</t>
  </si>
  <si>
    <t xml:space="preserve">brown, h</t>
  </si>
  <si>
    <t xml:space="preserve">tai2815</t>
  </si>
  <si>
    <t xml:space="preserve">coxe, a</t>
  </si>
  <si>
    <t xml:space="preserve">drifton pa</t>
  </si>
  <si>
    <t xml:space="preserve">tai2820</t>
  </si>
  <si>
    <t xml:space="preserve">cramer, e</t>
  </si>
  <si>
    <t xml:space="preserve">montezuma colorado</t>
  </si>
  <si>
    <t xml:space="preserve">tai2822</t>
  </si>
  <si>
    <t xml:space="preserve">cranz, w</t>
  </si>
  <si>
    <t xml:space="preserve">tai2842</t>
  </si>
  <si>
    <t xml:space="preserve">curren, j</t>
  </si>
  <si>
    <t xml:space="preserve">tai2950</t>
  </si>
  <si>
    <t xml:space="preserve">franklin, w</t>
  </si>
  <si>
    <t xml:space="preserve">ashland md</t>
  </si>
  <si>
    <t xml:space="preserve">tai2983</t>
  </si>
  <si>
    <t xml:space="preserve">goodale, c</t>
  </si>
  <si>
    <t xml:space="preserve">charleston arizona</t>
  </si>
  <si>
    <t xml:space="preserve">tai2999</t>
  </si>
  <si>
    <t xml:space="preserve">griffin, j</t>
  </si>
  <si>
    <t xml:space="preserve">phoenixville pa</t>
  </si>
  <si>
    <t xml:space="preserve">tai3024</t>
  </si>
  <si>
    <t xml:space="preserve">hann, i</t>
  </si>
  <si>
    <t xml:space="preserve">sharpsburg pa</t>
  </si>
  <si>
    <t xml:space="preserve">tai3033</t>
  </si>
  <si>
    <t xml:space="preserve">harris, w</t>
  </si>
  <si>
    <t xml:space="preserve">montclair nj</t>
  </si>
  <si>
    <t xml:space="preserve">tai3047</t>
  </si>
  <si>
    <t xml:space="preserve">hausbina, f</t>
  </si>
  <si>
    <t xml:space="preserve">tin cup colorado</t>
  </si>
  <si>
    <t xml:space="preserve">tai3055</t>
  </si>
  <si>
    <t xml:space="preserve">hctron, f</t>
  </si>
  <si>
    <t xml:space="preserve">tai3111</t>
  </si>
  <si>
    <t xml:space="preserve">hurrox, w</t>
  </si>
  <si>
    <t xml:space="preserve">tai3241</t>
  </si>
  <si>
    <t xml:space="preserve">lowe, f</t>
  </si>
  <si>
    <t xml:space="preserve">batopilas chihuahua</t>
  </si>
  <si>
    <t xml:space="preserve">tai3299</t>
  </si>
  <si>
    <t xml:space="preserve">mckenziz, j</t>
  </si>
  <si>
    <t xml:space="preserve">tai3411</t>
  </si>
  <si>
    <t xml:space="preserve">parsons, c</t>
  </si>
  <si>
    <t xml:space="preserve">boston mass</t>
  </si>
  <si>
    <t xml:space="preserve">tai3420</t>
  </si>
  <si>
    <t xml:space="preserve">pecuin, e</t>
  </si>
  <si>
    <t xml:space="preserve">tai3499</t>
  </si>
  <si>
    <t xml:space="preserve">rick, a</t>
  </si>
  <si>
    <t xml:space="preserve">stockholm sweden</t>
  </si>
  <si>
    <t xml:space="preserve">tai3578</t>
  </si>
  <si>
    <t xml:space="preserve">serz, g</t>
  </si>
  <si>
    <t xml:space="preserve">bonne terre mo</t>
  </si>
  <si>
    <t xml:space="preserve">tai3628</t>
  </si>
  <si>
    <t xml:space="preserve">storper, e</t>
  </si>
  <si>
    <t xml:space="preserve">ophir colorado</t>
  </si>
  <si>
    <t xml:space="preserve">tai3652</t>
  </si>
  <si>
    <t xml:space="preserve">terrt, w</t>
  </si>
  <si>
    <t xml:space="preserve">mineville n y</t>
  </si>
  <si>
    <t xml:space="preserve">tai3661</t>
  </si>
  <si>
    <t xml:space="preserve">thomas, j</t>
  </si>
  <si>
    <t xml:space="preserve">catasauqua pa</t>
  </si>
  <si>
    <t xml:space="preserve">tai3669</t>
  </si>
  <si>
    <t xml:space="preserve">thomson, j</t>
  </si>
  <si>
    <t xml:space="preserve">bergen point n j</t>
  </si>
  <si>
    <t xml:space="preserve">tai3687</t>
  </si>
  <si>
    <t xml:space="preserve">trompson, h</t>
  </si>
  <si>
    <t xml:space="preserve">tai3703</t>
  </si>
  <si>
    <t xml:space="preserve">van, l</t>
  </si>
  <si>
    <t xml:space="preserve">granite basin cal</t>
  </si>
  <si>
    <t xml:space="preserve">tai3782</t>
  </si>
  <si>
    <t xml:space="preserve">witlarp, h</t>
  </si>
  <si>
    <t xml:space="preserve">tai3786</t>
  </si>
  <si>
    <t xml:space="preserve">wittmack, c</t>
  </si>
  <si>
    <t xml:space="preserve">strasburg germany</t>
  </si>
  <si>
    <t xml:space="preserve">tai3855</t>
  </si>
  <si>
    <t xml:space="preserve">bachman, f</t>
  </si>
  <si>
    <t xml:space="preserve">tai3862</t>
  </si>
  <si>
    <t xml:space="preserve">balley, g</t>
  </si>
  <si>
    <t xml:space="preserve">rapid city dakotah</t>
  </si>
  <si>
    <t xml:space="preserve">tai3926</t>
  </si>
  <si>
    <t xml:space="preserve">brainerd, a</t>
  </si>
  <si>
    <t xml:space="preserve">st albans vt</t>
  </si>
  <si>
    <t xml:space="preserve">tai3962</t>
  </si>
  <si>
    <t xml:space="preserve">brown, i</t>
  </si>
  <si>
    <t xml:space="preserve">tai3993</t>
  </si>
  <si>
    <t xml:space="preserve">burnham, w</t>
  </si>
  <si>
    <t xml:space="preserve">tai4020</t>
  </si>
  <si>
    <t xml:space="preserve">charleton, a</t>
  </si>
  <si>
    <t xml:space="preserve">boston lincolnshire</t>
  </si>
  <si>
    <t xml:space="preserve">tai4051</t>
  </si>
  <si>
    <t xml:space="preserve">clemes, j</t>
  </si>
  <si>
    <t xml:space="preserve">falmouth england</t>
  </si>
  <si>
    <t xml:space="preserve">tai4124</t>
  </si>
  <si>
    <t xml:space="preserve">cummmer, f</t>
  </si>
  <si>
    <t xml:space="preserve">tai4212</t>
  </si>
  <si>
    <t xml:space="preserve">emuery, a</t>
  </si>
  <si>
    <t xml:space="preserve">tai4284</t>
  </si>
  <si>
    <t xml:space="preserve">fry, j</t>
  </si>
  <si>
    <t xml:space="preserve">springfield iron co.</t>
  </si>
  <si>
    <t xml:space="preserve">springfield ill</t>
  </si>
  <si>
    <t xml:space="preserve">tai4292</t>
  </si>
  <si>
    <t xml:space="preserve">furman, h</t>
  </si>
  <si>
    <t xml:space="preserve">tai4341</t>
  </si>
  <si>
    <t xml:space="preserve">gridley, e</t>
  </si>
  <si>
    <t xml:space="preserve">wassaic n y</t>
  </si>
  <si>
    <t xml:space="preserve">tai4396</t>
  </si>
  <si>
    <t xml:space="preserve">heckscher, a</t>
  </si>
  <si>
    <t xml:space="preserve">tai4397</t>
  </si>
  <si>
    <t xml:space="preserve">heemenway, e</t>
  </si>
  <si>
    <t xml:space="preserve">tai4416</t>
  </si>
  <si>
    <t xml:space="preserve">hildreth, w</t>
  </si>
  <si>
    <t xml:space="preserve">tai4427</t>
  </si>
  <si>
    <t xml:space="preserve">hoatson, t</t>
  </si>
  <si>
    <t xml:space="preserve">calumet michigan</t>
  </si>
  <si>
    <t xml:space="preserve">tai4433</t>
  </si>
  <si>
    <t xml:space="preserve">holsprook, f</t>
  </si>
  <si>
    <t xml:space="preserve">el paso texas.</t>
  </si>
  <si>
    <t xml:space="preserve">tai4439</t>
  </si>
  <si>
    <t xml:space="preserve">horcukiss, j</t>
  </si>
  <si>
    <t xml:space="preserve">staunton va</t>
  </si>
  <si>
    <t xml:space="preserve">tai4521</t>
  </si>
  <si>
    <t xml:space="preserve">jones, t</t>
  </si>
  <si>
    <t xml:space="preserve">tai4669</t>
  </si>
  <si>
    <t xml:space="preserve">manrci, w</t>
  </si>
  <si>
    <t xml:space="preserve">jersey city n j</t>
  </si>
  <si>
    <t xml:space="preserve">tai4687</t>
  </si>
  <si>
    <t xml:space="preserve">masters, w</t>
  </si>
  <si>
    <t xml:space="preserve">tai4691</t>
  </si>
  <si>
    <t xml:space="preserve">matthiessen, f</t>
  </si>
  <si>
    <t xml:space="preserve">la salle ill</t>
  </si>
  <si>
    <t xml:space="preserve">tai4711</t>
  </si>
  <si>
    <t xml:space="preserve">mce, m</t>
  </si>
  <si>
    <t xml:space="preserve">keams cafion arizona</t>
  </si>
  <si>
    <t xml:space="preserve">tai4713</t>
  </si>
  <si>
    <t xml:space="preserve">mcginness, m</t>
  </si>
  <si>
    <t xml:space="preserve">st louis mo</t>
  </si>
  <si>
    <t xml:space="preserve">tai4722</t>
  </si>
  <si>
    <t xml:space="preserve">mcnatr, t</t>
  </si>
  <si>
    <t xml:space="preserve">hazleton pa</t>
  </si>
  <si>
    <t xml:space="preserve">tai4746</t>
  </si>
  <si>
    <t xml:space="preserve">moen, p</t>
  </si>
  <si>
    <t xml:space="preserve">worcester mass</t>
  </si>
  <si>
    <t xml:space="preserve">tai4770</t>
  </si>
  <si>
    <t xml:space="preserve">moss, m</t>
  </si>
  <si>
    <t xml:space="preserve">golden colorado</t>
  </si>
  <si>
    <t xml:space="preserve">tai4775</t>
  </si>
  <si>
    <t xml:space="preserve">mupp, s</t>
  </si>
  <si>
    <t xml:space="preserve">tai4804</t>
  </si>
  <si>
    <t xml:space="preserve">o, p</t>
  </si>
  <si>
    <t xml:space="preserve">tai4841</t>
  </si>
  <si>
    <t xml:space="preserve">patterson, j</t>
  </si>
  <si>
    <t xml:space="preserve">lebanon pa</t>
  </si>
  <si>
    <t xml:space="preserve">tai4850</t>
  </si>
  <si>
    <t xml:space="preserve">peele, r</t>
  </si>
  <si>
    <t xml:space="preserve">bloomfield n j</t>
  </si>
  <si>
    <t xml:space="preserve">tai4874</t>
  </si>
  <si>
    <t xml:space="preserve">pollard, j</t>
  </si>
  <si>
    <t xml:space="preserve">ashland pa</t>
  </si>
  <si>
    <t xml:space="preserve">tai4898</t>
  </si>
  <si>
    <t xml:space="preserve">presbrey, o</t>
  </si>
  <si>
    <t xml:space="preserve">cheever n y</t>
  </si>
  <si>
    <t xml:space="preserve">tai4900</t>
  </si>
  <si>
    <t xml:space="preserve">priatr, j</t>
  </si>
  <si>
    <t xml:space="preserve">waterford n y</t>
  </si>
  <si>
    <t xml:space="preserve">tai4920</t>
  </si>
  <si>
    <t xml:space="preserve">randolph, g</t>
  </si>
  <si>
    <t xml:space="preserve">central city colorado</t>
  </si>
  <si>
    <t xml:space="preserve">tai4946</t>
  </si>
  <si>
    <t xml:space="preserve">richards, w</t>
  </si>
  <si>
    <t xml:space="preserve">blossburg pa</t>
  </si>
  <si>
    <t xml:space="preserve">tai5008</t>
  </si>
  <si>
    <t xml:space="preserve">saunders, w</t>
  </si>
  <si>
    <t xml:space="preserve">tai5023</t>
  </si>
  <si>
    <t xml:space="preserve">schwarz, t</t>
  </si>
  <si>
    <t xml:space="preserve">silverton colo</t>
  </si>
  <si>
    <t xml:space="preserve">tai5219</t>
  </si>
  <si>
    <t xml:space="preserve">werr, c</t>
  </si>
  <si>
    <t xml:space="preserve">cheyenne wyoming</t>
  </si>
  <si>
    <t xml:space="preserve">tai5253</t>
  </si>
  <si>
    <t xml:space="preserve">wilson, j</t>
  </si>
  <si>
    <t xml:space="preserve">tai5318</t>
  </si>
  <si>
    <t xml:space="preserve">alexander, c</t>
  </si>
  <si>
    <t xml:space="preserve">maryville mo</t>
  </si>
  <si>
    <t xml:space="preserve">tai5336</t>
  </si>
  <si>
    <t xml:space="preserve">armstrong, h</t>
  </si>
  <si>
    <t xml:space="preserve">metcalf paul co.</t>
  </si>
  <si>
    <t xml:space="preserve">tai5386</t>
  </si>
  <si>
    <t xml:space="preserve">beebe, a</t>
  </si>
  <si>
    <t xml:space="preserve">tai5430</t>
  </si>
  <si>
    <t xml:space="preserve">bowron, w</t>
  </si>
  <si>
    <t xml:space="preserve">south pittsburgh tenn</t>
  </si>
  <si>
    <t xml:space="preserve">tai5531</t>
  </si>
  <si>
    <t xml:space="preserve">churchill, a</t>
  </si>
  <si>
    <t xml:space="preserve">tai5535</t>
  </si>
  <si>
    <t xml:space="preserve">clapp, g</t>
  </si>
  <si>
    <t xml:space="preserve">tai5547</t>
  </si>
  <si>
    <t xml:space="preserve">clemens, g</t>
  </si>
  <si>
    <t xml:space="preserve">tai5564</t>
  </si>
  <si>
    <t xml:space="preserve">comstock, t</t>
  </si>
  <si>
    <t xml:space="preserve">champaigne ill</t>
  </si>
  <si>
    <t xml:space="preserve">tai5577</t>
  </si>
  <si>
    <t xml:space="preserve">cooper, w</t>
  </si>
  <si>
    <t xml:space="preserve">tai5611</t>
  </si>
  <si>
    <t xml:space="preserve">cucrch, w</t>
  </si>
  <si>
    <t xml:space="preserve">tai5647</t>
  </si>
  <si>
    <t xml:space="preserve">old broad st london</t>
  </si>
  <si>
    <t xml:space="preserve">tai5717</t>
  </si>
  <si>
    <t xml:space="preserve">tai5750</t>
  </si>
  <si>
    <t xml:space="preserve">fords, a</t>
  </si>
  <si>
    <t xml:space="preserve">edgar thomson steel co.</t>
  </si>
  <si>
    <t xml:space="preserve">tai5758</t>
  </si>
  <si>
    <t xml:space="preserve">tai5821</t>
  </si>
  <si>
    <t xml:space="preserve">tai5885</t>
  </si>
  <si>
    <t xml:space="preserve">tai5960</t>
  </si>
  <si>
    <t xml:space="preserve">hurron, f</t>
  </si>
  <si>
    <t xml:space="preserve">tai5970</t>
  </si>
  <si>
    <t xml:space="preserve">itarris, j</t>
  </si>
  <si>
    <t xml:space="preserve">tai6258</t>
  </si>
  <si>
    <t xml:space="preserve">munroe, h</t>
  </si>
  <si>
    <t xml:space="preserve">tai6460</t>
  </si>
  <si>
    <t xml:space="preserve">robertson, k</t>
  </si>
  <si>
    <t xml:space="preserve">seacaucus iron co.</t>
  </si>
  <si>
    <t xml:space="preserve">seacancus n j</t>
  </si>
  <si>
    <t xml:space="preserve">tai6541</t>
  </si>
  <si>
    <t xml:space="preserve">sheafer, w</t>
  </si>
  <si>
    <t xml:space="preserve">tai6558</t>
  </si>
  <si>
    <t xml:space="preserve">slack, c</t>
  </si>
  <si>
    <t xml:space="preserve">marietta ohio</t>
  </si>
  <si>
    <t xml:space="preserve">tai6576</t>
  </si>
  <si>
    <t xml:space="preserve">snyder, j</t>
  </si>
  <si>
    <t xml:space="preserve">scranton pa</t>
  </si>
  <si>
    <t xml:space="preserve">tai6589</t>
  </si>
  <si>
    <t xml:space="preserve">sst, a</t>
  </si>
  <si>
    <t xml:space="preserve">south pueblo colorado</t>
  </si>
  <si>
    <t xml:space="preserve">tai6600</t>
  </si>
  <si>
    <t xml:space="preserve">stillman, t</t>
  </si>
  <si>
    <t xml:space="preserve">stevens institute of technology</t>
  </si>
  <si>
    <t xml:space="preserve">hoboken n j</t>
  </si>
  <si>
    <t xml:space="preserve">tai6623</t>
  </si>
  <si>
    <t xml:space="preserve">tarlor, s</t>
  </si>
  <si>
    <t xml:space="preserve">tai6650</t>
  </si>
  <si>
    <t xml:space="preserve">tors, a</t>
  </si>
  <si>
    <t xml:space="preserve">concord n c</t>
  </si>
  <si>
    <t xml:space="preserve">tai6665</t>
  </si>
  <si>
    <t xml:space="preserve">turopp, j</t>
  </si>
  <si>
    <t xml:space="preserve">edge hill furnace pa</t>
  </si>
  <si>
    <t xml:space="preserve">tai6704</t>
  </si>
  <si>
    <t xml:space="preserve">wartenweiler, a</t>
  </si>
  <si>
    <t xml:space="preserve">butte city montana</t>
  </si>
  <si>
    <t xml:space="preserve">tai6708</t>
  </si>
  <si>
    <t xml:space="preserve">weaver, v</t>
  </si>
  <si>
    <t xml:space="preserve">macurgie lehigh co pa</t>
  </si>
  <si>
    <t xml:space="preserve">tai6709</t>
  </si>
  <si>
    <t xml:space="preserve">weeks, j</t>
  </si>
  <si>
    <t xml:space="preserve">tai6726</t>
  </si>
  <si>
    <t xml:space="preserve">wheelock, j</t>
  </si>
  <si>
    <t xml:space="preserve">tai6745</t>
  </si>
  <si>
    <t xml:space="preserve">williams, j</t>
  </si>
  <si>
    <t xml:space="preserve">tai6785</t>
  </si>
  <si>
    <t xml:space="preserve">wotcott, h</t>
  </si>
  <si>
    <t xml:space="preserve">denver colorado</t>
  </si>
  <si>
    <t xml:space="preserve">tai6828</t>
  </si>
  <si>
    <t xml:space="preserve">catlin, w</t>
  </si>
  <si>
    <t xml:space="preserve">south chicago ill</t>
  </si>
  <si>
    <t xml:space="preserve">tai6904</t>
  </si>
  <si>
    <t xml:space="preserve">scott, j</t>
  </si>
  <si>
    <t xml:space="preserve">tai7133</t>
  </si>
  <si>
    <t xml:space="preserve">bawden, f</t>
  </si>
  <si>
    <t xml:space="preserve">pachuca mexico</t>
  </si>
  <si>
    <t xml:space="preserve">tai7149</t>
  </si>
  <si>
    <t xml:space="preserve">bellinger, h</t>
  </si>
  <si>
    <t xml:space="preserve">metallurgist</t>
  </si>
  <si>
    <t xml:space="preserve">crofton b.c. canada</t>
  </si>
  <si>
    <t xml:space="preserve">tai7164</t>
  </si>
  <si>
    <t xml:space="preserve">best, g</t>
  </si>
  <si>
    <t xml:space="preserve">tai7295</t>
  </si>
  <si>
    <t xml:space="preserve">bulkley, f</t>
  </si>
  <si>
    <t xml:space="preserve">penrose tam oshanter and the new rok mines ltd</t>
  </si>
  <si>
    <t xml:space="preserve">aspen colo</t>
  </si>
  <si>
    <t xml:space="preserve">tai7305</t>
  </si>
  <si>
    <t xml:space="preserve">burden, j</t>
  </si>
  <si>
    <t xml:space="preserve">tai7309</t>
  </si>
  <si>
    <t xml:space="preserve">burns, p</t>
  </si>
  <si>
    <t xml:space="preserve">tai7399</t>
  </si>
  <si>
    <t xml:space="preserve">clark, c</t>
  </si>
  <si>
    <t xml:space="preserve">banker</t>
  </si>
  <si>
    <t xml:space="preserve">e. w. clark &amp; co</t>
  </si>
  <si>
    <t xml:space="preserve">tai7518</t>
  </si>
  <si>
    <t xml:space="preserve">cunningham, j</t>
  </si>
  <si>
    <t xml:space="preserve">berwind-white coal min. co</t>
  </si>
  <si>
    <t xml:space="preserve">punxsutawney pa</t>
  </si>
  <si>
    <t xml:space="preserve">tai7578</t>
  </si>
  <si>
    <t xml:space="preserve">devereux, w</t>
  </si>
  <si>
    <t xml:space="preserve">mining engineer</t>
  </si>
  <si>
    <t xml:space="preserve">ledoux &amp; co</t>
  </si>
  <si>
    <t xml:space="preserve">tai7637</t>
  </si>
  <si>
    <t xml:space="preserve">dunshee, b</t>
  </si>
  <si>
    <t xml:space="preserve">boston &amp; montana cons. cop. &amp; silver mining co</t>
  </si>
  <si>
    <t xml:space="preserve">philipsburg mont</t>
  </si>
  <si>
    <t xml:space="preserve">tai7746</t>
  </si>
  <si>
    <t xml:space="preserve">finch, i</t>
  </si>
  <si>
    <t xml:space="preserve">chattanooga tenn</t>
  </si>
  <si>
    <t xml:space="preserve">tai7800</t>
  </si>
  <si>
    <t xml:space="preserve">fraser, c</t>
  </si>
  <si>
    <t xml:space="preserve">golden canada.</t>
  </si>
  <si>
    <t xml:space="preserve">tai7979</t>
  </si>
  <si>
    <t xml:space="preserve">hegeler, j</t>
  </si>
  <si>
    <t xml:space="preserve">chief engineer</t>
  </si>
  <si>
    <t xml:space="preserve">matthiessen &amp; hegeler zinc co</t>
  </si>
  <si>
    <t xml:space="preserve">tai7987</t>
  </si>
  <si>
    <t xml:space="preserve">henderson, j</t>
  </si>
  <si>
    <t xml:space="preserve">kingsbridge ny</t>
  </si>
  <si>
    <t xml:space="preserve">tai8074</t>
  </si>
  <si>
    <t xml:space="preserve">hutchinson, r</t>
  </si>
  <si>
    <t xml:space="preserve">compania beneficiador del concheno</t>
  </si>
  <si>
    <t xml:space="preserve">zacatecas mexico</t>
  </si>
  <si>
    <t xml:space="preserve">tai8098</t>
  </si>
  <si>
    <t xml:space="preserve">jamme, g</t>
  </si>
  <si>
    <t xml:space="preserve">dayton tenn</t>
  </si>
  <si>
    <t xml:space="preserve">tai8175</t>
  </si>
  <si>
    <t xml:space="preserve">kemp, w</t>
  </si>
  <si>
    <t xml:space="preserve">mut. nat. bank of troy,</t>
  </si>
  <si>
    <t xml:space="preserve">tai8198</t>
  </si>
  <si>
    <t xml:space="preserve">kingsbury, j</t>
  </si>
  <si>
    <t xml:space="preserve">salt lake city utah</t>
  </si>
  <si>
    <t xml:space="preserve">tai8295</t>
  </si>
  <si>
    <t xml:space="preserve">lessig, g</t>
  </si>
  <si>
    <t xml:space="preserve">pottstown pa</t>
  </si>
  <si>
    <t xml:space="preserve">tai8327</t>
  </si>
  <si>
    <t xml:space="preserve">longnecker, g</t>
  </si>
  <si>
    <t xml:space="preserve">operator</t>
  </si>
  <si>
    <t xml:space="preserve">mechanicsburg pa</t>
  </si>
  <si>
    <t xml:space="preserve">tai8475</t>
  </si>
  <si>
    <t xml:space="preserve">meyer, a</t>
  </si>
  <si>
    <t xml:space="preserve">kansas city mo</t>
  </si>
  <si>
    <t xml:space="preserve">tai8479</t>
  </si>
  <si>
    <t xml:space="preserve">middleton, w</t>
  </si>
  <si>
    <t xml:space="preserve">denver colo</t>
  </si>
  <si>
    <t xml:space="preserve">tai8515</t>
  </si>
  <si>
    <t xml:space="preserve">moorg, p</t>
  </si>
  <si>
    <t xml:space="preserve">consulting engineer</t>
  </si>
  <si>
    <t xml:space="preserve">tai8527</t>
  </si>
  <si>
    <t xml:space="preserve">morrison, w</t>
  </si>
  <si>
    <t xml:space="preserve">little rock ark</t>
  </si>
  <si>
    <t xml:space="preserve">tai8531</t>
  </si>
  <si>
    <t xml:space="preserve">morse, p</t>
  </si>
  <si>
    <t xml:space="preserve">sulphide corp. co of london &amp; australia</t>
  </si>
  <si>
    <t xml:space="preserve">tai8548</t>
  </si>
  <si>
    <t xml:space="preserve">nason, p</t>
  </si>
  <si>
    <t xml:space="preserve">tai8575</t>
  </si>
  <si>
    <t xml:space="preserve">noyes, w</t>
  </si>
  <si>
    <t xml:space="preserve">presidio m. co</t>
  </si>
  <si>
    <t xml:space="preserve">presidio co texas</t>
  </si>
  <si>
    <t xml:space="preserve">tai8581</t>
  </si>
  <si>
    <t xml:space="preserve">odlin, f</t>
  </si>
  <si>
    <t xml:space="preserve">civil engineer</t>
  </si>
  <si>
    <t xml:space="preserve">melbourne australia</t>
  </si>
  <si>
    <t xml:space="preserve">tai8722</t>
  </si>
  <si>
    <t xml:space="preserve">potter, e</t>
  </si>
  <si>
    <t xml:space="preserve">tai8850</t>
  </si>
  <si>
    <t xml:space="preserve">rose, w</t>
  </si>
  <si>
    <t xml:space="preserve">compania del boleo</t>
  </si>
  <si>
    <t xml:space="preserve">tai8885</t>
  </si>
  <si>
    <t xml:space="preserve">sayre, h</t>
  </si>
  <si>
    <t xml:space="preserve">tai8942</t>
  </si>
  <si>
    <t xml:space="preserve">shennan, j</t>
  </si>
  <si>
    <t xml:space="preserve">great falls mont</t>
  </si>
  <si>
    <t xml:space="preserve">tai8979</t>
  </si>
  <si>
    <t xml:space="preserve">smith, f</t>
  </si>
  <si>
    <t xml:space="preserve">asarco</t>
  </si>
  <si>
    <t xml:space="preserve">smelter mont</t>
  </si>
  <si>
    <t xml:space="preserve">tai8983</t>
  </si>
  <si>
    <t xml:space="preserve">smith, h</t>
  </si>
  <si>
    <t xml:space="preserve">l. s. &amp; m.s. ry.</t>
  </si>
  <si>
    <t xml:space="preserve">milwaukee wis</t>
  </si>
  <si>
    <t xml:space="preserve">tai9151</t>
  </si>
  <si>
    <t xml:space="preserve">trewenack, w</t>
  </si>
  <si>
    <t xml:space="preserve">gulf creek ltd.</t>
  </si>
  <si>
    <t xml:space="preserve">adelaide australia</t>
  </si>
  <si>
    <t xml:space="preserve">tai9165</t>
  </si>
  <si>
    <t xml:space="preserve">uehling, e</t>
  </si>
  <si>
    <t xml:space="preserve">uehling steinbart mfg. co</t>
  </si>
  <si>
    <t xml:space="preserve">passaic nj</t>
  </si>
  <si>
    <t xml:space="preserve">tai9179</t>
  </si>
  <si>
    <t xml:space="preserve">van, w</t>
  </si>
  <si>
    <t xml:space="preserve">tai9250</t>
  </si>
  <si>
    <t xml:space="preserve">western, c</t>
  </si>
  <si>
    <t xml:space="preserve">tai9278</t>
  </si>
  <si>
    <t xml:space="preserve">wilkens, h</t>
  </si>
  <si>
    <t xml:space="preserve">new jersey zinc co</t>
  </si>
  <si>
    <t xml:space="preserve">franklin furnace n j</t>
  </si>
  <si>
    <t xml:space="preserve">tai9324</t>
  </si>
  <si>
    <t xml:space="preserve">wishon, w</t>
  </si>
  <si>
    <t xml:space="preserve">butte montana</t>
  </si>
  <si>
    <t xml:space="preserve">tai9422</t>
  </si>
  <si>
    <t xml:space="preserve">stubbs, f</t>
  </si>
  <si>
    <t xml:space="preserve">sheffield england</t>
  </si>
  <si>
    <t xml:space="preserve">tai9475</t>
  </si>
  <si>
    <t xml:space="preserve">newson, j</t>
  </si>
  <si>
    <t xml:space="preserve">bloomington ind</t>
  </si>
  <si>
    <t xml:space="preserve">tai9491</t>
  </si>
  <si>
    <t xml:space="preserve">tillman, j</t>
  </si>
  <si>
    <t xml:space="preserve">tai9553</t>
  </si>
  <si>
    <t xml:space="preserve">pridham, h</t>
  </si>
  <si>
    <t xml:space="preserve">cooljfardie w australia</t>
  </si>
  <si>
    <t xml:space="preserve">tai9576</t>
  </si>
  <si>
    <t xml:space="preserve">wetherill, j</t>
  </si>
  <si>
    <t xml:space="preserve">south bethlehem pa</t>
  </si>
  <si>
    <t xml:space="preserve">tai9659</t>
  </si>
  <si>
    <t xml:space="preserve">sweet, t</t>
  </si>
  <si>
    <t xml:space="preserve">broken hill new south wales</t>
  </si>
  <si>
    <t xml:space="preserve">tai9714</t>
  </si>
  <si>
    <t xml:space="preserve">wendel, c</t>
  </si>
  <si>
    <t xml:space="preserve">hayange lorraine</t>
  </si>
  <si>
    <t xml:space="preserve">tai9723</t>
  </si>
  <si>
    <t xml:space="preserve">ackerman, w</t>
  </si>
  <si>
    <t xml:space="preserve">tai9817</t>
  </si>
  <si>
    <t xml:space="preserve">arnberg, c</t>
  </si>
  <si>
    <t xml:space="preserve">wheeling steel and iron co</t>
  </si>
  <si>
    <t xml:space="preserve">wheeling west va</t>
  </si>
  <si>
    <t xml:space="preserve">tai9847</t>
  </si>
  <si>
    <t xml:space="preserve">bache, f</t>
  </si>
  <si>
    <t xml:space="preserve">pres. mcalester coal co</t>
  </si>
  <si>
    <t xml:space="preserve">tai9859</t>
  </si>
  <si>
    <t xml:space="preserve">bailey, c</t>
  </si>
  <si>
    <t xml:space="preserve">reliance steel] casting co</t>
  </si>
  <si>
    <t xml:space="preserve">tai9864</t>
  </si>
  <si>
    <t xml:space="preserve">bain, h</t>
  </si>
  <si>
    <t xml:space="preserve">cripple creek colo</t>
  </si>
  <si>
    <t xml:space="preserve">tai9890</t>
  </si>
  <si>
    <t xml:space="preserve">barbour, t</t>
  </si>
  <si>
    <t xml:space="preserve">risdon iron works</t>
  </si>
  <si>
    <t xml:space="preserve">tai9896</t>
  </si>
  <si>
    <t xml:space="preserve">barley, e</t>
  </si>
  <si>
    <t xml:space="preserve">royal colonial inst.</t>
  </si>
  <si>
    <t xml:space="preserve">tai9898</t>
  </si>
  <si>
    <t xml:space="preserve">barnard, g</t>
  </si>
  <si>
    <t xml:space="preserve">tai9944</t>
  </si>
  <si>
    <t xml:space="preserve">beaumont, m</t>
  </si>
  <si>
    <t xml:space="preserve">tai9982</t>
  </si>
  <si>
    <t xml:space="preserve">bermingham, j</t>
  </si>
  <si>
    <t xml:space="preserve">pinole cal</t>
  </si>
  <si>
    <t xml:space="preserve">tai9985</t>
  </si>
  <si>
    <t xml:space="preserve">berry, j</t>
  </si>
  <si>
    <t xml:space="preserve">johannesburg south africa</t>
  </si>
  <si>
    <t xml:space="preserve">tai9987</t>
  </si>
  <si>
    <t xml:space="preserve">care wm. s. bates</t>
  </si>
  <si>
    <t xml:space="preserve">tai10115</t>
  </si>
  <si>
    <t xml:space="preserve">bradford, s</t>
  </si>
  <si>
    <t xml:space="preserve">nye tonopah nevada.</t>
  </si>
  <si>
    <t xml:space="preserve">tai10145</t>
  </si>
  <si>
    <t xml:space="preserve">bretherton, g</t>
  </si>
  <si>
    <t xml:space="preserve">oorgaum india</t>
  </si>
  <si>
    <t xml:space="preserve">tai10259</t>
  </si>
  <si>
    <t xml:space="preserve">burritt, w</t>
  </si>
  <si>
    <t xml:space="preserve">tai10276</t>
  </si>
  <si>
    <t xml:space="preserve">byrnes, o</t>
  </si>
  <si>
    <t xml:space="preserve">gold belt mining co</t>
  </si>
  <si>
    <t xml:space="preserve">marysville mont</t>
  </si>
  <si>
    <t xml:space="preserve">tai10279</t>
  </si>
  <si>
    <t xml:space="preserve">cadle, c</t>
  </si>
  <si>
    <t xml:space="preserve">blocton alabama</t>
  </si>
  <si>
    <t xml:space="preserve">tai10367</t>
  </si>
  <si>
    <t xml:space="preserve">chalmers, w</t>
  </si>
  <si>
    <t xml:space="preserve">fraser &amp; chalmers</t>
  </si>
  <si>
    <t xml:space="preserve">tai10368</t>
  </si>
  <si>
    <t xml:space="preserve">chamberlain, h</t>
  </si>
  <si>
    <t xml:space="preserve">roane iron co</t>
  </si>
  <si>
    <t xml:space="preserve">tai10402</t>
  </si>
  <si>
    <t xml:space="preserve">chippendale, a</t>
  </si>
  <si>
    <t xml:space="preserve">american club</t>
  </si>
  <si>
    <t xml:space="preserve">tai10410</t>
  </si>
  <si>
    <t xml:space="preserve">christianson, p</t>
  </si>
  <si>
    <t xml:space="preserve">instructor</t>
  </si>
  <si>
    <t xml:space="preserve">minn. school of mines</t>
  </si>
  <si>
    <t xml:space="preserve">minneapolis minnesota</t>
  </si>
  <si>
    <t xml:space="preserve">tai10517</t>
  </si>
  <si>
    <t xml:space="preserve">connell, w</t>
  </si>
  <si>
    <t xml:space="preserve">craig city va</t>
  </si>
  <si>
    <t xml:space="preserve">tai10521</t>
  </si>
  <si>
    <t xml:space="preserve">conner, j</t>
  </si>
  <si>
    <t xml:space="preserve">monticello</t>
  </si>
  <si>
    <t xml:space="preserve">helena mont</t>
  </si>
  <si>
    <t xml:space="preserve">tai10540</t>
  </si>
  <si>
    <t xml:space="preserve">cooper, a</t>
  </si>
  <si>
    <t xml:space="preserve">tai10620</t>
  </si>
  <si>
    <t xml:space="preserve">curry, h</t>
  </si>
  <si>
    <t xml:space="preserve">tai10660</t>
  </si>
  <si>
    <t xml:space="preserve">davies, e</t>
  </si>
  <si>
    <t xml:space="preserve">tai10685</t>
  </si>
  <si>
    <t xml:space="preserve">davison, g</t>
  </si>
  <si>
    <t xml:space="preserve">illinois steel co</t>
  </si>
  <si>
    <t xml:space="preserve">tai10761</t>
  </si>
  <si>
    <t xml:space="preserve">dodge, c</t>
  </si>
  <si>
    <t xml:space="preserve">tai10796</t>
  </si>
  <si>
    <t xml:space="preserve">downs, c</t>
  </si>
  <si>
    <t xml:space="preserve">bunker hill and sullivan m. and concent. co</t>
  </si>
  <si>
    <t xml:space="preserve">amador city cal.</t>
  </si>
  <si>
    <t xml:space="preserve">tai10833</t>
  </si>
  <si>
    <t xml:space="preserve">dumont, j</t>
  </si>
  <si>
    <t xml:space="preserve">tai10938</t>
  </si>
  <si>
    <t xml:space="preserve">escobar, m</t>
  </si>
  <si>
    <t xml:space="preserve">berkeley cal</t>
  </si>
  <si>
    <t xml:space="preserve">tai10967</t>
  </si>
  <si>
    <t xml:space="preserve">fackenthal, m</t>
  </si>
  <si>
    <t xml:space="preserve">hidalgo mexico</t>
  </si>
  <si>
    <t xml:space="preserve">tai11088</t>
  </si>
  <si>
    <t xml:space="preserve">foster, p</t>
  </si>
  <si>
    <t xml:space="preserve">el oro m. &amp; ry. co</t>
  </si>
  <si>
    <t xml:space="preserve">el oro mexico</t>
  </si>
  <si>
    <t xml:space="preserve">tai11091</t>
  </si>
  <si>
    <t xml:space="preserve">fowle, j</t>
  </si>
  <si>
    <t xml:space="preserve">michigamme mich</t>
  </si>
  <si>
    <t xml:space="preserve">tai11139</t>
  </si>
  <si>
    <t xml:space="preserve">tai11167</t>
  </si>
  <si>
    <t xml:space="preserve">gayley, j</t>
  </si>
  <si>
    <t xml:space="preserve">u. s. steel corp.</t>
  </si>
  <si>
    <t xml:space="preserve">tai11195</t>
  </si>
  <si>
    <t xml:space="preserve">gilpin, f</t>
  </si>
  <si>
    <t xml:space="preserve">colorado springs colo</t>
  </si>
  <si>
    <t xml:space="preserve">tai11221</t>
  </si>
  <si>
    <t xml:space="preserve">goodloe, m</t>
  </si>
  <si>
    <t xml:space="preserve">congress cons. m. co</t>
  </si>
  <si>
    <t xml:space="preserve">congress ariz</t>
  </si>
  <si>
    <t xml:space="preserve">tai11226</t>
  </si>
  <si>
    <t xml:space="preserve">goop, g</t>
  </si>
  <si>
    <t xml:space="preserve">osceola mills pa</t>
  </si>
  <si>
    <t xml:space="preserve">tai11234</t>
  </si>
  <si>
    <t xml:space="preserve">gorham, a</t>
  </si>
  <si>
    <t xml:space="preserve">gorham coal co sherman m. &amp; millg.</t>
  </si>
  <si>
    <t xml:space="preserve">tai11270</t>
  </si>
  <si>
    <t xml:space="preserve">greeng, f</t>
  </si>
  <si>
    <t xml:space="preserve">anaconda copper m. co</t>
  </si>
  <si>
    <t xml:space="preserve">tai11332</t>
  </si>
  <si>
    <t xml:space="preserve">hall, h</t>
  </si>
  <si>
    <t xml:space="preserve">lake superior power co</t>
  </si>
  <si>
    <t xml:space="preserve">saul ste marie ontario</t>
  </si>
  <si>
    <t xml:space="preserve">tai11494</t>
  </si>
  <si>
    <t xml:space="preserve">hill, h</t>
  </si>
  <si>
    <t xml:space="preserve">tai11502</t>
  </si>
  <si>
    <t xml:space="preserve">hinchman, c</t>
  </si>
  <si>
    <t xml:space="preserve">agent</t>
  </si>
  <si>
    <t xml:space="preserve">pennsylvania steel co</t>
  </si>
  <si>
    <t xml:space="preserve">tai11574</t>
  </si>
  <si>
    <t xml:space="preserve">howe, c</t>
  </si>
  <si>
    <t xml:space="preserve">duluth minn</t>
  </si>
  <si>
    <t xml:space="preserve">tai11686</t>
  </si>
  <si>
    <t xml:space="preserve">jenkins, g</t>
  </si>
  <si>
    <t xml:space="preserve">dover n j</t>
  </si>
  <si>
    <t xml:space="preserve">tai11690</t>
  </si>
  <si>
    <t xml:space="preserve">jenks, t</t>
  </si>
  <si>
    <t xml:space="preserve">albuquerque new mexico</t>
  </si>
  <si>
    <t xml:space="preserve">tai11770</t>
  </si>
  <si>
    <t xml:space="preserve">kasahara, w</t>
  </si>
  <si>
    <t xml:space="preserve">hibira copper mine</t>
  </si>
  <si>
    <t xml:space="preserve">hyuga japan</t>
  </si>
  <si>
    <t xml:space="preserve">tai11775</t>
  </si>
  <si>
    <t xml:space="preserve">kayser, h</t>
  </si>
  <si>
    <t xml:space="preserve">mount brehoff m. co</t>
  </si>
  <si>
    <t xml:space="preserve">launceston tasmania</t>
  </si>
  <si>
    <t xml:space="preserve">tai11863</t>
  </si>
  <si>
    <t xml:space="preserve">knight, e</t>
  </si>
  <si>
    <t xml:space="preserve">monterrey nl</t>
  </si>
  <si>
    <t xml:space="preserve">tai11898</t>
  </si>
  <si>
    <t xml:space="preserve">kurtz, h</t>
  </si>
  <si>
    <t xml:space="preserve">walker company</t>
  </si>
  <si>
    <t xml:space="preserve">tai12088</t>
  </si>
  <si>
    <t xml:space="preserve">ludlow, e</t>
  </si>
  <si>
    <t xml:space="preserve">mexican coal and coke co</t>
  </si>
  <si>
    <t xml:space="preserve">las esperanzas coahuila</t>
  </si>
  <si>
    <t xml:space="preserve">tai12121</t>
  </si>
  <si>
    <t xml:space="preserve">macfarlane, r</t>
  </si>
  <si>
    <t xml:space="preserve">care dupp syndicate</t>
  </si>
  <si>
    <t xml:space="preserve">singapore</t>
  </si>
  <si>
    <t xml:space="preserve">tai12189</t>
  </si>
  <si>
    <t xml:space="preserve">masters, h</t>
  </si>
  <si>
    <t xml:space="preserve">u. s. smelting co</t>
  </si>
  <si>
    <t xml:space="preserve">tai12195</t>
  </si>
  <si>
    <t xml:space="preserve">mathewson, e</t>
  </si>
  <si>
    <t xml:space="preserve">anaconda mont</t>
  </si>
  <si>
    <t xml:space="preserve">tai12207</t>
  </si>
  <si>
    <t xml:space="preserve">maxson, c</t>
  </si>
  <si>
    <t xml:space="preserve">miami m co</t>
  </si>
  <si>
    <t xml:space="preserve">lordsburg n. mex.</t>
  </si>
  <si>
    <t xml:space="preserve">tai12276</t>
  </si>
  <si>
    <t xml:space="preserve">mckay, j</t>
  </si>
  <si>
    <t xml:space="preserve">lake view consols</t>
  </si>
  <si>
    <t xml:space="preserve">boulder australia</t>
  </si>
  <si>
    <t xml:space="preserve">tai12281</t>
  </si>
  <si>
    <t xml:space="preserve">mckenna, c</t>
  </si>
  <si>
    <t xml:space="preserve">tai12325</t>
  </si>
  <si>
    <t xml:space="preserve">meister, h</t>
  </si>
  <si>
    <t xml:space="preserve">tai12335</t>
  </si>
  <si>
    <t xml:space="preserve">merricks, f</t>
  </si>
  <si>
    <t xml:space="preserve">tai12344</t>
  </si>
  <si>
    <t xml:space="preserve">messiter, e</t>
  </si>
  <si>
    <t xml:space="preserve">federal lead co</t>
  </si>
  <si>
    <t xml:space="preserve">tai12354</t>
  </si>
  <si>
    <t xml:space="preserve">tai12358</t>
  </si>
  <si>
    <t xml:space="preserve">miller, a</t>
  </si>
  <si>
    <t xml:space="preserve">moscow idaho</t>
  </si>
  <si>
    <t xml:space="preserve">tai12368</t>
  </si>
  <si>
    <t xml:space="preserve">miller, h</t>
  </si>
  <si>
    <t xml:space="preserve">balzac valley co</t>
  </si>
  <si>
    <t xml:space="preserve">tai12416</t>
  </si>
  <si>
    <t xml:space="preserve">moopy, b</t>
  </si>
  <si>
    <t xml:space="preserve">homestake mining co</t>
  </si>
  <si>
    <t xml:space="preserve">lead s dakota</t>
  </si>
  <si>
    <t xml:space="preserve">tai12417</t>
  </si>
  <si>
    <t xml:space="preserve">moore, c</t>
  </si>
  <si>
    <t xml:space="preserve">tai12432</t>
  </si>
  <si>
    <t xml:space="preserve">morley, h</t>
  </si>
  <si>
    <t xml:space="preserve">detroit mich</t>
  </si>
  <si>
    <t xml:space="preserve">tai12439</t>
  </si>
  <si>
    <t xml:space="preserve">morris, g</t>
  </si>
  <si>
    <t xml:space="preserve">eckman west va</t>
  </si>
  <si>
    <t xml:space="preserve">tai12448</t>
  </si>
  <si>
    <t xml:space="preserve">morrison, e</t>
  </si>
  <si>
    <t xml:space="preserve">continental mfg. co</t>
  </si>
  <si>
    <t xml:space="preserve">tai12472</t>
  </si>
  <si>
    <t xml:space="preserve">munroe, c</t>
  </si>
  <si>
    <t xml:space="preserve">columbian college</t>
  </si>
  <si>
    <t xml:space="preserve">tai12497</t>
  </si>
  <si>
    <t xml:space="preserve">tai12508</t>
  </si>
  <si>
    <t xml:space="preserve">neill, w</t>
  </si>
  <si>
    <t xml:space="preserve">solvay process co</t>
  </si>
  <si>
    <t xml:space="preserve">syracuse n y</t>
  </si>
  <si>
    <t xml:space="preserve">tai12579</t>
  </si>
  <si>
    <t xml:space="preserve">olcott, w</t>
  </si>
  <si>
    <t xml:space="preserve">tai12581</t>
  </si>
  <si>
    <t xml:space="preserve">olhausen, j</t>
  </si>
  <si>
    <t xml:space="preserve">tai12585</t>
  </si>
  <si>
    <t xml:space="preserve">oliver, h</t>
  </si>
  <si>
    <t xml:space="preserve">tai12671</t>
  </si>
  <si>
    <t xml:space="preserve">patterson, r</t>
  </si>
  <si>
    <t xml:space="preserve">bachmans system of water purification</t>
  </si>
  <si>
    <t xml:space="preserve">tai12772</t>
  </si>
  <si>
    <t xml:space="preserve">plummer, j</t>
  </si>
  <si>
    <t xml:space="preserve">tai12773</t>
  </si>
  <si>
    <t xml:space="preserve">poage, j</t>
  </si>
  <si>
    <t xml:space="preserve">broken hill proprietary co</t>
  </si>
  <si>
    <t xml:space="preserve">port pirie australia</t>
  </si>
  <si>
    <t xml:space="preserve">tai12867</t>
  </si>
  <si>
    <t xml:space="preserve">rand, j</t>
  </si>
  <si>
    <t xml:space="preserve">rand drill co</t>
  </si>
  <si>
    <t xml:space="preserve">tai12915</t>
  </si>
  <si>
    <t xml:space="preserve">remsen, i</t>
  </si>
  <si>
    <t xml:space="preserve">johns hopkins univ.</t>
  </si>
  <si>
    <t xml:space="preserve">baltimore md</t>
  </si>
  <si>
    <t xml:space="preserve">tai12960</t>
  </si>
  <si>
    <t xml:space="preserve">rickard, h</t>
  </si>
  <si>
    <t xml:space="preserve">a. chester beatty</t>
  </si>
  <si>
    <t xml:space="preserve">tai13029</t>
  </si>
  <si>
    <t xml:space="preserve">rogers, e</t>
  </si>
  <si>
    <t xml:space="preserve">apen mines</t>
  </si>
  <si>
    <t xml:space="preserve">tai13062</t>
  </si>
  <si>
    <t xml:space="preserve">ruttmann, f</t>
  </si>
  <si>
    <t xml:space="preserve">tai13120</t>
  </si>
  <si>
    <t xml:space="preserve">schmidt, d</t>
  </si>
  <si>
    <t xml:space="preserve">Baden Wurttemberg germany.</t>
  </si>
  <si>
    <t xml:space="preserve">tai13173</t>
  </si>
  <si>
    <t xml:space="preserve">seddon, t</t>
  </si>
  <si>
    <t xml:space="preserve">birmingham ala</t>
  </si>
  <si>
    <t xml:space="preserve">tai13188</t>
  </si>
  <si>
    <t xml:space="preserve">shaboft, e</t>
  </si>
  <si>
    <t xml:space="preserve">tai13254</t>
  </si>
  <si>
    <t xml:space="preserve">singer, w</t>
  </si>
  <si>
    <t xml:space="preserve">allegheny pa</t>
  </si>
  <si>
    <t xml:space="preserve">tai13255</t>
  </si>
  <si>
    <t xml:space="preserve">sinn, a</t>
  </si>
  <si>
    <t xml:space="preserve">bienne switzerland.</t>
  </si>
  <si>
    <t xml:space="preserve">tai13269</t>
  </si>
  <si>
    <t xml:space="preserve">slater, a</t>
  </si>
  <si>
    <t xml:space="preserve">colo fuel &amp; iron co</t>
  </si>
  <si>
    <t xml:space="preserve">tai13280</t>
  </si>
  <si>
    <t xml:space="preserve">smedley, a</t>
  </si>
  <si>
    <t xml:space="preserve">national transit co</t>
  </si>
  <si>
    <t xml:space="preserve">oil city pa</t>
  </si>
  <si>
    <t xml:space="preserve">tai13349</t>
  </si>
  <si>
    <t xml:space="preserve">sperry, e</t>
  </si>
  <si>
    <t xml:space="preserve">biwabik minn.</t>
  </si>
  <si>
    <t xml:space="preserve">tai13442</t>
  </si>
  <si>
    <t xml:space="preserve">stow, a</t>
  </si>
  <si>
    <t xml:space="preserve">hunter w.va</t>
  </si>
  <si>
    <t xml:space="preserve">tai13506</t>
  </si>
  <si>
    <t xml:space="preserve">taylor, w</t>
  </si>
  <si>
    <t xml:space="preserve">iron gate va</t>
  </si>
  <si>
    <t xml:space="preserve">tai13507</t>
  </si>
  <si>
    <t xml:space="preserve">taylor iron &amp; steel co</t>
  </si>
  <si>
    <t xml:space="preserve">high bridge nj</t>
  </si>
  <si>
    <t xml:space="preserve">tai13535</t>
  </si>
  <si>
    <t xml:space="preserve">thomas, t</t>
  </si>
  <si>
    <t xml:space="preserve">tai13566</t>
  </si>
  <si>
    <t xml:space="preserve">titcomsb, h</t>
  </si>
  <si>
    <t xml:space="preserve">camp bird mills</t>
  </si>
  <si>
    <t xml:space="preserve">ouray colorado</t>
  </si>
  <si>
    <t xml:space="preserve">tai13574</t>
  </si>
  <si>
    <t xml:space="preserve">toll, a</t>
  </si>
  <si>
    <t xml:space="preserve">wallace min. co</t>
  </si>
  <si>
    <t xml:space="preserve">pitkin colo</t>
  </si>
  <si>
    <t xml:space="preserve">tai13603</t>
  </si>
  <si>
    <t xml:space="preserve">trautvctter, c</t>
  </si>
  <si>
    <t xml:space="preserve">sharpeville pa</t>
  </si>
  <si>
    <t xml:space="preserve">tai13613</t>
  </si>
  <si>
    <t xml:space="preserve">treweek, j</t>
  </si>
  <si>
    <t xml:space="preserve">tai13631</t>
  </si>
  <si>
    <t xml:space="preserve">turner, r</t>
  </si>
  <si>
    <t xml:space="preserve">standard cons. mining co</t>
  </si>
  <si>
    <t xml:space="preserve">bodie cal</t>
  </si>
  <si>
    <t xml:space="preserve">tai13653</t>
  </si>
  <si>
    <t xml:space="preserve">upham, c</t>
  </si>
  <si>
    <t xml:space="preserve">vice president</t>
  </si>
  <si>
    <t xml:space="preserve">new york steam co</t>
  </si>
  <si>
    <t xml:space="preserve">tai13678</t>
  </si>
  <si>
    <t xml:space="preserve">van, s</t>
  </si>
  <si>
    <t xml:space="preserve">gen. electric co</t>
  </si>
  <si>
    <t xml:space="preserve">tai13695</t>
  </si>
  <si>
    <t xml:space="preserve">vogelsang, k</t>
  </si>
  <si>
    <t xml:space="preserve">stassfurt emrany</t>
  </si>
  <si>
    <t xml:space="preserve">tai13745</t>
  </si>
  <si>
    <t xml:space="preserve">warden, b</t>
  </si>
  <si>
    <t xml:space="preserve">clarks cons. Ltd</t>
  </si>
  <si>
    <t xml:space="preserve">ferguson b c</t>
  </si>
  <si>
    <t xml:space="preserve">tai13778</t>
  </si>
  <si>
    <t xml:space="preserve">weaver, h</t>
  </si>
  <si>
    <t xml:space="preserve">allentown pa</t>
  </si>
  <si>
    <t xml:space="preserve">tai13862</t>
  </si>
  <si>
    <t xml:space="preserve">wiard, e</t>
  </si>
  <si>
    <t xml:space="preserve">empire state idaho m. &amp; dev. co</t>
  </si>
  <si>
    <t xml:space="preserve">wardner idaho</t>
  </si>
  <si>
    <t xml:space="preserve">tai13880</t>
  </si>
  <si>
    <t xml:space="preserve">wilkes, j</t>
  </si>
  <si>
    <t xml:space="preserve">mecklenburg iron wks.</t>
  </si>
  <si>
    <t xml:space="preserve">charlotte n. c.</t>
  </si>
  <si>
    <t xml:space="preserve">tai13939</t>
  </si>
  <si>
    <t xml:space="preserve">wilson, g</t>
  </si>
  <si>
    <t xml:space="preserve">denallan kirkintilloch</t>
  </si>
  <si>
    <t xml:space="preserve">tai13989</t>
  </si>
  <si>
    <t xml:space="preserve">woodbridge, t</t>
  </si>
  <si>
    <t xml:space="preserve">taylor &amp; brunton sampling co</t>
  </si>
  <si>
    <t xml:space="preserve">victor colo</t>
  </si>
  <si>
    <t xml:space="preserve">tai14073</t>
  </si>
  <si>
    <t xml:space="preserve">schoonmaker, h</t>
  </si>
  <si>
    <t xml:space="preserve">cananea mexico</t>
  </si>
  <si>
    <t xml:space="preserve">tai14083</t>
  </si>
  <si>
    <t xml:space="preserve">thomas, d</t>
  </si>
  <si>
    <t xml:space="preserve">rossland bc</t>
  </si>
  <si>
    <t xml:space="preserve">tai14107</t>
  </si>
  <si>
    <t xml:space="preserve">beeler, h</t>
  </si>
  <si>
    <t xml:space="preserve">tai14251</t>
  </si>
  <si>
    <t xml:space="preserve">meikleham, r</t>
  </si>
  <si>
    <t xml:space="preserve">electrical enginer</t>
  </si>
  <si>
    <t xml:space="preserve">new york n y</t>
  </si>
  <si>
    <t xml:space="preserve">tai14269</t>
  </si>
  <si>
    <t xml:space="preserve">rawn, a</t>
  </si>
  <si>
    <t xml:space="preserve">dott w va</t>
  </si>
  <si>
    <t xml:space="preserve">tai14279</t>
  </si>
  <si>
    <t xml:space="preserve">roesler, a</t>
  </si>
  <si>
    <t xml:space="preserve">tai14365</t>
  </si>
  <si>
    <t xml:space="preserve">boyle, j</t>
  </si>
  <si>
    <t xml:space="preserve">los angeles cal</t>
  </si>
  <si>
    <t xml:space="preserve">tai14381</t>
  </si>
  <si>
    <t xml:space="preserve">carpenter, a</t>
  </si>
  <si>
    <t xml:space="preserve">tai14386</t>
  </si>
  <si>
    <t xml:space="preserve">collins, j</t>
  </si>
  <si>
    <t xml:space="preserve">tai14397</t>
  </si>
  <si>
    <t xml:space="preserve">du, f</t>
  </si>
  <si>
    <t xml:space="preserve">mount morgan australia</t>
  </si>
  <si>
    <t xml:space="preserve">tai14541</t>
  </si>
  <si>
    <t xml:space="preserve">netter, a</t>
  </si>
  <si>
    <t xml:space="preserve">vryheid so africa</t>
  </si>
  <si>
    <t xml:space="preserve">tai14550</t>
  </si>
  <si>
    <t xml:space="preserve">olyntho, a</t>
  </si>
  <si>
    <t xml:space="preserve">minas geraes brazil</t>
  </si>
  <si>
    <t xml:space="preserve">tai14605</t>
  </si>
  <si>
    <t xml:space="preserve">smith, r</t>
  </si>
  <si>
    <t xml:space="preserve">tai14611</t>
  </si>
  <si>
    <t xml:space="preserve">starr, c</t>
  </si>
  <si>
    <t xml:space="preserve">tai14627</t>
  </si>
  <si>
    <t xml:space="preserve">temby, e</t>
  </si>
  <si>
    <t xml:space="preserve">francistown matabeleland</t>
  </si>
  <si>
    <t xml:space="preserve">tai14873</t>
  </si>
  <si>
    <t xml:space="preserve">newman, b</t>
  </si>
  <si>
    <t xml:space="preserve">asientos aguascalientes</t>
  </si>
  <si>
    <t xml:space="preserve">tai15071</t>
  </si>
  <si>
    <t xml:space="preserve">fudge, t</t>
  </si>
  <si>
    <t xml:space="preserve">bayonne n j</t>
  </si>
  <si>
    <t xml:space="preserve">tai15081</t>
  </si>
  <si>
    <t xml:space="preserve">giroux, f</t>
  </si>
  <si>
    <t xml:space="preserve">mayer ariz</t>
  </si>
  <si>
    <t xml:space="preserve">tai15083</t>
  </si>
  <si>
    <t xml:space="preserve">gordon, l</t>
  </si>
  <si>
    <t xml:space="preserve">tai15127</t>
  </si>
  <si>
    <t xml:space="preserve">kapelowitz, b</t>
  </si>
  <si>
    <t xml:space="preserve">germiston transvaal</t>
  </si>
  <si>
    <t xml:space="preserve">tai15142</t>
  </si>
  <si>
    <t xml:space="preserve">leckie, r</t>
  </si>
  <si>
    <t xml:space="preserve">cobalt ont</t>
  </si>
  <si>
    <t xml:space="preserve">tai15167</t>
  </si>
  <si>
    <t xml:space="preserve">mosier, m</t>
  </si>
  <si>
    <t xml:space="preserve">bisbee arizona</t>
  </si>
  <si>
    <t xml:space="preserve">tai15183</t>
  </si>
  <si>
    <t xml:space="preserve">ough, s</t>
  </si>
  <si>
    <t xml:space="preserve">guanajuato mexico</t>
  </si>
  <si>
    <t xml:space="preserve">tai15276</t>
  </si>
  <si>
    <t xml:space="preserve">searchlight nev</t>
  </si>
  <si>
    <t xml:space="preserve">tai15329</t>
  </si>
  <si>
    <t xml:space="preserve">conner, h</t>
  </si>
  <si>
    <t xml:space="preserve">prince w va</t>
  </si>
  <si>
    <t xml:space="preserve">tai15397</t>
  </si>
  <si>
    <t xml:space="preserve">hunt, t</t>
  </si>
  <si>
    <t xml:space="preserve">iron mountain cal</t>
  </si>
  <si>
    <t xml:space="preserve">tai15412</t>
  </si>
  <si>
    <t xml:space="preserve">kuryla, m</t>
  </si>
  <si>
    <t xml:space="preserve">tai15475</t>
  </si>
  <si>
    <t xml:space="preserve">richardson, s</t>
  </si>
  <si>
    <t xml:space="preserve">republic wash</t>
  </si>
  <si>
    <t xml:space="preserve">tai15502</t>
  </si>
  <si>
    <t xml:space="preserve">turner, n</t>
  </si>
  <si>
    <t xml:space="preserve">firmeza santiago</t>
  </si>
  <si>
    <t xml:space="preserve">tai15513</t>
  </si>
  <si>
    <t xml:space="preserve">weiskopf, a</t>
  </si>
  <si>
    <t xml:space="preserve">hanoverlinden germany</t>
  </si>
  <si>
    <t xml:space="preserve">tai15543</t>
  </si>
  <si>
    <t xml:space="preserve">brown, d</t>
  </si>
  <si>
    <t xml:space="preserve">tai15622</t>
  </si>
  <si>
    <t xml:space="preserve">lancaster, h</t>
  </si>
  <si>
    <t xml:space="preserve">wallace idaho</t>
  </si>
  <si>
    <t xml:space="preserve">tai15637</t>
  </si>
  <si>
    <t xml:space="preserve">mcaulifte, e</t>
  </si>
  <si>
    <t xml:space="preserve">tai15749</t>
  </si>
  <si>
    <t xml:space="preserve">butler, m</t>
  </si>
  <si>
    <t xml:space="preserve">fairfax wash</t>
  </si>
  <si>
    <t xml:space="preserve">tai15827</t>
  </si>
  <si>
    <t xml:space="preserve">merrill, p</t>
  </si>
  <si>
    <t xml:space="preserve">hibbing minn</t>
  </si>
  <si>
    <t xml:space="preserve">tai15872</t>
  </si>
  <si>
    <t xml:space="preserve">stewart, c</t>
  </si>
  <si>
    <t xml:space="preserve">ithaca n y</t>
  </si>
  <si>
    <t xml:space="preserve">tai15916</t>
  </si>
  <si>
    <t xml:space="preserve">borie, a</t>
  </si>
  <si>
    <t xml:space="preserve">tai15962</t>
  </si>
  <si>
    <t xml:space="preserve">engel, g</t>
  </si>
  <si>
    <t xml:space="preserve">tai15979</t>
  </si>
  <si>
    <t xml:space="preserve">goldswortliy, j</t>
  </si>
  <si>
    <t xml:space="preserve">vancouver b c</t>
  </si>
  <si>
    <t xml:space="preserve">tai15997</t>
  </si>
  <si>
    <t xml:space="preserve">howell, f</t>
  </si>
  <si>
    <t xml:space="preserve">tai16083</t>
  </si>
  <si>
    <t xml:space="preserve">spicer, p</t>
  </si>
  <si>
    <t xml:space="preserve">kelowna b c</t>
  </si>
  <si>
    <t xml:space="preserve">tai16121</t>
  </si>
  <si>
    <t xml:space="preserve">barnard, e</t>
  </si>
  <si>
    <t xml:space="preserve">tai16125</t>
  </si>
  <si>
    <t xml:space="preserve">beck, e</t>
  </si>
  <si>
    <t xml:space="preserve">tai16135</t>
  </si>
  <si>
    <t xml:space="preserve">broden, a</t>
  </si>
  <si>
    <t xml:space="preserve">reading pa</t>
  </si>
  <si>
    <t xml:space="preserve">tai16152</t>
  </si>
  <si>
    <t xml:space="preserve">crandall, r</t>
  </si>
  <si>
    <t xml:space="preserve">palo alto cal</t>
  </si>
  <si>
    <t xml:space="preserve">tai16200</t>
  </si>
  <si>
    <t xml:space="preserve">hioki, m</t>
  </si>
  <si>
    <t xml:space="preserve">akita japan</t>
  </si>
  <si>
    <t xml:space="preserve">tai16235</t>
  </si>
  <si>
    <t xml:space="preserve">libby, f</t>
  </si>
  <si>
    <t xml:space="preserve">wickenburg ariz</t>
  </si>
  <si>
    <t xml:space="preserve">tai16297</t>
  </si>
  <si>
    <t xml:space="preserve">perry, w</t>
  </si>
  <si>
    <t xml:space="preserve">cumberland md</t>
  </si>
  <si>
    <t xml:space="preserve">tai16319</t>
  </si>
  <si>
    <t xml:space="preserve">schiffner, o</t>
  </si>
  <si>
    <t xml:space="preserve">dale cal</t>
  </si>
  <si>
    <t xml:space="preserve">tai16333</t>
  </si>
  <si>
    <t xml:space="preserve">slosson, h</t>
  </si>
  <si>
    <t xml:space="preserve">tai16362</t>
  </si>
  <si>
    <t xml:space="preserve">tpearce, s</t>
  </si>
  <si>
    <t xml:space="preserve">Correct</t>
  </si>
  <si>
    <t xml:space="preserve">myb24</t>
  </si>
  <si>
    <t xml:space="preserve">For 1886-7, 10s. per share interim dividends have been paid.</t>
  </si>
  <si>
    <t xml:space="preserve">Adamant Diamond Mining Company Limited</t>
  </si>
  <si>
    <t xml:space="preserve">myb675</t>
  </si>
  <si>
    <t xml:space="preserve">the two boards which appear more advantageous to both companies than those</t>
  </si>
  <si>
    <t xml:space="preserve">Anglo African Diamond Mining Company</t>
  </si>
  <si>
    <t xml:space="preserve">myb1359</t>
  </si>
  <si>
    <t xml:space="preserve">mining, Ac. The company also possesses certain contracts and shares in the</t>
  </si>
  <si>
    <t xml:space="preserve">Aruba Island Gold Mining Company</t>
  </si>
  <si>
    <t xml:space="preserve">myb3650</t>
  </si>
  <si>
    <t xml:space="preserve">preference shares of the new company.</t>
  </si>
  <si>
    <t xml:space="preserve">Canadian Copper And Sulphur Company</t>
  </si>
  <si>
    <t xml:space="preserve">myb4534</t>
  </si>
  <si>
    <t xml:space="preserve">Less cost of mining and milling, at £2 3s. per ton... ... 10,750</t>
  </si>
  <si>
    <t xml:space="preserve">Charters Towers Queensland Gold Mining</t>
  </si>
  <si>
    <t xml:space="preserve">myb8055</t>
  </si>
  <si>
    <t xml:space="preserve">An important feature connected with the property is that sufficient work has been done to</t>
  </si>
  <si>
    <t xml:space="preserve">Essaman Gold Mining Company Limited</t>
  </si>
  <si>
    <t xml:space="preserve">myb8488</t>
  </si>
  <si>
    <t xml:space="preserve">Liquidator s Offices.</t>
  </si>
  <si>
    <t xml:space="preserve">Frederick Valley Gold Mining Limited</t>
  </si>
  <si>
    <t xml:space="preserve">myb10901</t>
  </si>
  <si>
    <t xml:space="preserve">expectations from the lowest to the furthest extended part of the mine.</t>
  </si>
  <si>
    <t xml:space="preserve">Indian Consolidated Gold Company Limited</t>
  </si>
  <si>
    <t xml:space="preserve">myb12462</t>
  </si>
  <si>
    <t xml:space="preserve">but half-yearly meetings are held in May to receive the agent s report. The</t>
  </si>
  <si>
    <t xml:space="preserve">Leadhills Silver Lead Mining And</t>
  </si>
  <si>
    <t xml:space="preserve">myb15562</t>
  </si>
  <si>
    <t xml:space="preserve">Secretary. Offices.</t>
  </si>
  <si>
    <t xml:space="preserve">New Emma Silver Mining Company</t>
  </si>
  <si>
    <t xml:space="preserve">myb22289</t>
  </si>
  <si>
    <t xml:space="preserve">tbe damage sustained at the mine.</t>
  </si>
  <si>
    <t xml:space="preserve">South Darren Mining Company Limited</t>
  </si>
  <si>
    <t xml:space="preserve">myb23311</t>
  </si>
  <si>
    <t xml:space="preserve">TASMANIAN TIN MINING COMPANY,</t>
  </si>
  <si>
    <t xml:space="preserve">Tasmanian Tin Mining Company Limited</t>
  </si>
  <si>
    <t xml:space="preserve">myb23614</t>
  </si>
  <si>
    <t xml:space="preserve">James 6. Green. John Morgan.</t>
  </si>
  <si>
    <t xml:space="preserve">Tolima Mining Company Limited</t>
  </si>
  <si>
    <t xml:space="preserve">myb24490</t>
  </si>
  <si>
    <t xml:space="preserve">Verdal Nickel Mining Company Limited</t>
  </si>
  <si>
    <t xml:space="preserve">myb25372</t>
  </si>
  <si>
    <t xml:space="preserve">the greatest facility ; it has assayed from 1 to 10 ounces of gold to the ton. The Anacaona</t>
  </si>
  <si>
    <t xml:space="preserve">West Indian Gold Mining Corporation</t>
  </si>
  <si>
    <t xml:space="preserve">myb26854</t>
  </si>
  <si>
    <t xml:space="preserve">annum, and further participation in profits after payment of 12 per cent, on the</t>
  </si>
  <si>
    <t xml:space="preserve">Anglo Sardinian Antimony Company</t>
  </si>
  <si>
    <t xml:space="preserve">myb32097</t>
  </si>
  <si>
    <t xml:space="preserve">filled up with debris ; and this takes extra time and trouble.</t>
  </si>
  <si>
    <t xml:space="preserve">Deresby And Gwydyr Mines Limited</t>
  </si>
  <si>
    <t xml:space="preserve">myb32197</t>
  </si>
  <si>
    <t xml:space="preserve">ot coffee is reported of late to be well maintained, and that of cinchona bark to have improved</t>
  </si>
  <si>
    <t xml:space="preserve">Devixa Moyak Gold</t>
  </si>
  <si>
    <t xml:space="preserve">myb34934</t>
  </si>
  <si>
    <t xml:space="preserve">In addition, there remains a large area owned by the company, on which nothing has so</t>
  </si>
  <si>
    <t xml:space="preserve">Gold Fields North Queensland Limited</t>
  </si>
  <si>
    <t xml:space="preserve">myb35109</t>
  </si>
  <si>
    <t xml:space="preserve">14th July, 1888.</t>
  </si>
  <si>
    <t xml:space="preserve">Golden Gate Alluvial Syndicate Limited</t>
  </si>
  <si>
    <t xml:space="preserve">myb38838</t>
  </si>
  <si>
    <t xml:space="preserve">Percy B. Schreiber. as trustee for tho company, of the second part. There are no other con</t>
  </si>
  <si>
    <t xml:space="preserve">Mansfield Mexican Silver Mine Limited</t>
  </si>
  <si>
    <t xml:space="preserve">myb38992</t>
  </si>
  <si>
    <t xml:space="preserve">23 5 THE MIXIXQ MAXl AL.</t>
  </si>
  <si>
    <t xml:space="preserve">Mexican Copper Syndicate Limited</t>
  </si>
  <si>
    <t xml:space="preserve">myb40695</t>
  </si>
  <si>
    <t xml:space="preserve">may think desirable, provided that all or any moneys realised by them in dealing with or</t>
  </si>
  <si>
    <t xml:space="preserve">Mysore Reefs Gold Mining Company</t>
  </si>
  <si>
    <t xml:space="preserve">myb41602</t>
  </si>
  <si>
    <t xml:space="preserve">the hands of the bankers. A call of 2s. per share was made.</t>
  </si>
  <si>
    <t xml:space="preserve">New Kitty Mine Company</t>
  </si>
  <si>
    <t xml:space="preserve">myb42408</t>
  </si>
  <si>
    <t xml:space="preserve">can eeasily adapted to treat any quantity of ore, small or great.</t>
  </si>
  <si>
    <t xml:space="preserve">New Zealand Gold Extraction Company</t>
  </si>
  <si>
    <t xml:space="preserve">myb42442</t>
  </si>
  <si>
    <t xml:space="preserve">C. P. Kemp, Ford, and Co. Wm. James Cousins, F.C.S. 138, Leadenhall Street, E.C.</t>
  </si>
  <si>
    <t xml:space="preserve">New Zealand Mines Trust Limited</t>
  </si>
  <si>
    <t xml:space="preserve">myb49935</t>
  </si>
  <si>
    <t xml:space="preserve">holder, whether registered or otherwise. Certificates to bearer may be issued in</t>
  </si>
  <si>
    <t xml:space="preserve">Tybdtomawe And North Wales Exploration</t>
  </si>
  <si>
    <t xml:space="preserve">myb54548</t>
  </si>
  <si>
    <t xml:space="preserve">Secretary. Office.</t>
  </si>
  <si>
    <t xml:space="preserve">Golden Quarry Deep Level Gold</t>
  </si>
  <si>
    <t xml:space="preserve">myb59649</t>
  </si>
  <si>
    <t xml:space="preserve">have been issued, and £83,56li 10s. paid up, the B and D shares being</t>
  </si>
  <si>
    <t xml:space="preserve">Astyra Mining Company Limited</t>
  </si>
  <si>
    <t xml:space="preserve">myb60530</t>
  </si>
  <si>
    <t xml:space="preserve">and this is the only agreement to which the company is n party. In relation to the preliminary</t>
  </si>
  <si>
    <t xml:space="preserve">Bolivian Silver Company Limited</t>
  </si>
  <si>
    <t xml:space="preserve">myb61698</t>
  </si>
  <si>
    <t xml:space="preserve">Even with Chili bare at £40 there would still be a return of 7 per cent, on the share capital.</t>
  </si>
  <si>
    <t xml:space="preserve">Camabones Copper Mining And Smelting</t>
  </si>
  <si>
    <t xml:space="preserve">myb63333</t>
  </si>
  <si>
    <t xml:space="preserve">season, with consequent insufficiency of water power at the mill, and scarcitj- of oxen, render</t>
  </si>
  <si>
    <t xml:space="preserve">Costa Rica Mining Company Limited</t>
  </si>
  <si>
    <t xml:space="preserve">myb70191</t>
  </si>
  <si>
    <t xml:space="preserve">Mexican Explorations Limited</t>
  </si>
  <si>
    <t xml:space="preserve">myb72947</t>
  </si>
  <si>
    <t xml:space="preserve">and practical miner, would tend to dissipate the uneasiness which exists in the minds of the</t>
  </si>
  <si>
    <t xml:space="preserve">North Australian Mining Company Limited</t>
  </si>
  <si>
    <t xml:space="preserve">myb84730</t>
  </si>
  <si>
    <t xml:space="preserve">C. V. Freeman, Managing Director.</t>
  </si>
  <si>
    <t xml:space="preserve">Great Britain Gold Mining And</t>
  </si>
  <si>
    <t xml:space="preserve">myb86231</t>
  </si>
  <si>
    <t xml:space="preserve">September, 1886, with a capital of £ 150,000, in 450,000 shares of £1 each, the whole of whi-t</t>
  </si>
  <si>
    <t xml:space="preserve">Lisbon Berlyn Gold Fields Limited</t>
  </si>
  <si>
    <t xml:space="preserve">myb87390</t>
  </si>
  <si>
    <t xml:space="preserve">and further develop the auriferous farm Montrose, in the Komatie district, abont</t>
  </si>
  <si>
    <t xml:space="preserve">Montrose Gold Mining And Exploration</t>
  </si>
  <si>
    <t xml:space="preserve">myb90663</t>
  </si>
  <si>
    <t xml:space="preserve">The corporation has power to acquire any existing mines, and to extend and develop the</t>
  </si>
  <si>
    <t xml:space="preserve">South African Mineral Association Limited </t>
  </si>
  <si>
    <t xml:space="preserve">myb93570</t>
  </si>
  <si>
    <t xml:space="preserve">Sinclair MacLeay, merchant, 167, Winchester</t>
  </si>
  <si>
    <t xml:space="preserve">Adventurers Ashanti And Wassau Limited</t>
  </si>
  <si>
    <t xml:space="preserve">myb94175</t>
  </si>
  <si>
    <t xml:space="preserve">Solicitors. Mining Manager. Auditor.</t>
  </si>
  <si>
    <t xml:space="preserve">Anglo Saxon Gold Mining Syndicate</t>
  </si>
  <si>
    <t xml:space="preserve">myb99090</t>
  </si>
  <si>
    <t xml:space="preserve">allotted is 16,000, on which £8,687 10s. has been paid, being 10s. 3d. per share</t>
  </si>
  <si>
    <t xml:space="preserve">Day Dawn And Norfolk Mines</t>
  </si>
  <si>
    <t xml:space="preserve">myb107745</t>
  </si>
  <si>
    <t xml:space="preserve">Auditor. Secretary. Offices.</t>
  </si>
  <si>
    <t xml:space="preserve">New Pittsburg Grass Valley Gold</t>
  </si>
  <si>
    <t xml:space="preserve">myb108524</t>
  </si>
  <si>
    <t xml:space="preserve">have been retained.</t>
  </si>
  <si>
    <t xml:space="preserve">myb110915</t>
  </si>
  <si>
    <t xml:space="preserve">ment, and the balance as required in sums of 2s., at intervals of not less than</t>
  </si>
  <si>
    <t xml:space="preserve">Quindio Quicksilver Mines Limited</t>
  </si>
  <si>
    <t xml:space="preserve">myb117300</t>
  </si>
  <si>
    <t xml:space="preserve">Howard Hodges. 17 and 18, Basinghall Street, E.C.</t>
  </si>
  <si>
    <t xml:space="preserve">Barrett Gold Mining Company Limited</t>
  </si>
  <si>
    <t xml:space="preserve">myb119625</t>
  </si>
  <si>
    <t xml:space="preserve">developing Matabeleland and territories in South ana Central Africa, and arrangements were</t>
  </si>
  <si>
    <t xml:space="preserve">Exploring Land Minerals Limited</t>
  </si>
  <si>
    <t xml:space="preserve">myb120632</t>
  </si>
  <si>
    <t xml:space="preserve">GRIQUALAND WEST DIAMOND MINING COMPANY,</t>
  </si>
  <si>
    <t xml:space="preserve">Griqualand West Diamond Mining Company</t>
  </si>
  <si>
    <t xml:space="preserve">myb120861</t>
  </si>
  <si>
    <t xml:space="preserve">tain if any of the reefs make below it, before going to the expense of sinking permanent shafts</t>
  </si>
  <si>
    <t xml:space="preserve">Henderson And Forbes Gold Mining</t>
  </si>
  <si>
    <t xml:space="preserve">myb127065</t>
  </si>
  <si>
    <t xml:space="preserve">the remaining 10,000 shares at present, they decided to shut down the mine temporarily.</t>
  </si>
  <si>
    <t xml:space="preserve">Weltevreden Estate And Gold Mining</t>
  </si>
  <si>
    <t xml:space="preserve">myb136127</t>
  </si>
  <si>
    <t xml:space="preserve">account of these preference Bhares the liabilities at the mine, which unfortunately accumulated</t>
  </si>
  <si>
    <t xml:space="preserve">Guadalupe Syndicate Limited</t>
  </si>
  <si>
    <t xml:space="preserve">myb142096</t>
  </si>
  <si>
    <t xml:space="preserve">carried to reserve, and £818 3a. 3d. carried forward. Tho transfer form used is</t>
  </si>
  <si>
    <t xml:space="preserve">Nundydroog Gold Mining Company</t>
  </si>
  <si>
    <t xml:space="preserve">myb143650</t>
  </si>
  <si>
    <t xml:space="preserve">I The authorised capital is £20,000. in 4,000 shares of £5 each, of which 1,001</t>
  </si>
  <si>
    <t xml:space="preserve">Prince Wales Slate Company</t>
  </si>
  <si>
    <t xml:space="preserve">myb144414</t>
  </si>
  <si>
    <t xml:space="preserve">This company was registered on the 26th February, 1890, and is a third recon</t>
  </si>
  <si>
    <t xml:space="preserve">Ruby Mining Company Limited</t>
  </si>
  <si>
    <t xml:space="preserve">myb145901</t>
  </si>
  <si>
    <t xml:space="preserve">SOUTH WALES GOLD MINES, LIMITED.</t>
  </si>
  <si>
    <t xml:space="preserve">South Wales Primrose Coal Company</t>
  </si>
  <si>
    <t xml:space="preserve">myb147331</t>
  </si>
  <si>
    <t xml:space="preserve">allotted the sum of 5s. was credited as paid. There are also debentures to</t>
  </si>
  <si>
    <t xml:space="preserve">Union Consolidated Copper Mines Limited</t>
  </si>
  <si>
    <t xml:space="preserve">myb150699</t>
  </si>
  <si>
    <t xml:space="preserve">The authorised capital is £150,400, divided into 150,000 ordinary and 4W</t>
  </si>
  <si>
    <t xml:space="preserve">Central African Company Limited</t>
  </si>
  <si>
    <t xml:space="preserve">myb153775</t>
  </si>
  <si>
    <t xml:space="preserve">The first accounts were made up to the 30th September, 1891, and showed</t>
  </si>
  <si>
    <t xml:space="preserve">Kanya Exploration Company Limited</t>
  </si>
  <si>
    <t xml:space="preserve">myb154091</t>
  </si>
  <si>
    <t xml:space="preserve">word Misgund was eliminated from the titlo. The company has since acquired</t>
  </si>
  <si>
    <t xml:space="preserve">Champ French Gold Mining Company</t>
  </si>
  <si>
    <t xml:space="preserve">myb155968</t>
  </si>
  <si>
    <t xml:space="preserve">W. St. John C arr. | J. Hamilton Leslie.</t>
  </si>
  <si>
    <t xml:space="preserve">New Spes Bona Gold Mining</t>
  </si>
  <si>
    <t xml:space="preserve">myb159960</t>
  </si>
  <si>
    <t xml:space="preserve">Liquidators. Offices.</t>
  </si>
  <si>
    <t xml:space="preserve">Vryburg Prospecting Syndicate Limited</t>
  </si>
  <si>
    <t xml:space="preserve">myb164437</t>
  </si>
  <si>
    <t xml:space="preserve">rants. No information obtainable from ihe company.</t>
  </si>
  <si>
    <t xml:space="preserve">Caroni Venezuela Gold Mining Company</t>
  </si>
  <si>
    <t xml:space="preserve">myb168607</t>
  </si>
  <si>
    <t xml:space="preserve">This company was registered on the 17th April, 1889, to acquire as a going</t>
  </si>
  <si>
    <t xml:space="preserve">International Exploration Company Limited</t>
  </si>
  <si>
    <t xml:space="preserve">myb176932</t>
  </si>
  <si>
    <t xml:space="preserve">C. G. Haswell. Thomas A Bcckctt. St. Werburgh s Chambers, Chest r.</t>
  </si>
  <si>
    <t xml:space="preserve">South Halkyn Company Limited</t>
  </si>
  <si>
    <t xml:space="preserve">myb185935</t>
  </si>
  <si>
    <t xml:space="preserve">i flrat-named property has been completed. As the works of the Silati Railway sre now</t>
  </si>
  <si>
    <t xml:space="preserve">Oceana Development Company Limited</t>
  </si>
  <si>
    <t xml:space="preserve">myb187157</t>
  </si>
  <si>
    <t xml:space="preserve">Liabilities: Capital, £600,000; debentures, £6,600; Bundryoreditors,£l,0245s.6d.</t>
  </si>
  <si>
    <t xml:space="preserve">Silati River Gold Mining And Prospecting</t>
  </si>
  <si>
    <t xml:space="preserve">myb194291</t>
  </si>
  <si>
    <t xml:space="preserve">only on tho understanding that the applicants waive the specification of tho datos of, and</t>
  </si>
  <si>
    <t xml:space="preserve">Cashhan Brilliant Bewabd</t>
  </si>
  <si>
    <t xml:space="preserve">myb195434</t>
  </si>
  <si>
    <t xml:space="preserve">The accounts are made np annually to the 30th September, and submitted</t>
  </si>
  <si>
    <t xml:space="preserve">Cortez Mines Limited</t>
  </si>
  <si>
    <t xml:space="preserve">myb205300</t>
  </si>
  <si>
    <t xml:space="preserve">eting held on the 3rd March, 1891 80,000 shares having then been issued , it</t>
  </si>
  <si>
    <t xml:space="preserve">North Navigation Collieries Limited</t>
  </si>
  <si>
    <t xml:space="preserve">myb211025</t>
  </si>
  <si>
    <t xml:space="preserve">Those submitted to the meeting held on the 31st October, 1891, showed aprofit for the</t>
  </si>
  <si>
    <t xml:space="preserve">Wheal Agar Mining Company</t>
  </si>
  <si>
    <t xml:space="preserve">myb212551</t>
  </si>
  <si>
    <t xml:space="preserve">Simon Marcus, Frank Roes, and J. H. Butt.</t>
  </si>
  <si>
    <t xml:space="preserve">Block Langlaagte Estate Gold Mining</t>
  </si>
  <si>
    <t xml:space="preserve">myb217770</t>
  </si>
  <si>
    <t xml:space="preserve">Fort Masai Kessi, in the Manioa district of the Mozambique Territory, and</t>
  </si>
  <si>
    <t xml:space="preserve">Massi Kessi Gold Mines Limited</t>
  </si>
  <si>
    <t xml:space="preserve">myb219453</t>
  </si>
  <si>
    <t xml:space="preserve">B. Oppenbeimer. | Siinon Schwabftcher. | Aclolphe Wagner. John William Philip.</t>
  </si>
  <si>
    <t xml:space="preserve">New Grahamstown Gold Mining Company</t>
  </si>
  <si>
    <t xml:space="preserve">myb220108</t>
  </si>
  <si>
    <t xml:space="preserve">The names of directors cannot be stated, owing to impending changes in the</t>
  </si>
  <si>
    <t xml:space="preserve">Newlands West Griqualand Diamond Mines</t>
  </si>
  <si>
    <t xml:space="preserve">myb220569</t>
  </si>
  <si>
    <t xml:space="preserve">shares at par be extended to the 13th December, 1894, and that a further option</t>
  </si>
  <si>
    <t xml:space="preserve">Paarl Central Gold Mining And Exploration Company</t>
  </si>
  <si>
    <t xml:space="preserve">myb220836</t>
  </si>
  <si>
    <t xml:space="preserve">which 2,500 have since been disposed of at 25s. each.</t>
  </si>
  <si>
    <t xml:space="preserve">Potchefstroom Exploration And Estate Company</t>
  </si>
  <si>
    <t xml:space="preserve">myb225569</t>
  </si>
  <si>
    <t xml:space="preserve">8 81 8 ii£8 M 8T bITh</t>
  </si>
  <si>
    <t xml:space="preserve">Zambesia Exploring Company Limited</t>
  </si>
  <si>
    <t xml:space="preserve">myb228794</t>
  </si>
  <si>
    <t xml:space="preserve">Victoria District Mashonaland Sold Mining Company, Limited.</t>
  </si>
  <si>
    <t xml:space="preserve">London Edition Sunday Morning</t>
  </si>
  <si>
    <t xml:space="preserve">myb230401</t>
  </si>
  <si>
    <t xml:space="preserve">Van Ryn Gold Mines fit tate. Limited.</t>
  </si>
  <si>
    <t xml:space="preserve">Union Consolidated</t>
  </si>
  <si>
    <t xml:space="preserve">myb231510</t>
  </si>
  <si>
    <t xml:space="preserve">moiety was subscribed by this company, mi</t>
  </si>
  <si>
    <t xml:space="preserve">Afrikander Gold Mining Company Limited</t>
  </si>
  <si>
    <t xml:space="preserve">myb234400</t>
  </si>
  <si>
    <t xml:space="preserve">expected to commence about July, 1895.</t>
  </si>
  <si>
    <t xml:space="preserve">Gelden Huis Deep Limited</t>
  </si>
  <si>
    <t xml:space="preserve">myb235698</t>
  </si>
  <si>
    <t xml:space="preserve">evelopment and Investment Company, Limited in liquidation £2,413 12s. 8d. ;</t>
  </si>
  <si>
    <t xml:space="preserve">Johannesburg Pioneer Gold Mining Company</t>
  </si>
  <si>
    <t xml:space="preserve">myb237312</t>
  </si>
  <si>
    <t xml:space="preserve">to wind up voluntarily and reconstruct, the secretary being appointed liquidator.</t>
  </si>
  <si>
    <t xml:space="preserve">Mashonaland And Zoutpansberg Exploration Syndicate</t>
  </si>
  <si>
    <t xml:space="preserve">myb238104</t>
  </si>
  <si>
    <t xml:space="preserve">the United Ivy Beef Company, and 1,500 in the United Ivy Extension Company.</t>
  </si>
  <si>
    <t xml:space="preserve">Moodie Gold Mining And Exploration</t>
  </si>
  <si>
    <t xml:space="preserve">myb238624</t>
  </si>
  <si>
    <t xml:space="preserve">shares was Is., payable on the 1st Ootober, 1893. 175,000 ordinary shares</t>
  </si>
  <si>
    <t xml:space="preserve">New Belgium Transvaal Land And</t>
  </si>
  <si>
    <t xml:space="preserve">myb240408</t>
  </si>
  <si>
    <t xml:space="preserve">all an extent of about 380 square miles 240,000 acres together with one town</t>
  </si>
  <si>
    <t xml:space="preserve">Premier Concessions Mozambique Limited</t>
  </si>
  <si>
    <t xml:space="preserve">myb241753</t>
  </si>
  <si>
    <t xml:space="preserve">leaving £69,127 2s. 8d. to be carried forward.</t>
  </si>
  <si>
    <t xml:space="preserve">Simmer And Jack Gold Mining</t>
  </si>
  <si>
    <t xml:space="preserve">myb245645</t>
  </si>
  <si>
    <t xml:space="preserve">Solicitor-E. R. Doniathorpe. l Bankers London City 8: Midland Bank,</t>
  </si>
  <si>
    <t xml:space="preserve">Anibiri Wassau Exploration Limited</t>
  </si>
  <si>
    <t xml:space="preserve">myb266210</t>
  </si>
  <si>
    <t xml:space="preserve">mium; increased in June, 1888, by the creation of 25,000 shares of £1 ouch,</t>
  </si>
  <si>
    <t xml:space="preserve">Mysore Gold Mining Company Limited</t>
  </si>
  <si>
    <t xml:space="preserve">myb269630</t>
  </si>
  <si>
    <t xml:space="preserve">Cumberland. The purchase consideration was £18,036, in 4,008 shares credited</t>
  </si>
  <si>
    <t xml:space="preserve">Pobtlethwaite Ebke Mining</t>
  </si>
  <si>
    <t xml:space="preserve">myb274733</t>
  </si>
  <si>
    <t xml:space="preserve">Province of Jaen, Spain, and Encarnacion, 112 hectares, situate at Puntal y</t>
  </si>
  <si>
    <t xml:space="preserve">Vilches Mines Limited</t>
  </si>
  <si>
    <t xml:space="preserve">myb278619</t>
  </si>
  <si>
    <t xml:space="preserve">New Einasleigh Copper Mines, Ltd.</t>
  </si>
  <si>
    <t xml:space="preserve">Einasleigh Freehold Copper Mines Limited</t>
  </si>
  <si>
    <t xml:space="preserve">myb278920</t>
  </si>
  <si>
    <t xml:space="preserve">Gympie Goldfields, Queensland, and has also a 15-stamp mill at work at Golden</t>
  </si>
  <si>
    <t xml:space="preserve">Golden Gate Gold Mining Company</t>
  </si>
  <si>
    <t xml:space="preserve">myb280418</t>
  </si>
  <si>
    <t xml:space="preserve">are issned. 1,500 credited as fully paid, and 1,000 shares having £10 called up.</t>
  </si>
  <si>
    <t xml:space="preserve">Leichhardt Cloncurry Development Limited</t>
  </si>
  <si>
    <t xml:space="preserve">myb284320</t>
  </si>
  <si>
    <t xml:space="preserve">This company was registered April 27th, 1906, to deal with mining properties in</t>
  </si>
  <si>
    <t xml:space="preserve">Victorian Options Limited</t>
  </si>
  <si>
    <t xml:space="preserve">myb287895</t>
  </si>
  <si>
    <t xml:space="preserve">Wankie district in whioh important coal deposits are being worked in</t>
  </si>
  <si>
    <t xml:space="preserve">Bbitish Gold Coast</t>
  </si>
  <si>
    <t xml:space="preserve">myb289402</t>
  </si>
  <si>
    <t xml:space="preserve">share subscribed. The preference shares carry the right of conversion at any</t>
  </si>
  <si>
    <t xml:space="preserve">Consolidated Dredging And Exploring Company</t>
  </si>
  <si>
    <t xml:space="preserve">myb290081</t>
  </si>
  <si>
    <t xml:space="preserve">right for two years to subscribe for 375,000 shares at prices ranging from £1 to</t>
  </si>
  <si>
    <t xml:space="preserve">Consolidated Southern Exploitation</t>
  </si>
  <si>
    <t xml:space="preserve">myb291407</t>
  </si>
  <si>
    <t xml:space="preserve">Central Collieries, Ltd., and its shareholders received share for share, absorbing</t>
  </si>
  <si>
    <t xml:space="preserve">Dubban Roodepoort Gold Mining</t>
  </si>
  <si>
    <t xml:space="preserve">myb291494</t>
  </si>
  <si>
    <t xml:space="preserve">lowest,</t>
  </si>
  <si>
    <t xml:space="preserve">East Rand Extension Gold Mining</t>
  </si>
  <si>
    <t xml:space="preserve">myb292403</t>
  </si>
  <si>
    <t xml:space="preserve">18th, 1907, showed cash loans and debtors £16,882, shares and interests held at</t>
  </si>
  <si>
    <t xml:space="preserve">Fanti Consolidated Mines Limited</t>
  </si>
  <si>
    <t xml:space="preserve">myb292575</t>
  </si>
  <si>
    <t xml:space="preserve">For 1907, 300 per cent, declared 160 per cent. June 18th, and 160 per cent. December 11th.</t>
  </si>
  <si>
    <t xml:space="preserve">Ferreira Gold Mining Company Limited</t>
  </si>
  <si>
    <t xml:space="preserve">myb293503</t>
  </si>
  <si>
    <t xml:space="preserve">shares are issued and fully paid. The capital was increased in December, 1889,</t>
  </si>
  <si>
    <t xml:space="preserve">Glencairn Main Reef Gold Mining</t>
  </si>
  <si>
    <t xml:space="preserve">myb295775</t>
  </si>
  <si>
    <t xml:space="preserve">licences and rents. See Appendix.</t>
  </si>
  <si>
    <t xml:space="preserve">Klipriversberg Estate And Gold Mining</t>
  </si>
  <si>
    <t xml:space="preserve">myb298520</t>
  </si>
  <si>
    <t xml:space="preserve">Dividend : 3s. per share declared in October, 1898.</t>
  </si>
  <si>
    <t xml:space="preserve">New Egyptian Company Limited</t>
  </si>
  <si>
    <t xml:space="preserve">myb302666</t>
  </si>
  <si>
    <t xml:space="preserve">forward ; Robinson Central shares hold 8,769.</t>
  </si>
  <si>
    <t xml:space="preserve">Robinson Diamond Mining Company Limited</t>
  </si>
  <si>
    <t xml:space="preserve">myb303140</t>
  </si>
  <si>
    <t xml:space="preserve">This company was registered in Natal in 1886, to work 6J claims on the Main Reef,</t>
  </si>
  <si>
    <t xml:space="preserve">States And Mining Company Limited</t>
  </si>
  <si>
    <t xml:space="preserve">myb306490</t>
  </si>
  <si>
    <t xml:space="preserve">MININQ .</t>
  </si>
  <si>
    <t xml:space="preserve">United Rhodesia Gold Fields Limited</t>
  </si>
  <si>
    <t xml:space="preserve">myb309207</t>
  </si>
  <si>
    <t xml:space="preserve">them. The properties were reported on by Thomas Richards. Development</t>
  </si>
  <si>
    <t xml:space="preserve">Anaconda Copper Mining Company</t>
  </si>
  <si>
    <t xml:space="preserve">myb310597</t>
  </si>
  <si>
    <t xml:space="preserve">Isaac Sumsion, Chairman. Robert E. Giles. | John T. F. Turner. | Reginald D. Thornton, J.P.</t>
  </si>
  <si>
    <t xml:space="preserve">Bath Stone Firms Limited</t>
  </si>
  <si>
    <t xml:space="preserve">myb312419</t>
  </si>
  <si>
    <t xml:space="preserve">ordinary shares are entitled to a fixed cumulative preferential dividend of 10</t>
  </si>
  <si>
    <t xml:space="preserve">Cabrera Mines Limited</t>
  </si>
  <si>
    <t xml:space="preserve">myb314232</t>
  </si>
  <si>
    <t xml:space="preserve">Telegrams: Spinifer, London. P.O.T., 272: Central. This company was registered on the 28th January, 1897, to acquire a property</t>
  </si>
  <si>
    <t xml:space="preserve">Conglomerate Australia Limited</t>
  </si>
  <si>
    <t xml:space="preserve">myb317826</t>
  </si>
  <si>
    <t xml:space="preserve">GREAT CENTraX OJ LIERY C0MPANY, LIMITED.</t>
  </si>
  <si>
    <t xml:space="preserve">Great Central Colliery Company Limited</t>
  </si>
  <si>
    <t xml:space="preserve">myb324750</t>
  </si>
  <si>
    <t xml:space="preserve">List. Prices, 1904: highest, 2TV; lowest, 1 ; 1905:. highest, 1 ; lowest, 1J;</t>
  </si>
  <si>
    <t xml:space="preserve">myb328650</t>
  </si>
  <si>
    <t xml:space="preserve">South Wheal Crofty, registered May 28th, 1906, as an unlimited company to</t>
  </si>
  <si>
    <t xml:space="preserve">South Crofty Limited</t>
  </si>
  <si>
    <t xml:space="preserve">myb331206</t>
  </si>
  <si>
    <t xml:space="preserve">lauds known as WestCottingwood, Morpeth. The consideration was £1,716 13s 4d.,</t>
  </si>
  <si>
    <t xml:space="preserve">West Cottingwood Coal Company Limited</t>
  </si>
  <si>
    <t xml:space="preserve">myb336558</t>
  </si>
  <si>
    <t xml:space="preserve">Directors Qualification, £200 Maurice Lyons, Chairman ; Maures Horner, J.P.</t>
  </si>
  <si>
    <t xml:space="preserve">Lyndhurst South Australia Copper Limited</t>
  </si>
  <si>
    <t xml:space="preserve">myb338170</t>
  </si>
  <si>
    <t xml:space="preserve">each year.</t>
  </si>
  <si>
    <t xml:space="preserve">myb340230</t>
  </si>
  <si>
    <t xml:space="preserve">increased to present amount by creation of 75,000 new £1 shares. There aro</t>
  </si>
  <si>
    <t xml:space="preserve">Tasmanian Mining Company Limited</t>
  </si>
  <si>
    <t xml:space="preserve">myb344716</t>
  </si>
  <si>
    <t xml:space="preserve">The accounts to September 30th, 1907, submitted in Johannesburg November</t>
  </si>
  <si>
    <t xml:space="preserve">Bulawayo Syndicate Limited Bulawayo Waterworks</t>
  </si>
  <si>
    <t xml:space="preserve">myb344911</t>
  </si>
  <si>
    <t xml:space="preserve">Offices 24, Coleman Street, K.C.</t>
  </si>
  <si>
    <t xml:space="preserve">Cape Lands And Minerals Syndicate</t>
  </si>
  <si>
    <t xml:space="preserve">myb345063</t>
  </si>
  <si>
    <t xml:space="preserve">are issued and 7s. 6d. called. In April, 1901, all the shares were offered for</t>
  </si>
  <si>
    <t xml:space="preserve">myb345144</t>
  </si>
  <si>
    <t xml:space="preserve">G F. Davenport. I H. C. Emery.</t>
  </si>
  <si>
    <t xml:space="preserve">Central Montrose Estate</t>
  </si>
  <si>
    <t xml:space="preserve">myb345744</t>
  </si>
  <si>
    <t xml:space="preserve">. 23. ,</t>
  </si>
  <si>
    <t xml:space="preserve">Compagnie Francaise Mines Dtor</t>
  </si>
  <si>
    <t xml:space="preserve">myb355750</t>
  </si>
  <si>
    <t xml:space="preserve">interest in the freehold farm Natalshoop, No. 1491, adjoining the town</t>
  </si>
  <si>
    <t xml:space="preserve">New Lydenburg Minerals Exploring Limited</t>
  </si>
  <si>
    <t xml:space="preserve">myb357637</t>
  </si>
  <si>
    <t xml:space="preserve">to £105,346 ; cash assets in excess of liabilities £21,747.</t>
  </si>
  <si>
    <t xml:space="preserve">myb357663</t>
  </si>
  <si>
    <t xml:space="preserve">cent. ; February, 1895, distribution of cash and shares as above ; August, 1895,</t>
  </si>
  <si>
    <t xml:space="preserve">Paarl Ophir Gold Mining And</t>
  </si>
  <si>
    <t xml:space="preserve">myb361819</t>
  </si>
  <si>
    <t xml:space="preserve">and fully paid. The ordinary take all profits until they have received 100 per</t>
  </si>
  <si>
    <t xml:space="preserve">Transvaal Coal Trust Company Limited</t>
  </si>
  <si>
    <t xml:space="preserve">myb365699</t>
  </si>
  <si>
    <t xml:space="preserve">mines. The company also owns a coal mine and foundry, a large timber estate</t>
  </si>
  <si>
    <t xml:space="preserve">myb369053</t>
  </si>
  <si>
    <t xml:space="preserve">Ouray County, and in the Upper San Miguel mining district. San Miguel County,</t>
  </si>
  <si>
    <t xml:space="preserve">Camp Bird Limited Bakqiimmp</t>
  </si>
  <si>
    <t xml:space="preserve">myb370153</t>
  </si>
  <si>
    <t xml:space="preserve">Co , Ltd., registered in Ontario, and owning a lease for 999 years from March,</t>
  </si>
  <si>
    <t xml:space="preserve">Cob Town Site Lver Mining</t>
  </si>
  <si>
    <t xml:space="preserve">myb381264</t>
  </si>
  <si>
    <t xml:space="preserve">NOVA SCOTIA MINERALS. LIMITED. Directors.</t>
  </si>
  <si>
    <t xml:space="preserve">Nova Scotia Gold Mines Limited</t>
  </si>
  <si>
    <t xml:space="preserve">myb384353</t>
  </si>
  <si>
    <t xml:space="preserve">arc issued credited as fully paid. The statutory report was submitted May 31st,1906.</t>
  </si>
  <si>
    <t xml:space="preserve">Stephen Syndicate Limited</t>
  </si>
  <si>
    <t xml:space="preserve">myb384367</t>
  </si>
  <si>
    <t xml:space="preserve">Koceiver and Manager P. J. Livesay, 63, Coleman Street, B.C. Seoretary and Offices E. Wilding, 278-9, Dashwood House, E.C.</t>
  </si>
  <si>
    <t xml:space="preserve">San Albino Gold Mines Limited</t>
  </si>
  <si>
    <t xml:space="preserve">myb385825</t>
  </si>
  <si>
    <t xml:space="preserve">cash, £300,000 in 30,000 fully-paid ordinary shares, and £100,000 in 10,000 fullypaid</t>
  </si>
  <si>
    <t xml:space="preserve">Sum Eltleetrotr Omp Limited</t>
  </si>
  <si>
    <t xml:space="preserve">myb386030</t>
  </si>
  <si>
    <t xml:space="preserve">TEMISKAMING AND HUDSON BAY MINING CO.. LTD. President George Taylor. | Vice-President A. A. McKeWie.</t>
  </si>
  <si>
    <t xml:space="preserve">Temiskaming Ontario Syndicate Limited</t>
  </si>
  <si>
    <t xml:space="preserve">myb386041</t>
  </si>
  <si>
    <t xml:space="preserve">receipts $335,204 and $36.636 carried forward after paving $201.396 dividends.</t>
  </si>
  <si>
    <t xml:space="preserve">Temi Scamin Hudson Bay Mining</t>
  </si>
  <si>
    <t xml:space="preserve">myb386633</t>
  </si>
  <si>
    <t xml:space="preserve">fully paid. There are £1,200 five per oent. debentures. On July 24th, 1908, the</t>
  </si>
  <si>
    <t xml:space="preserve">Treveddoe Tin Mining Company Limited</t>
  </si>
  <si>
    <t xml:space="preserve">myb392337</t>
  </si>
  <si>
    <t xml:space="preserve">Secretary and Offices Philip F. Dietz, 7, Crosljv Square, E.C.</t>
  </si>
  <si>
    <t xml:space="preserve">Kalgurli Gold Mines Limited</t>
  </si>
  <si>
    <t xml:space="preserve">myb392890</t>
  </si>
  <si>
    <t xml:space="preserve">the Daly Copper Mine, 120 acres, at Umberatana, about 75 miles from Lyndhnrst</t>
  </si>
  <si>
    <t xml:space="preserve">myb396146</t>
  </si>
  <si>
    <t xml:space="preserve">stamps were added in 1900. making 50.</t>
  </si>
  <si>
    <t xml:space="preserve">Wcrorian Cornis Gold Mines Limited</t>
  </si>
  <si>
    <t xml:space="preserve">myb397787</t>
  </si>
  <si>
    <t xml:space="preserve">common ; fee, 2s. 6d.</t>
  </si>
  <si>
    <t xml:space="preserve">Angola Oil Limited</t>
  </si>
  <si>
    <t xml:space="preserve">myb398425</t>
  </si>
  <si>
    <t xml:space="preserve">reported as follows : Results by dish assays from samples taken in the old native shafts were</t>
  </si>
  <si>
    <t xml:space="preserve">Atjboba West United</t>
  </si>
  <si>
    <t xml:space="preserve">myb401195</t>
  </si>
  <si>
    <t xml:space="preserve">claims in Matabeleland, Rhodesia, also the pioneer rights to locate a further 415</t>
  </si>
  <si>
    <t xml:space="preserve">Crescens Matabele Mines Land Limited</t>
  </si>
  <si>
    <t xml:space="preserve">myb403672</t>
  </si>
  <si>
    <t xml:space="preserve">showed a profit of £17,581 ; £9,125 debit balance brought forward was</t>
  </si>
  <si>
    <t xml:space="preserve">Gaika Gold Mining Company Limited</t>
  </si>
  <si>
    <t xml:space="preserve">myb410443</t>
  </si>
  <si>
    <t xml:space="preserve">31st, 1907. submitted December 24th, 1907, showed cash and investment £2,094.</t>
  </si>
  <si>
    <t xml:space="preserve">New Randfontein Reefs Limited</t>
  </si>
  <si>
    <t xml:space="preserve">myb411487</t>
  </si>
  <si>
    <t xml:space="preserve">of the Taku Nasu property immediately adjoining, and to the south-west of the Kotra Verchey</t>
  </si>
  <si>
    <t xml:space="preserve">North Tarkwa Synpicate Limited</t>
  </si>
  <si>
    <t xml:space="preserve">myb412967</t>
  </si>
  <si>
    <t xml:space="preserve">The accounts to December 31st, 1908, submitted in Johannesburg March 12th,</t>
  </si>
  <si>
    <t xml:space="preserve">Rand Collieries Limited</t>
  </si>
  <si>
    <t xml:space="preserve">myb413620</t>
  </si>
  <si>
    <t xml:space="preserve">capital of £300,000, of which £10,000 cash and £40,000 shares are to be paid for</t>
  </si>
  <si>
    <t xml:space="preserve">Regina Diamond Syndicate Limited</t>
  </si>
  <si>
    <t xml:space="preserve">myb419663</t>
  </si>
  <si>
    <t xml:space="preserve">L. Sutro.</t>
  </si>
  <si>
    <t xml:space="preserve">Diamond Mining Investment Company Limited</t>
  </si>
  <si>
    <t xml:space="preserve">myb420558</t>
  </si>
  <si>
    <t xml:space="preserve">Solicitors Ashurst, MorriB, Crisp &amp; Co. A. uditors Fuller, Wise, Kirby &amp; Fisher. Secretary and Offices George R. Saunders, 5, London Wall Buildings, E.C.</t>
  </si>
  <si>
    <t xml:space="preserve">Wtlloug Stcottsoll Dated Ltlt</t>
  </si>
  <si>
    <t xml:space="preserve">myb421715</t>
  </si>
  <si>
    <t xml:space="preserve">dividend conpons are attached to the certificates. Prices, 1906 : highest, 7i ;</t>
  </si>
  <si>
    <t xml:space="preserve">Alaska Treadwell Gold Mining Company</t>
  </si>
  <si>
    <t xml:space="preserve">myb424012</t>
  </si>
  <si>
    <t xml:space="preserve">Solicitors Cooper 4 Oo. Secretary and Offices George E. Elgee, Leadonhall Buildings, B.C.</t>
  </si>
  <si>
    <t xml:space="preserve">Bentilee Colliery Company Limited</t>
  </si>
  <si>
    <t xml:space="preserve">myb427735</t>
  </si>
  <si>
    <t xml:space="preserve">issued and fully paid including vendors . In February, 1907, 8,500 shares were</t>
  </si>
  <si>
    <t xml:space="preserve">Cobalt Silver Queen Limited</t>
  </si>
  <si>
    <t xml:space="preserve">myb430202</t>
  </si>
  <si>
    <t xml:space="preserve">A. J. Bowberry. | W. Willis. | In India Charles Murray ; Edward E. Long.</t>
  </si>
  <si>
    <t xml:space="preserve">East Indian Coal Company Limited</t>
  </si>
  <si>
    <t xml:space="preserve">myb430362</t>
  </si>
  <si>
    <t xml:space="preserve">deferred being credited as fully paid, 7 ordinary being fully paid and 2,193 17b. Gd.</t>
  </si>
  <si>
    <t xml:space="preserve">Eastern Exploration Syndicate Limited</t>
  </si>
  <si>
    <t xml:space="preserve">myb432420</t>
  </si>
  <si>
    <t xml:space="preserve">Toe authorised capital is £10, in 200 shares of Is. each ; all the sharos are issued</t>
  </si>
  <si>
    <t xml:space="preserve">Golden Eagle Syndicate Limited</t>
  </si>
  <si>
    <t xml:space="preserve">myb434314</t>
  </si>
  <si>
    <t xml:space="preserve">The preference dividend is paid half-yearly. Dividends paid on ordinary</t>
  </si>
  <si>
    <t xml:space="preserve">Regular Time Blue Ovbktimb Red</t>
  </si>
  <si>
    <t xml:space="preserve">myb436475</t>
  </si>
  <si>
    <t xml:space="preserve">MANVERS MAIN COLLIERIESTUMlTEbT Directors Qualification, £6,000 .</t>
  </si>
  <si>
    <t xml:space="preserve">Manvebs Main Collieries</t>
  </si>
  <si>
    <t xml:space="preserve">myb437045</t>
  </si>
  <si>
    <t xml:space="preserve">For 1901-2 a dividend of 5 per cent, was paid.</t>
  </si>
  <si>
    <t xml:space="preserve">Mines Development Corporation Limited</t>
  </si>
  <si>
    <t xml:space="preserve">myb437289</t>
  </si>
  <si>
    <t xml:space="preserve">oapital is £16,000, in 10,000 shares of £1 each; 4,157 shares are issued and</t>
  </si>
  <si>
    <t xml:space="preserve">Morales Exploration Companydmttedt</t>
  </si>
  <si>
    <t xml:space="preserve">myb440443</t>
  </si>
  <si>
    <t xml:space="preserve">and 1 to 60 000; and May 13th, 1903, in Nos. 417,051 to 445,000 Prices,</t>
  </si>
  <si>
    <t xml:space="preserve">Palmarejo And Mexican Gold Fields</t>
  </si>
  <si>
    <t xml:space="preserve">myb441607</t>
  </si>
  <si>
    <t xml:space="preserve">since been acquired, making a total area of 156 acres now held. Output of tin</t>
  </si>
  <si>
    <t xml:space="preserve">Pus Lama Ttn Vnnes Limited</t>
  </si>
  <si>
    <t xml:space="preserve">myb441717</t>
  </si>
  <si>
    <t xml:space="preserve">Evenwood, Durham, by Herbert W. Summerson and others. The consideration</t>
  </si>
  <si>
    <t xml:space="preserve">Qui Barton And Burns Helen</t>
  </si>
  <si>
    <t xml:space="preserve">myb442897</t>
  </si>
  <si>
    <t xml:space="preserve">the Venture Corporation, Ltd., to acquire and deal with mines and concessions</t>
  </si>
  <si>
    <t xml:space="preserve">Russ Mntng Rpor Ati Limited</t>
  </si>
  <si>
    <t xml:space="preserve">myb447451</t>
  </si>
  <si>
    <t xml:space="preserve">pany of similar name, comprising slate quarries, Ac., at Walna Soar, Dunnerdale</t>
  </si>
  <si>
    <t xml:space="preserve">Walnat Scar Green Slate Limited</t>
  </si>
  <si>
    <t xml:space="preserve">myb449528</t>
  </si>
  <si>
    <t xml:space="preserve">K. Hooper.</t>
  </si>
  <si>
    <t xml:space="preserve">Associated Northern Blocks Limited</t>
  </si>
  <si>
    <t xml:space="preserve">myb459223</t>
  </si>
  <si>
    <t xml:space="preserve">over 100 square miles in the districts of Bekwai and Adansi, Ashanti, Gold Coast</t>
  </si>
  <si>
    <t xml:space="preserve">Ashanti Goldfields Corporation Limited</t>
  </si>
  <si>
    <t xml:space="preserve">myb470968</t>
  </si>
  <si>
    <t xml:space="preserve">dated Exploration and Development Khodesia Co., Ltd., and the British South</t>
  </si>
  <si>
    <t xml:space="preserve">Morocco Anglo French American Corporation</t>
  </si>
  <si>
    <t xml:space="preserve">myb473750</t>
  </si>
  <si>
    <t xml:space="preserve">The Lord Gifford, V.C., Chairman.</t>
  </si>
  <si>
    <t xml:space="preserve">Northern Copper Company Limited</t>
  </si>
  <si>
    <t xml:space="preserve">myb476600</t>
  </si>
  <si>
    <t xml:space="preserve">balancH forward a sum of £115,994; dividend absoibed £37,500, to sundry</t>
  </si>
  <si>
    <t xml:space="preserve">Roberts Victor Diamonds Limited</t>
  </si>
  <si>
    <t xml:space="preserve">myb480428</t>
  </si>
  <si>
    <t xml:space="preserve">and Trust Co., Ltd., Trust Building , Box 156.</t>
  </si>
  <si>
    <t xml:space="preserve">Transvaal Lands Company Limited</t>
  </si>
  <si>
    <t xml:space="preserve">myb490655</t>
  </si>
  <si>
    <t xml:space="preserve">William Rhodes, J. P.</t>
  </si>
  <si>
    <t xml:space="preserve">Derutw Ore Company Com</t>
  </si>
  <si>
    <t xml:space="preserve">myb495793</t>
  </si>
  <si>
    <t xml:space="preserve">as Scrace s Farm, East Forleigb, near Maidstone, area 22 acres, containing Kent</t>
  </si>
  <si>
    <t xml:space="preserve">Kent Stone Kepplehill Coal Company</t>
  </si>
  <si>
    <t xml:space="preserve">myb502301</t>
  </si>
  <si>
    <t xml:space="preserve">Auditors C. G. Haswell &amp; Son.</t>
  </si>
  <si>
    <t xml:space="preserve">Pantymwyn Mining Company Limited</t>
  </si>
  <si>
    <t xml:space="preserve">myb507293</t>
  </si>
  <si>
    <t xml:space="preserve">£23,028; dividends absorbed £10,500, leaving £12,528 carried forward; cash</t>
  </si>
  <si>
    <t xml:space="preserve">Teign Valley Granite Company Limited</t>
  </si>
  <si>
    <t xml:space="preserve">myb508445</t>
  </si>
  <si>
    <t xml:space="preserve">10,000 fully-paid shares in Uruguay Goldfields, Ltd ; liquidator, St. John Winne,</t>
  </si>
  <si>
    <t xml:space="preserve">Uruguay Mining Syndicate Limited</t>
  </si>
  <si>
    <t xml:space="preserve">myb511124</t>
  </si>
  <si>
    <t xml:space="preserve">Solicitors Greenip, Snell A Co. | Auditors Whinney, Smith 4 Whinney.</t>
  </si>
  <si>
    <t xml:space="preserve">Blues Ipur Abri Iel Lly</t>
  </si>
  <si>
    <t xml:space="preserve">myb512653</t>
  </si>
  <si>
    <t xml:space="preserve">St. Dora Mining Co. of S. Australia .</t>
  </si>
  <si>
    <t xml:space="preserve">English And Foreign Syndicate Limited</t>
  </si>
  <si>
    <t xml:space="preserve">myb534438</t>
  </si>
  <si>
    <t xml:space="preserve">NIGERIAN TIN TRUST AND EXPLORATION, LTD.</t>
  </si>
  <si>
    <t xml:space="preserve">Nigerian Tin Trust Exploration Limited</t>
  </si>
  <si>
    <t xml:space="preserve">myb537786</t>
  </si>
  <si>
    <t xml:space="preserve">to be placed to a reserve go d account for dig purpose of amortisation of the</t>
  </si>
  <si>
    <t xml:space="preserve">myb537788</t>
  </si>
  <si>
    <t xml:space="preserve">under the present title on July 15th, 1899. The company now owns 210 claims,</t>
  </si>
  <si>
    <t xml:space="preserve">myb540747</t>
  </si>
  <si>
    <t xml:space="preserve">the Congo Free State has been acquired from the Katanga Belgian Special Com</t>
  </si>
  <si>
    <t xml:space="preserve">Tanganyika Concessions Limited</t>
  </si>
  <si>
    <t xml:space="preserve">myb542287</t>
  </si>
  <si>
    <t xml:space="preserve">on the Wassail Banket formation. The consideration was £30,000 in fully-paid</t>
  </si>
  <si>
    <t xml:space="preserve">United Gold Coast Mining Properties</t>
  </si>
  <si>
    <t xml:space="preserve">myb546945</t>
  </si>
  <si>
    <t xml:space="preserve">preference, highost, 7s. 6d. ; lowest, 2s. 3d.; ordinary, highest, 4s. 3d.; lowest, lc 9d. LatoBt prioe : preference, J, i ; ordinary, 2s. 6d., 3s. 6d.</t>
  </si>
  <si>
    <t xml:space="preserve">Balaohat Gold Mining</t>
  </si>
  <si>
    <t xml:space="preserve">myb547959</t>
  </si>
  <si>
    <t xml:space="preserve">Dividends on deferred shares paid November and February : For 1907-10 per cent. ; 1908-9, 11J per oent. j 1909-10, 12J per cent. ; 1910-11, 5 psr cent,</t>
  </si>
  <si>
    <t xml:space="preserve">Borax Company Limited</t>
  </si>
  <si>
    <t xml:space="preserve">myb548075</t>
  </si>
  <si>
    <t xml:space="preserve">BRAZILIAN DEVELOPMENT SYNDICATETXIMTTED . This company was registered in Edinburgh May 5th, 1909 see vol. for 1911 .</t>
  </si>
  <si>
    <t xml:space="preserve">Brazilian Diamond And Exploration Limited</t>
  </si>
  <si>
    <t xml:space="preserve">myb550107</t>
  </si>
  <si>
    <t xml:space="preserve">Directors Qualification, £1,000 .</t>
  </si>
  <si>
    <t xml:space="preserve">Chas Butters And Limited</t>
  </si>
  <si>
    <t xml:space="preserve">myb553319</t>
  </si>
  <si>
    <t xml:space="preserve">Robert Armitage and Ewing MatheBon, Managing. Solicitors Nelson, Eddisons &amp; Lupton, Leeds. | Bankers Bank of England, Leeds.</t>
  </si>
  <si>
    <t xml:space="preserve">Falm Otjth Cotlsqlidate Nes</t>
  </si>
  <si>
    <t xml:space="preserve">myb563399</t>
  </si>
  <si>
    <t xml:space="preserve">the Nnndydroog Gold Mining Co., Ltd., registered November 6th, 1880 see</t>
  </si>
  <si>
    <t xml:space="preserve">myb566205</t>
  </si>
  <si>
    <t xml:space="preserve">also a railway and pier, and the steamer Don Hugo, 1,249 tonB register. The</t>
  </si>
  <si>
    <t xml:space="preserve">Rio Tinto Company Limited</t>
  </si>
  <si>
    <t xml:space="preserve">myb570082</t>
  </si>
  <si>
    <t xml:space="preserve">accordance with the reports of Dr. R. T. Moore and Capt. J. Paull, made</t>
  </si>
  <si>
    <t xml:space="preserve">Tresavean Mines Limited</t>
  </si>
  <si>
    <t xml:space="preserve">myb577838</t>
  </si>
  <si>
    <t xml:space="preserve">Cam, 10; Isis Blocks, 18; Petrol, 10; Jan Bidd, 10; and Lorna Boone, 10. The</t>
  </si>
  <si>
    <t xml:space="preserve">Bwana Kubwa Gopper Mining Limited</t>
  </si>
  <si>
    <t xml:space="preserve">myb591766</t>
  </si>
  <si>
    <t xml:space="preserve">£27,032, leaving £14,753 carried forward. Share premium account,</t>
  </si>
  <si>
    <t xml:space="preserve">New Kleinfontein Company</t>
  </si>
  <si>
    <t xml:space="preserve">myb592769</t>
  </si>
  <si>
    <t xml:space="preserve">was resolved to issue £60,000 bearer debentures and</t>
  </si>
  <si>
    <t xml:space="preserve">Nigel Gold Mining Company Limited</t>
  </si>
  <si>
    <t xml:space="preserve">myb594466</t>
  </si>
  <si>
    <t xml:space="preserve">Transfer form, common; fee, 25. 6d. The 7th March, 1907, was appointed</t>
  </si>
  <si>
    <t xml:space="preserve">Otav Mines And Railway Company</t>
  </si>
  <si>
    <t xml:space="preserve">myb595958</t>
  </si>
  <si>
    <t xml:space="preserve">Tom Mr. J. M. Iles, the general manager, reported in November last that II the result of</t>
  </si>
  <si>
    <t xml:space="preserve">Rayfield Nigeria Tin Fields Limited</t>
  </si>
  <si>
    <t xml:space="preserve">myb598063</t>
  </si>
  <si>
    <t xml:space="preserve">The accounts to March 31st, 1912, submitted August 21st, 1912, showed a loss</t>
  </si>
  <si>
    <t xml:space="preserve">Selukwe Gold Mining Company Limited</t>
  </si>
  <si>
    <t xml:space="preserve">myb606938</t>
  </si>
  <si>
    <t xml:space="preserve">27th, 1910, in Nos. 550,001 to 600,000; and February 21sl, 1912, in Nos.</t>
  </si>
  <si>
    <t xml:space="preserve">Aramayo Francke Mines Limited</t>
  </si>
  <si>
    <t xml:space="preserve">myb608708</t>
  </si>
  <si>
    <t xml:space="preserve">BELL MINES, LIMITED.</t>
  </si>
  <si>
    <t xml:space="preserve">Bell Mines Limited</t>
  </si>
  <si>
    <t xml:space="preserve">myb611122</t>
  </si>
  <si>
    <t xml:space="preserve">In addition to its Westraliau interests the company has acquired an intorest in</t>
  </si>
  <si>
    <t xml:space="preserve">Brown Hill Extended Company</t>
  </si>
  <si>
    <t xml:space="preserve">myb611607</t>
  </si>
  <si>
    <t xml:space="preserve">reserve making £45,000 £30,000, to reserve for new plant £8,000, leaving</t>
  </si>
  <si>
    <t xml:space="preserve">Burnyeati Brown And Company Limited</t>
  </si>
  <si>
    <t xml:space="preserve">myb618522</t>
  </si>
  <si>
    <t xml:space="preserve">00., Ltd. Other properties are being investigated.</t>
  </si>
  <si>
    <t xml:space="preserve">Exploration Companyldf England Mexic</t>
  </si>
  <si>
    <t xml:space="preserve">myb626562</t>
  </si>
  <si>
    <t xml:space="preserve">December 81st, 1892, but over a smaller area, at a considerably reduced royalty.</t>
  </si>
  <si>
    <t xml:space="preserve">Lathom Gold Mining Company Limited</t>
  </si>
  <si>
    <t xml:space="preserve">myb627065</t>
  </si>
  <si>
    <t xml:space="preserve">C. R. Edwards. Secretary and Omens C. E. Edwards, Llwynhelig Colliery, Aberdare, Glamorgan.</t>
  </si>
  <si>
    <t xml:space="preserve">Llwyn Helig Colliery Company Limited</t>
  </si>
  <si>
    <t xml:space="preserve">myb628724</t>
  </si>
  <si>
    <t xml:space="preserve">Behm, Worcesler House, Wallirook, EC.</t>
  </si>
  <si>
    <t xml:space="preserve">Mexican Oaxaca Syndicate Limited</t>
  </si>
  <si>
    <t xml:space="preserve">myb631139</t>
  </si>
  <si>
    <t xml:space="preserve">.north of the City of Sacramento, the Capital of California. The plan of the</t>
  </si>
  <si>
    <t xml:space="preserve">Natomas Consolidated California</t>
  </si>
  <si>
    <t xml:space="preserve">myb632401</t>
  </si>
  <si>
    <t xml:space="preserve">H. St. .1. mm, 0.1.. .LP. 1 J.W.Be on. Balkan-London &amp; Provincial milk, Lemma. | An tore how 0 Co. Secretary end OfloOl A. R. Mollelt, King Chomhere, High Street, hovrport, Inn.</t>
  </si>
  <si>
    <t xml:space="preserve">Newport Abercarn Black Vein Steam</t>
  </si>
  <si>
    <t xml:space="preserve">myb632992</t>
  </si>
  <si>
    <t xml:space="preserve">Transfer form, common</t>
  </si>
  <si>
    <t xml:space="preserve">North Brancepeth Coal Company Limited</t>
  </si>
  <si>
    <t xml:space="preserve">myb634924</t>
  </si>
  <si>
    <t xml:space="preserve">400,000 shares was guaranteed by the Share Guarantee Trust, Ltd. In October,</t>
  </si>
  <si>
    <t xml:space="preserve">Paringa Mining And Exploration Limited</t>
  </si>
  <si>
    <t xml:space="preserve">myb647368</t>
  </si>
  <si>
    <t xml:space="preserve">25. October 10th, 1906; 2s. January 17th, 1907 ; 2s. May, 1907; 2s.October, 1907;</t>
  </si>
  <si>
    <t xml:space="preserve">Zeehan Montana Mine Limited</t>
  </si>
  <si>
    <t xml:space="preserve">myb649161</t>
  </si>
  <si>
    <t xml:space="preserve">Ltd., but in Jan., 1910, this was re-ncquircd for 21,500 fully-paid shares; the</t>
  </si>
  <si>
    <t xml:space="preserve">Ashanti Gold Coast Acquisitions Limited</t>
  </si>
  <si>
    <t xml:space="preserve">myb650459</t>
  </si>
  <si>
    <t xml:space="preserve">settling day in shares Nos. 1 to 11,007.</t>
  </si>
  <si>
    <t xml:space="preserve">Bogosu Gold Mines Limited</t>
  </si>
  <si>
    <t xml:space="preserve">myb652527</t>
  </si>
  <si>
    <t xml:space="preserve">in November 1694, it was divided into 625,000 preference shares and 625,011 ordinary shares,</t>
  </si>
  <si>
    <t xml:space="preserve">Consolidatid Gold Fields</t>
  </si>
  <si>
    <t xml:space="preserve">myb653424</t>
  </si>
  <si>
    <t xml:space="preserve">Diamond Mining Co. ; the Spes Bona Bultfontein Diamond Minin Co. for 60,000 fully-paid £1</t>
  </si>
  <si>
    <t xml:space="preserve">Darymusu West Coast Development Company Limited</t>
  </si>
  <si>
    <t xml:space="preserve">myb653955</t>
  </si>
  <si>
    <t xml:space="preserve">deducting cash and cash assets £4,407.</t>
  </si>
  <si>
    <t xml:space="preserve">Durban Roodepoort Gold Mining Company</t>
  </si>
  <si>
    <t xml:space="preserve">myb654283</t>
  </si>
  <si>
    <t xml:space="preserve">owing to the inactive state of the market, none were received.</t>
  </si>
  <si>
    <t xml:space="preserve">East Band Central Mines</t>
  </si>
  <si>
    <t xml:space="preserve">myb656736</t>
  </si>
  <si>
    <t xml:space="preserve">held in the</t>
  </si>
  <si>
    <t xml:space="preserve">Gold Coast Explorers Limited</t>
  </si>
  <si>
    <t xml:space="preserve">myb660250</t>
  </si>
  <si>
    <t xml:space="preserve">M. F. RHODE IA EBQPRIETARY. LTD.</t>
  </si>
  <si>
    <t xml:space="preserve">Lydenburg Transvaal Gold Exploration Company</t>
  </si>
  <si>
    <t xml:space="preserve">myb660566</t>
  </si>
  <si>
    <t xml:space="preserve">Rhodesia, also mining rights over 50,000 acres. known as Moore s Concession, in</t>
  </si>
  <si>
    <t xml:space="preserve">Mashonaland Consolidated Limited</t>
  </si>
  <si>
    <t xml:space="preserve">myb662226</t>
  </si>
  <si>
    <t xml:space="preserve">owned at December 31st, 1912 : Mynpacht No. 462, on Klippoortje No. 2 equal</t>
  </si>
  <si>
    <t xml:space="preserve">New Eek Consolidated</t>
  </si>
  <si>
    <t xml:space="preserve">myb663701</t>
  </si>
  <si>
    <t xml:space="preserve">NlGERlA BITU ME Nv CORPORATION, LIMITED.</t>
  </si>
  <si>
    <t xml:space="preserve">Nigerla Bitu Corporation Limited</t>
  </si>
  <si>
    <t xml:space="preserve">myb666497</t>
  </si>
  <si>
    <t xml:space="preserve">H orav President His Honour The Administrator, sir w. H. Milton, K.0M.G.,K.C.V.0.</t>
  </si>
  <si>
    <t xml:space="preserve">Rhodesia Chamber Of Mines</t>
  </si>
  <si>
    <t xml:space="preserve">myb667866</t>
  </si>
  <si>
    <t xml:space="preserve">Bankers Ban of British West Africa, Ltd.</t>
  </si>
  <si>
    <t xml:space="preserve">Scottish Mashonaland Gold Mining Limited</t>
  </si>
  <si>
    <t xml:space="preserve">myb668559</t>
  </si>
  <si>
    <t xml:space="preserve">acres and freehold 718 acres. Output for 1908, 128,135 tons; for 1909, 144,952</t>
  </si>
  <si>
    <t xml:space="preserve">South African Collieries Limited</t>
  </si>
  <si>
    <t xml:space="preserve">myb674080</t>
  </si>
  <si>
    <t xml:space="preserve">The accounts are made up annually to December 31st, and submitted in Lisbon</t>
  </si>
  <si>
    <t xml:space="preserve">Zambesia Copper Company Limited</t>
  </si>
  <si>
    <t xml:space="preserve">myb677021</t>
  </si>
  <si>
    <t xml:space="preserve">T. H. Waldie. Secretary and Oflces J. L. Zillmen, 100, Pitt Street, Sydney, New South Wales. London Agents Atlas Corporation, Limited.</t>
  </si>
  <si>
    <t xml:space="preserve">Associated Queensland Mines Limited</t>
  </si>
  <si>
    <t xml:space="preserve">myb677556</t>
  </si>
  <si>
    <t xml:space="preserve">£450 in fully-paid B shares. The authorised capital is £6,000, in 20 seven</t>
  </si>
  <si>
    <t xml:space="preserve">Barhaugh Anthracite Llmestone Limited</t>
  </si>
  <si>
    <t xml:space="preserve">myb677781</t>
  </si>
  <si>
    <t xml:space="preserve">11. Sansom. l I. Sumsion. General Manager 1 . S. Cotterell, J.P., Abbey Yard. Bath.</t>
  </si>
  <si>
    <t xml:space="preserve">Bath And Portland Stone Firms</t>
  </si>
  <si>
    <t xml:space="preserve">myb682660</t>
  </si>
  <si>
    <t xml:space="preserve">C HTNKH CLAY</t>
  </si>
  <si>
    <t xml:space="preserve">China Clay Corporation Limited</t>
  </si>
  <si>
    <t xml:space="preserve">myb689500</t>
  </si>
  <si>
    <t xml:space="preserve">GWALIA CENTRAL GOLD MINES, LIMITED. Directors Capt. W. F. Annesle</t>
  </si>
  <si>
    <t xml:space="preserve">Gwalia Central Gold Mines Limited</t>
  </si>
  <si>
    <t xml:space="preserve">myb692140</t>
  </si>
  <si>
    <t xml:space="preserve">being carried on. Output for 191142,</t>
  </si>
  <si>
    <t xml:space="preserve">Kamunlng Peak Rubber And Tin</t>
  </si>
  <si>
    <t xml:space="preserve">myb694306</t>
  </si>
  <si>
    <t xml:space="preserve">Transfer form, common; fee, 2s. 6d. Latest price, first preference, 8 , 8 ;</t>
  </si>
  <si>
    <t xml:space="preserve">Locket Merthykr Collieries Limited</t>
  </si>
  <si>
    <t xml:space="preserve">myb697008</t>
  </si>
  <si>
    <t xml:space="preserve">liabilities £486,489.</t>
  </si>
  <si>
    <t xml:space="preserve">Mount Lyell Consols Wallaroo Copper</t>
  </si>
  <si>
    <t xml:space="preserve">myb697690</t>
  </si>
  <si>
    <t xml:space="preserve">on Novembcr 12th, 1913, it was resolved to wind up voluntarily and reconstruct</t>
  </si>
  <si>
    <t xml:space="preserve">Myalls And Peak Hillwgold Mines</t>
  </si>
  <si>
    <t xml:space="preserve">myb699100</t>
  </si>
  <si>
    <t xml:space="preserve">Solicitors Phillips Jr Cummings. l Bankers Nation Bank of New Zealand.</t>
  </si>
  <si>
    <t xml:space="preserve">New Zealand Crown Mines Company</t>
  </si>
  <si>
    <t xml:space="preserve">myb700888</t>
  </si>
  <si>
    <t xml:space="preserve">THIS company was registered October 12th, 1912, to carry on business as</t>
  </si>
  <si>
    <t xml:space="preserve">Ore Trading Company Limited</t>
  </si>
  <si>
    <t xml:space="preserve">myb701451</t>
  </si>
  <si>
    <t xml:space="preserve">Telegrams: Knit-tan, London. Phcne: 5283 Central.</t>
  </si>
  <si>
    <t xml:space="preserve">Pahang Consolidated Limited</t>
  </si>
  <si>
    <t xml:space="preserve">myb704335</t>
  </si>
  <si>
    <t xml:space="preserve">Co. Secretary and Oflices J. E. Bennett, 20, Cuptlmll Avenue, E20.</t>
  </si>
  <si>
    <t xml:space="preserve">Roper River Land Minerals Limited</t>
  </si>
  <si>
    <t xml:space="preserve">myb711804</t>
  </si>
  <si>
    <t xml:space="preserve">9d. May and 9d. with 6d. bonus November. The accounts to September 30th,</t>
  </si>
  <si>
    <t xml:space="preserve">Westport Coal Company Limited</t>
  </si>
  <si>
    <t xml:space="preserve">myb716504</t>
  </si>
  <si>
    <t xml:space="preserve">revolutionary disturbances all work ceased April, 1913, and will be resumed as soon</t>
  </si>
  <si>
    <t xml:space="preserve">Bacis Gold And Silver Mines</t>
  </si>
  <si>
    <t xml:space="preserve">myb716637</t>
  </si>
  <si>
    <t xml:space="preserve">paid ordinary shares. In 1906 an interest in the Port Talbot Steel Co., Ltd., was</t>
  </si>
  <si>
    <t xml:space="preserve">Balaghat Gold Mines Limited</t>
  </si>
  <si>
    <t xml:space="preserve">myb717684</t>
  </si>
  <si>
    <t xml:space="preserve">1903-4, 4 per cent.; 1904-5, 21- per cent.; 1905-6, nil; 1906-7, 3 per cent.; 1907-8,</t>
  </si>
  <si>
    <t xml:space="preserve">Bengal Iron And Steel Company</t>
  </si>
  <si>
    <t xml:space="preserve">myb723299</t>
  </si>
  <si>
    <t xml:space="preserve">Agents in aria Credit Mobilier Francaise, 30-82, Rue Taitbout.</t>
  </si>
  <si>
    <t xml:space="preserve">City Deep Limited</t>
  </si>
  <si>
    <t xml:space="preserve">myb723597</t>
  </si>
  <si>
    <t xml:space="preserve">carried forward; cash 82.330; creditors $710.</t>
  </si>
  <si>
    <t xml:space="preserve">myb725440</t>
  </si>
  <si>
    <t xml:space="preserve">was written off shareholdings.</t>
  </si>
  <si>
    <t xml:space="preserve">Cue Consolidated Finance Limited</t>
  </si>
  <si>
    <t xml:space="preserve">myb729583</t>
  </si>
  <si>
    <t xml:space="preserve">known as Silencio and Donagans, but others have been let on tribute. Milling</t>
  </si>
  <si>
    <t xml:space="preserve">Fronting And Bolivia Gold</t>
  </si>
  <si>
    <t xml:space="preserve">myb732927</t>
  </si>
  <si>
    <t xml:space="preserve">the entire plant having a capacity of 3,000 tons per month. Crushing commenced</t>
  </si>
  <si>
    <t xml:space="preserve">Hay Gold Mining Limited</t>
  </si>
  <si>
    <t xml:space="preserve">myb736244</t>
  </si>
  <si>
    <t xml:space="preserve">Consulting nzineer-H. H. Webb, Box 1167, Johannesburg.</t>
  </si>
  <si>
    <t xml:space="preserve">Knights Deep Limited</t>
  </si>
  <si>
    <t xml:space="preserve">myb736298</t>
  </si>
  <si>
    <t xml:space="preserve">31, 1913, showed a net profit of £142,770, making with balance forward a sum of</t>
  </si>
  <si>
    <t xml:space="preserve">myb741130</t>
  </si>
  <si>
    <t xml:space="preserve">Wllflfi f,</t>
  </si>
  <si>
    <t xml:space="preserve">Mounttyell Mining And Railway Limited</t>
  </si>
  <si>
    <t xml:space="preserve">myb743966</t>
  </si>
  <si>
    <t xml:space="preserve">113,701 shares, Messrs. Barnato Bros. received 7,106 shares credited as fully paid.</t>
  </si>
  <si>
    <t xml:space="preserve">myb744111</t>
  </si>
  <si>
    <t xml:space="preserve">cent. was paid. Dividends paid on the ordinary shares: 1902-3, 15 per cent.;</t>
  </si>
  <si>
    <t xml:space="preserve">New Transvaal Chemical Company Limited</t>
  </si>
  <si>
    <t xml:space="preserve">myb745438</t>
  </si>
  <si>
    <t xml:space="preserve">S. C. Boyle. I J. Marshall. I J. Benton. I M. L. Ware. W. Wilson.</t>
  </si>
  <si>
    <t xml:space="preserve">North Kimberley Diamond Mines Limited</t>
  </si>
  <si>
    <t xml:space="preserve">myb745762</t>
  </si>
  <si>
    <t xml:space="preserve">In November, 1911, shareholders in the Tredegar Iron and Coal Co., Ltd.,</t>
  </si>
  <si>
    <t xml:space="preserve">Oak Dale Navigation Colliery Limited</t>
  </si>
  <si>
    <t xml:space="preserve">myb747431</t>
  </si>
  <si>
    <t xml:space="preserve">Capital £80,000, in shares of £1 each; 76,047 shares are issued and fully paid.</t>
  </si>
  <si>
    <t xml:space="preserve">Peruvian Consolidated Gold Trust Limited</t>
  </si>
  <si>
    <t xml:space="preserve">myb749672</t>
  </si>
  <si>
    <t xml:space="preserve">Settling days have been appointed in shares No. 1 to 1,172,511. Prices, 1911 :</t>
  </si>
  <si>
    <t xml:space="preserve">Rhodesia Consolidated Limited</t>
  </si>
  <si>
    <t xml:space="preserve">myb750185</t>
  </si>
  <si>
    <t xml:space="preserve">each warrant; fee for reconversion into registered shares, 5s. per 100, and ls.</t>
  </si>
  <si>
    <t xml:space="preserve">myb751577</t>
  </si>
  <si>
    <t xml:space="preserve">Capital £100,000, in 500,000 shares of 4s. each; 251,554 shares are issued and</t>
  </si>
  <si>
    <t xml:space="preserve">Sekond And Tarkwa Company Limited</t>
  </si>
  <si>
    <t xml:space="preserve">myb752611</t>
  </si>
  <si>
    <t xml:space="preserve">company, SociÃƒÆ Ã Â tÃƒÆ Ã Â Franqaise du Radium, has been registered in France with a capital</t>
  </si>
  <si>
    <t xml:space="preserve">Societe Industrielle Radium Limited</t>
  </si>
  <si>
    <t xml:space="preserve">myb755871</t>
  </si>
  <si>
    <t xml:space="preserve">shares Nos. 1 to 2,910,537. Prices, 1912: highest, 3s. 9d.; lowest, 1s. 7d.; 1913 :</t>
  </si>
  <si>
    <t xml:space="preserve">Transvaal And Rhodesian Estates Limited</t>
  </si>
  <si>
    <t xml:space="preserve">myb757041</t>
  </si>
  <si>
    <t xml:space="preserve">UNITED AFRICAN L ANDS, LIMITED.</t>
  </si>
  <si>
    <t xml:space="preserve">United African Explorations Limited</t>
  </si>
  <si>
    <t xml:space="preserve">myb758356</t>
  </si>
  <si>
    <t xml:space="preserve">VOGELSTRUIS CONSOLIDATED DEEP</t>
  </si>
  <si>
    <t xml:space="preserve">Vogelstruis Consolidated Deep Limited</t>
  </si>
  <si>
    <t xml:space="preserve">myb759068</t>
  </si>
  <si>
    <t xml:space="preserve">reef claims, about 1,600 reef claims on the Huni River Extension and Cinnamon</t>
  </si>
  <si>
    <t xml:space="preserve">Wasbau Gold Coast Mining</t>
  </si>
  <si>
    <t xml:space="preserve">myb759864</t>
  </si>
  <si>
    <t xml:space="preserve">and mineral rights, 1,480 acres; mineral rights only, 660 acres; surface rights only,</t>
  </si>
  <si>
    <t xml:space="preserve">Western Dominion Collieries Limited</t>
  </si>
  <si>
    <t xml:space="preserve">myb760269</t>
  </si>
  <si>
    <t xml:space="preserve">Auditors Kidson, God. a Findlay. Secretary and. Ofiloes P. M. Ritchie, 1, Dixon Street, Glasgow.</t>
  </si>
  <si>
    <t xml:space="preserve">William Dixon Limited</t>
  </si>
  <si>
    <t xml:space="preserve">myb765602</t>
  </si>
  <si>
    <t xml:space="preserve">decided to re-acquire the assets of the Territories Co. for 31,591 fully-paid shares.</t>
  </si>
  <si>
    <t xml:space="preserve">Aseianti Golde Ields Corporation</t>
  </si>
  <si>
    <t xml:space="preserve">myb767567</t>
  </si>
  <si>
    <t xml:space="preserve">Illogan, Cornwall,</t>
  </si>
  <si>
    <t xml:space="preserve">Basset Mines Limited</t>
  </si>
  <si>
    <t xml:space="preserve">myb772332</t>
  </si>
  <si>
    <t xml:space="preserve">Accounts Made up annually to December 31, and submitted the second</t>
  </si>
  <si>
    <t xml:space="preserve">Calumet And Hecla Mining Company</t>
  </si>
  <si>
    <t xml:space="preserve">myb774310</t>
  </si>
  <si>
    <t xml:space="preserve">25s. not exercised .</t>
  </si>
  <si>
    <t xml:space="preserve">Central Chili Copper Company Limited</t>
  </si>
  <si>
    <t xml:space="preserve">myb786424</t>
  </si>
  <si>
    <t xml:space="preserve">$17,500 Middle West Utilities Co. Common 110,014 Effuenta Wassaw Mines, Ltd.,</t>
  </si>
  <si>
    <t xml:space="preserve">Gold Coast Development Syndicate Limited</t>
  </si>
  <si>
    <t xml:space="preserve">myb789097</t>
  </si>
  <si>
    <t xml:space="preserve">the said tunnel. -</t>
  </si>
  <si>
    <t xml:space="preserve">Halkyn District Mines Drainage Company</t>
  </si>
  <si>
    <t xml:space="preserve">myb791861</t>
  </si>
  <si>
    <t xml:space="preserve">acquire</t>
  </si>
  <si>
    <t xml:space="preserve">Island Coal Company Limited</t>
  </si>
  <si>
    <t xml:space="preserve">myb794379</t>
  </si>
  <si>
    <t xml:space="preserve">receives claim licenses from the Koffyfontein Mines, Ltd., and others. The name</t>
  </si>
  <si>
    <t xml:space="preserve">Koffyfontein Estates Limited</t>
  </si>
  <si>
    <t xml:space="preserve">myb795940</t>
  </si>
  <si>
    <t xml:space="preserve">Accounts For year ended December 31, 1914, submitted March 12, 1915,</t>
  </si>
  <si>
    <t xml:space="preserve">Limmer Asphalte Company Limited</t>
  </si>
  <si>
    <t xml:space="preserve">myb803077</t>
  </si>
  <si>
    <t xml:space="preserve">July, 1891, the company</t>
  </si>
  <si>
    <t xml:space="preserve">New Jagersfontein Mining And Exploration Company</t>
  </si>
  <si>
    <t xml:space="preserve">myb804340</t>
  </si>
  <si>
    <t xml:space="preserve">was £5,904, making with balance forward</t>
  </si>
  <si>
    <t xml:space="preserve">New Sharlston Collieries Limited</t>
  </si>
  <si>
    <t xml:space="preserve">myb804885</t>
  </si>
  <si>
    <t xml:space="preserve">creditors £15,555.</t>
  </si>
  <si>
    <t xml:space="preserve">Newdigate Colliery Limited</t>
  </si>
  <si>
    <t xml:space="preserve">myb808035</t>
  </si>
  <si>
    <t xml:space="preserve">£37,573; cash £1,333, loans £12,028,</t>
  </si>
  <si>
    <t xml:space="preserve">Ore Concentration Syndicate Limited</t>
  </si>
  <si>
    <t xml:space="preserve">myb815477</t>
  </si>
  <si>
    <t xml:space="preserve">mines, area about 194 acres, situate</t>
  </si>
  <si>
    <t xml:space="preserve">San Francisco Mines Mexico Limited</t>
  </si>
  <si>
    <t xml:space="preserve">myb819824</t>
  </si>
  <si>
    <t xml:space="preserve">registered December 24, 1877 see vol. for 1900 , and owns the Dale Abbey and</t>
  </si>
  <si>
    <t xml:space="preserve">Stanton Iron Works Company Limited</t>
  </si>
  <si>
    <t xml:space="preserve">myb824346</t>
  </si>
  <si>
    <t xml:space="preserve">Accounts For year ended December 31, 1913, submitted</t>
  </si>
  <si>
    <t xml:space="preserve">Union Miniere Du Haut Katanga Limited</t>
  </si>
  <si>
    <t xml:space="preserve">myb826218</t>
  </si>
  <si>
    <t xml:space="preserve">bane Colliery and adjoining coalfield, comprising 41,000 acres and, 3 options</t>
  </si>
  <si>
    <t xml:space="preserve">Vry Heid Natal Railway Coal</t>
  </si>
  <si>
    <t xml:space="preserve">myb835405</t>
  </si>
  <si>
    <t xml:space="preserve">£33,000.</t>
  </si>
  <si>
    <t xml:space="preserve">myb841789</t>
  </si>
  <si>
    <t xml:space="preserve">myb842127</t>
  </si>
  <si>
    <t xml:space="preserve">to which they were entitled on redemption. The object</t>
  </si>
  <si>
    <t xml:space="preserve">myb842218</t>
  </si>
  <si>
    <t xml:space="preserve">yOUI instal</t>
  </si>
  <si>
    <t xml:space="preserve">Canadian Collieries Dunsmuir Limited</t>
  </si>
  <si>
    <t xml:space="preserve">myb842391</t>
  </si>
  <si>
    <t xml:space="preserve">received on shares held in the Mining Corpn. of Canada, Ltd., amounted to</t>
  </si>
  <si>
    <t xml:space="preserve">Canadian Mining Corporation Limited</t>
  </si>
  <si>
    <t xml:space="preserve">myb842705</t>
  </si>
  <si>
    <t xml:space="preserve">mini was dissolved.</t>
  </si>
  <si>
    <t xml:space="preserve">Carabaya Mining Syndicate Limited</t>
  </si>
  <si>
    <t xml:space="preserve">myb846603</t>
  </si>
  <si>
    <t xml:space="preserve">September 30, 1912, when the new plant, which consists</t>
  </si>
  <si>
    <t xml:space="preserve">Consolidated Langlaagte Mines Limited</t>
  </si>
  <si>
    <t xml:space="preserve">myb861246</t>
  </si>
  <si>
    <t xml:space="preserve">shares Nos.</t>
  </si>
  <si>
    <t xml:space="preserve">Johannesburg Forest And Land Limited</t>
  </si>
  <si>
    <t xml:space="preserve">myb861308</t>
  </si>
  <si>
    <t xml:space="preserve">the Atlas Works</t>
  </si>
  <si>
    <t xml:space="preserve">John Brown And Company Limited</t>
  </si>
  <si>
    <t xml:space="preserve">myb862015</t>
  </si>
  <si>
    <t xml:space="preserve">loads; washing was suspended July, 1907, but during 1910 the blue ground on</t>
  </si>
  <si>
    <t xml:space="preserve">Kamfersdam Toinrs Limited</t>
  </si>
  <si>
    <t xml:space="preserve">myb862469</t>
  </si>
  <si>
    <t xml:space="preserve">An ammonia leaching plant</t>
  </si>
  <si>
    <t xml:space="preserve">Kennecott Copper Corporation</t>
  </si>
  <si>
    <t xml:space="preserve">myb873298</t>
  </si>
  <si>
    <t xml:space="preserve">NEw HERIoT GoLD MINING comPANY, LIMITED,</t>
  </si>
  <si>
    <t xml:space="preserve">New Heriwt Gold Mining Oopany</t>
  </si>
  <si>
    <t xml:space="preserve">myb874013</t>
  </si>
  <si>
    <t xml:space="preserve">Havercroft and South Hiendley, four miles from</t>
  </si>
  <si>
    <t xml:space="preserve">New Monckton Collieries Limited</t>
  </si>
  <si>
    <t xml:space="preserve">myb874330</t>
  </si>
  <si>
    <t xml:space="preserve">the Witwatersrand.</t>
  </si>
  <si>
    <t xml:space="preserve">New Radnwr Limited</t>
  </si>
  <si>
    <t xml:space="preserve">myb879643</t>
  </si>
  <si>
    <t xml:space="preserve">Registered March, 1906, in New Zealand, to develop and work a coal lease of</t>
  </si>
  <si>
    <t xml:space="preserve">Paparoa Coal Mining Coopany Limited</t>
  </si>
  <si>
    <t xml:space="preserve">myb883896</t>
  </si>
  <si>
    <t xml:space="preserve">Rezende Mines Limited</t>
  </si>
  <si>
    <t xml:space="preserve">myb884761</t>
  </si>
  <si>
    <t xml:space="preserve">London Secretaries and Offices Downes, Munns &amp; Co., 286, Salisbury House, E.C.</t>
  </si>
  <si>
    <t xml:space="preserve">Rietkuil Gold Mines Limited</t>
  </si>
  <si>
    <t xml:space="preserve">myb884898</t>
  </si>
  <si>
    <t xml:space="preserve">For per Sh. For per sh.</t>
  </si>
  <si>
    <t xml:space="preserve">Ores Mines Produced</t>
  </si>
  <si>
    <t xml:space="preserve">myb888500</t>
  </si>
  <si>
    <t xml:space="preserve">D. Roberts.</t>
  </si>
  <si>
    <t xml:space="preserve">Silver Tip Mining And Power</t>
  </si>
  <si>
    <t xml:space="preserve">myb891847</t>
  </si>
  <si>
    <t xml:space="preserve">STAVELEY COAL AND IRON COMPANY, LIMITED, Directors Qualification, £1,000 .</t>
  </si>
  <si>
    <t xml:space="preserve">Staveley Coal And Iron Company</t>
  </si>
  <si>
    <t xml:space="preserve">myb892876</t>
  </si>
  <si>
    <t xml:space="preserve">the old company for principal and interest; the stock</t>
  </si>
  <si>
    <t xml:space="preserve">Sydney Harbour Colliery Limited</t>
  </si>
  <si>
    <t xml:space="preserve">myb900044</t>
  </si>
  <si>
    <t xml:space="preserve">Surface</t>
  </si>
  <si>
    <t xml:space="preserve">myb901112</t>
  </si>
  <si>
    <t xml:space="preserve">£213,840, making with balance forward and</t>
  </si>
  <si>
    <t xml:space="preserve">Mining Mantat Mimia Bar Witwatersrand</t>
  </si>
  <si>
    <t xml:space="preserve">myb908388</t>
  </si>
  <si>
    <t xml:space="preserve">1917, there was a profit of £510,185, making with balance forward a. sum of</t>
  </si>
  <si>
    <t xml:space="preserve">Bolckow Vaughan And Company Umiteit</t>
  </si>
  <si>
    <t xml:space="preserve">myb911709</t>
  </si>
  <si>
    <t xml:space="preserve">Registered November 29, 1872, as the Yorkshire and Derbyshire Coal and</t>
  </si>
  <si>
    <t xml:space="preserve">Carlton Main Colliery Company Limited</t>
  </si>
  <si>
    <t xml:space="preserve">myb911765</t>
  </si>
  <si>
    <t xml:space="preserve">Accounts Issued to shareholders only.</t>
  </si>
  <si>
    <t xml:space="preserve">Carrock Syndicate Limited</t>
  </si>
  <si>
    <t xml:space="preserve">myb913509</t>
  </si>
  <si>
    <t xml:space="preserve">CONDITIONS imposed by present-day loads,</t>
  </si>
  <si>
    <t xml:space="preserve">Clydesdale Transvaal Collieries Limited</t>
  </si>
  <si>
    <t xml:space="preserve">myb914428</t>
  </si>
  <si>
    <t xml:space="preserve">liabilities, uncalled on investments £698,677. Property and assets : Investments</t>
  </si>
  <si>
    <t xml:space="preserve">myb915562</t>
  </si>
  <si>
    <t xml:space="preserve">Transfer form, common; fee, 23. 6d. January 23, 1901, was appointed settling</t>
  </si>
  <si>
    <t xml:space="preserve">myb919480</t>
  </si>
  <si>
    <t xml:space="preserve">Correspondence, &amp;c.</t>
  </si>
  <si>
    <t xml:space="preserve">Finanoial Times Index</t>
  </si>
  <si>
    <t xml:space="preserve">myb925260</t>
  </si>
  <si>
    <t xml:space="preserve">part thereof is also payable on the value of the shares when transferred. Share</t>
  </si>
  <si>
    <t xml:space="preserve">Johannesburg Consolidated Investment Company</t>
  </si>
  <si>
    <t xml:space="preserve">myb928761</t>
  </si>
  <si>
    <t xml:space="preserve">1901-2, 10 per cent. ; 1902-3, 10 per cent.; 1903-4, 7 per cent.; 1904-5, 5 perv</t>
  </si>
  <si>
    <t xml:space="preserve">Llyny Pandy Mining Company Limited</t>
  </si>
  <si>
    <t xml:space="preserve">myb928985</t>
  </si>
  <si>
    <t xml:space="preserve">in a. working option for one year over the Cam and Motor claims situate in Gatooma,</t>
  </si>
  <si>
    <t xml:space="preserve">London And Silverton Mining Company</t>
  </si>
  <si>
    <t xml:space="preserve">myb930010</t>
  </si>
  <si>
    <t xml:space="preserve">366 J lIINING 6: , 1918.</t>
  </si>
  <si>
    <t xml:space="preserve">Manitoba And Saskatchewan Coal Limited</t>
  </si>
  <si>
    <t xml:space="preserve">myb930843</t>
  </si>
  <si>
    <t xml:space="preserve">operations were greatly interfered with owing to the revolutionary state of -tho</t>
  </si>
  <si>
    <t xml:space="preserve">Mexico Mines Oro Limited</t>
  </si>
  <si>
    <t xml:space="preserve">myb937341</t>
  </si>
  <si>
    <t xml:space="preserve">14, 1917, showed £129,126 to debit of profit and loss account, an increase of £30,582;</t>
  </si>
  <si>
    <t xml:space="preserve">Nyassa Company</t>
  </si>
  <si>
    <t xml:space="preserve">myb941388</t>
  </si>
  <si>
    <t xml:space="preserve">Transfer form common; fee, 25. 6d. September 7, 1910, was appointed</t>
  </si>
  <si>
    <t xml:space="preserve">Rhodesia And Ashanti Limited</t>
  </si>
  <si>
    <t xml:space="preserve">myb945120</t>
  </si>
  <si>
    <t xml:space="preserve">British Burmah Pet. 00., Ltd.,</t>
  </si>
  <si>
    <t xml:space="preserve">South African Land Exploration Limited</t>
  </si>
  <si>
    <t xml:space="preserve">myb946045</t>
  </si>
  <si>
    <t xml:space="preserve">mnlMn rvlumuq uzw</t>
  </si>
  <si>
    <t xml:space="preserve">Southern Van Ryn Gold Mining</t>
  </si>
  <si>
    <t xml:space="preserve">myb949913</t>
  </si>
  <si>
    <t xml:space="preserve">operation. A concentration mill commenced work August, 1909. Ore shipments</t>
  </si>
  <si>
    <t xml:space="preserve">Utah Apex Mining Company</t>
  </si>
  <si>
    <t xml:space="preserve">myb950424</t>
  </si>
  <si>
    <t xml:space="preserve">highest, 11s. 6d.; lowest, 55.; 1915: highest, 7s. 6d.; lowest, 35. 9d.; 1916:</t>
  </si>
  <si>
    <t xml:space="preserve">Vergelegen Gold Estates Limited</t>
  </si>
  <si>
    <t xml:space="preserve">myb953860</t>
  </si>
  <si>
    <t xml:space="preserve">Registered July</t>
  </si>
  <si>
    <t xml:space="preserve">Zinc Corporation Limited</t>
  </si>
  <si>
    <t xml:space="preserve">myb962020</t>
  </si>
  <si>
    <t xml:space="preserve">company s property, the Government to receive an annuity of £6,560 for 20 years,</t>
  </si>
  <si>
    <t xml:space="preserve">myb965276</t>
  </si>
  <si>
    <t xml:space="preserve">five per cent. in fully-paid shares at £5 5s. per share. Debenture holders had the</t>
  </si>
  <si>
    <t xml:space="preserve">East Rand Rletary Mines Limited</t>
  </si>
  <si>
    <t xml:space="preserve">myb968445</t>
  </si>
  <si>
    <t xml:space="preserve">266,000 fully-paid Anfargah shares of 10s. each were held; also £50,000 debentures</t>
  </si>
  <si>
    <t xml:space="preserve">Himdairn Qnirc Limited</t>
  </si>
  <si>
    <t xml:space="preserve">myb970793</t>
  </si>
  <si>
    <t xml:space="preserve">l00 shares or part. Voting power, one vote per share. A South African</t>
  </si>
  <si>
    <t xml:space="preserve">Kleinfontein Estates And Township Limited</t>
  </si>
  <si>
    <t xml:space="preserve">myb971522</t>
  </si>
  <si>
    <t xml:space="preserve">15 per cent. ; nil since.</t>
  </si>
  <si>
    <t xml:space="preserve">Lake View And Star Limited</t>
  </si>
  <si>
    <t xml:space="preserve">myb972144</t>
  </si>
  <si>
    <t xml:space="preserve">Local Secretary and Ofl1ces B. G. Derry, Salisbury, Rhodesia. Actmg Secretary and Ofices F. E. Norris, 87, Bishopsgate, E.C. 2.</t>
  </si>
  <si>
    <t xml:space="preserve">Lomah Rhodesia Exploration</t>
  </si>
  <si>
    <t xml:space="preserve">myb975051</t>
  </si>
  <si>
    <t xml:space="preserve">pref., highest, 15s.; lowest, 12s. 6d.; ord., highest 2s. 6 d.; lowest, In. 3d.</t>
  </si>
  <si>
    <t xml:space="preserve">Mount Yagahong Exploration And Finance</t>
  </si>
  <si>
    <t xml:space="preserve">myb975167</t>
  </si>
  <si>
    <t xml:space="preserve">railway from Port Beira. on Pungwe Bay, through the company s territories of Manica and</t>
  </si>
  <si>
    <t xml:space="preserve">Mount Zeehan Tasmania Silver Lead</t>
  </si>
  <si>
    <t xml:space="preserve">myb982739</t>
  </si>
  <si>
    <t xml:space="preserve">. Head Ofl1ces Montrea1, Canada. London Oflices- Basildon House, Moorgate Street, E0. 2.</t>
  </si>
  <si>
    <t xml:space="preserve">Russo Canadian Development Corporation Limited</t>
  </si>
  <si>
    <t xml:space="preserve">myb986289</t>
  </si>
  <si>
    <t xml:space="preserve">yielded 462 tons tin ore; profit per ton £78 5s. 8d. For year ended October 31,</t>
  </si>
  <si>
    <t xml:space="preserve">Tekka Taiping Limited</t>
  </si>
  <si>
    <t xml:space="preserve">myb1003924</t>
  </si>
  <si>
    <t xml:space="preserve">&amp; , 1920. 191</t>
  </si>
  <si>
    <t xml:space="preserve">Eldorado Banket Gold Mining Company</t>
  </si>
  <si>
    <t xml:space="preserve">myb1008876</t>
  </si>
  <si>
    <t xml:space="preserve">Incorporated September 5, 1912, under the laws of New Jersey, U.S.A., and is</t>
  </si>
  <si>
    <t xml:space="preserve">International Copper Company Limited</t>
  </si>
  <si>
    <t xml:space="preserve">myb1009313</t>
  </si>
  <si>
    <t xml:space="preserve">Cables: Chromate. London ; Console, Johannesburg. Phone: 2226 Wall.</t>
  </si>
  <si>
    <t xml:space="preserve">myb1009447</t>
  </si>
  <si>
    <t xml:space="preserve">Debentures £152,050.</t>
  </si>
  <si>
    <t xml:space="preserve">Joh Bowesand Partners Ltd</t>
  </si>
  <si>
    <t xml:space="preserve">myb1011903</t>
  </si>
  <si>
    <t xml:space="preserve">Ltd., Radnor Mine, Ltd , Linchwe Concessions, Ltd., Oran Synd., Ltd., Trinidad</t>
  </si>
  <si>
    <t xml:space="preserve">myb1020359</t>
  </si>
  <si>
    <t xml:space="preserve">paid including vendors . In September, 1912, 100,000 shares were oflered for</t>
  </si>
  <si>
    <t xml:space="preserve">Porco Tin Mines</t>
  </si>
  <si>
    <t xml:space="preserve">myb1022026</t>
  </si>
  <si>
    <t xml:space="preserve">1918-19, 10 per cent. paid August</t>
  </si>
  <si>
    <t xml:space="preserve">myb1040105</t>
  </si>
  <si>
    <t xml:space="preserve">in fully paid £1 shares and the balance in cash. An excavating and washing</t>
  </si>
  <si>
    <t xml:space="preserve">Cascalho Syndicate Limited Dcir Ecir</t>
  </si>
  <si>
    <t xml:space="preserve">myb1040197</t>
  </si>
  <si>
    <t xml:space="preserve">exchange for each old share; the reconstruetors subscribed for 50,000 shares at</t>
  </si>
  <si>
    <t xml:space="preserve">Cassel Coal Limited</t>
  </si>
  <si>
    <t xml:space="preserve">myb1045026</t>
  </si>
  <si>
    <t xml:space="preserve">192 4: , 1921.</t>
  </si>
  <si>
    <t xml:space="preserve">Easr Rand Mining Estates Gold</t>
  </si>
  <si>
    <t xml:space="preserve">myb1045237</t>
  </si>
  <si>
    <t xml:space="preserve">£290,000, which, at the company s option, may be satisfied in fully-paid shares at</t>
  </si>
  <si>
    <t xml:space="preserve">Eastern Moneer Limited</t>
  </si>
  <si>
    <t xml:space="preserve">myb1053599</t>
  </si>
  <si>
    <t xml:space="preserve">par for one share in Winnebah Tinfields, Ltd., for every three London Dublin</t>
  </si>
  <si>
    <t xml:space="preserve">London Dublin Gold Coast Syndicate</t>
  </si>
  <si>
    <t xml:space="preserve">myb1054002</t>
  </si>
  <si>
    <t xml:space="preserve">originally £1,312,500, in 1,250,000 ordinary shares of £1 each and 1,250,000 de</t>
  </si>
  <si>
    <t xml:space="preserve">Mokinley Dabbagh Savage Mines</t>
  </si>
  <si>
    <t xml:space="preserve">myb1056000</t>
  </si>
  <si>
    <t xml:space="preserve">1920: highest, 29s. 9d.; lowest, lls. 3 l. Latest price, 13s. 101d.</t>
  </si>
  <si>
    <t xml:space="preserve">Mongu Nigeria Tin Mines Limited</t>
  </si>
  <si>
    <t xml:space="preserve">myb1064128</t>
  </si>
  <si>
    <t xml:space="preserve">Phones: 1573 Central, Swansea, 19574958, City, London.</t>
  </si>
  <si>
    <t xml:space="preserve">Richard Thomas And Limited</t>
  </si>
  <si>
    <t xml:space="preserve">myb1069358</t>
  </si>
  <si>
    <t xml:space="preserve">Dividends Including bonuses : 1899-1900, 25.; 1900-1, 2s.; 1901-2, 3a.;</t>
  </si>
  <si>
    <t xml:space="preserve">Tomboy Gold Mines Company Limited</t>
  </si>
  <si>
    <t xml:space="preserve">myb1072850</t>
  </si>
  <si>
    <t xml:space="preserve">Capital £500,000, in shares of £1 each, 450,000 issued and fully paid. The shares,</t>
  </si>
  <si>
    <t xml:space="preserve">myb1075664</t>
  </si>
  <si>
    <t xml:space="preserve">each with £24 paid. In February, 1913, the shares were divided into 750,000 £1</t>
  </si>
  <si>
    <t xml:space="preserve">Andrew Knowles And Sons Limited</t>
  </si>
  <si>
    <t xml:space="preserve">myb1075961</t>
  </si>
  <si>
    <t xml:space="preserve">London Committee.</t>
  </si>
  <si>
    <t xml:space="preserve">Anglo French Ural Syndicate Limited</t>
  </si>
  <si>
    <t xml:space="preserve">myb1076580</t>
  </si>
  <si>
    <t xml:space="preserve">situate about nine miles south-east of Edinburgh. The property is 2,400 acres</t>
  </si>
  <si>
    <t xml:space="preserve">Arniston Coal Company Limited</t>
  </si>
  <si>
    <t xml:space="preserve">myb1077875</t>
  </si>
  <si>
    <t xml:space="preserve">Prices, 1919 : highest, 2s. 1d.; lowest, 3d.; 1920 : highest, 81L; lowest, 3d.</t>
  </si>
  <si>
    <t xml:space="preserve">myb1078312</t>
  </si>
  <si>
    <t xml:space="preserve">and 1,311,750 ordinary credited as fullv paid. In December, 1919, 500,000</t>
  </si>
  <si>
    <t xml:space="preserve">Bei Gal Iron Limited</t>
  </si>
  <si>
    <t xml:space="preserve">myb1084848</t>
  </si>
  <si>
    <t xml:space="preserve">Accounts For year ended June 30, 1921, submitted in Glasgow Sep</t>
  </si>
  <si>
    <t xml:space="preserve">Dalmellington Iron Company Limited</t>
  </si>
  <si>
    <t xml:space="preserve">myb1085977</t>
  </si>
  <si>
    <t xml:space="preserve">nected by</t>
  </si>
  <si>
    <t xml:space="preserve">Durban Navigation Collier Iesi Limited</t>
  </si>
  <si>
    <t xml:space="preserve">myb1088842</t>
  </si>
  <si>
    <t xml:space="preserve">kept in London. Transfer form, common; fee, 2s. 6d.</t>
  </si>
  <si>
    <t xml:space="preserve">Ger River Tin Mines Limited</t>
  </si>
  <si>
    <t xml:space="preserve">myb1088875</t>
  </si>
  <si>
    <t xml:space="preserve">description of Railway Material</t>
  </si>
  <si>
    <t xml:space="preserve">Glamorgan Ematite Iron Ore Limited</t>
  </si>
  <si>
    <t xml:space="preserve">myb1089046</t>
  </si>
  <si>
    <t xml:space="preserve">fully paid. The shares, originally of £1 each, were divided into 53. shares in April,</t>
  </si>
  <si>
    <t xml:space="preserve">Globe And Phoenix Gold Mining</t>
  </si>
  <si>
    <t xml:space="preserve">myb1092775</t>
  </si>
  <si>
    <t xml:space="preserve">169 vtons value 7255 per cent.; 1920-21. 170 tons.</t>
  </si>
  <si>
    <t xml:space="preserve">Kaduna Syndicate Limited</t>
  </si>
  <si>
    <t xml:space="preserve">myb1097934</t>
  </si>
  <si>
    <t xml:space="preserve">Capital £25,000. in 24,750 ordinary shares of £1 each and 5,000 management</t>
  </si>
  <si>
    <t xml:space="preserve">Mount Ayliff Syndicate Limited</t>
  </si>
  <si>
    <t xml:space="preserve">myb1099527</t>
  </si>
  <si>
    <t xml:space="preserve">sunk from the 19th level to exploit the claim area leased from the City Deep, Ltd.</t>
  </si>
  <si>
    <t xml:space="preserve">New Goch Gold Mines Limited</t>
  </si>
  <si>
    <t xml:space="preserve">myb1099824</t>
  </si>
  <si>
    <t xml:space="preserve">repayment of capitalloan £15,000.</t>
  </si>
  <si>
    <t xml:space="preserve">myb1100644</t>
  </si>
  <si>
    <t xml:space="preserve">ence, 75,000 seven per cent. cumulative preference, and 75,000 ordinary shares</t>
  </si>
  <si>
    <t xml:space="preserve">myb1101026</t>
  </si>
  <si>
    <t xml:space="preserve">£1,100; creditors and loans £6,159.</t>
  </si>
  <si>
    <t xml:space="preserve">Nigerian Mining Synqjqate Limited</t>
  </si>
  <si>
    <t xml:space="preserve">myb1104502</t>
  </si>
  <si>
    <t xml:space="preserve">pended , 8,102 tons yielded gold value £12,620; loss £2,890. The property is to</t>
  </si>
  <si>
    <t xml:space="preserve">Progress Mines New Zealand Limited</t>
  </si>
  <si>
    <t xml:space="preserve">myb1108184</t>
  </si>
  <si>
    <t xml:space="preserve">Capital £600,000, in shares of v fit each; 115,665 preference and 200,000</t>
  </si>
  <si>
    <t xml:space="preserve">Shotts Iron Company Limited</t>
  </si>
  <si>
    <t xml:space="preserve">myb1108663</t>
  </si>
  <si>
    <t xml:space="preserve">per cent. ; 1904-5, 5 per cent.; 1905-6, 4 per cent.; 1906-7, 6 per cent.;</t>
  </si>
  <si>
    <t xml:space="preserve">Sneyd Collieries Limited</t>
  </si>
  <si>
    <t xml:space="preserve">myb1112705</t>
  </si>
  <si>
    <t xml:space="preserve">UNITED EXCELSlOR MINES. LTD. Directors Qualification, 500 shares £l25 . Major 0. T. Holland, Chairman. I H. P. Clemes. I J. Lion. I A. R. Wirgman. Manazer in Rhodesia B. G. Derry. Secretarial Agents and Ofllces Bromhead Bros.</t>
  </si>
  <si>
    <t xml:space="preserve">United Excelsior Mines Limited</t>
  </si>
  <si>
    <t xml:space="preserve">myb1113867</t>
  </si>
  <si>
    <t xml:space="preserve">The company owns 2,220 acres timber area. A complete SO-stamp mill and</t>
  </si>
  <si>
    <t xml:space="preserve">Waihi Gold Mining Company Limited</t>
  </si>
  <si>
    <t xml:space="preserve">myb1122706</t>
  </si>
  <si>
    <t xml:space="preserve">Secretaries and Oflices London and Rhodesian Mining and Land 00., Ltd.,</t>
  </si>
  <si>
    <t xml:space="preserve">Calumet And Arizona Mining Company</t>
  </si>
  <si>
    <t xml:space="preserve">myb1125226</t>
  </si>
  <si>
    <t xml:space="preserve">Bultfont-ein Diamond Mine, Kimberley, Cape Colony. As from July 1, 1889, the</t>
  </si>
  <si>
    <t xml:space="preserve">Consolidated Bultfontein Mine Limited</t>
  </si>
  <si>
    <t xml:space="preserve">myb1125335</t>
  </si>
  <si>
    <t xml:space="preserve">Telegrams: Anglemeter, London; Alta, Reet ton, N.Z. Phone: Wall 230.</t>
  </si>
  <si>
    <t xml:space="preserve">Consolidated Gold Limited New Zealand</t>
  </si>
  <si>
    <t xml:space="preserve">myb1129406</t>
  </si>
  <si>
    <t xml:space="preserve">Pedro Creeks, Alaska.</t>
  </si>
  <si>
    <t xml:space="preserve">Fairbanks Gold Mining Company Limited</t>
  </si>
  <si>
    <t xml:space="preserve">myb1131680</t>
  </si>
  <si>
    <t xml:space="preserve">Magnet Works, 50, Lombard St Birmingham. T h pShToRnINeG:: BOIIINGS BIRMINGHAM. 0N WAR OFFICE LISTS. MIDLANID 837. CONTRACTORS T0 rm: ADMIRALTY.</t>
  </si>
  <si>
    <t xml:space="preserve">Guest Keen And Nettlefolds Limited</t>
  </si>
  <si>
    <t xml:space="preserve">myb1134242</t>
  </si>
  <si>
    <t xml:space="preserve">Registered August, 1912, in Victoria, and is a third reconstruction of the</t>
  </si>
  <si>
    <t xml:space="preserve">Jumbo Gold Mining Company Limited</t>
  </si>
  <si>
    <t xml:space="preserve">myb1138070</t>
  </si>
  <si>
    <t xml:space="preserve">divided 40 per cent. to the Mexican Corpn., S.A., and 60 per cent. to the</t>
  </si>
  <si>
    <t xml:space="preserve">Mexican Corporation Limited</t>
  </si>
  <si>
    <t xml:space="preserve">myb1138951</t>
  </si>
  <si>
    <t xml:space="preserve">form, common; fee, 2s. 6d. per transfer of 100 shares or part. A South African</t>
  </si>
  <si>
    <t xml:space="preserve">Modderfontein Gold Mining Company Limited</t>
  </si>
  <si>
    <t xml:space="preserve">myb1139506</t>
  </si>
  <si>
    <t xml:space="preserve">consider ation was £395,000, in 395 00 fully-paid £1 shaves. The rail way was constructed. and</t>
  </si>
  <si>
    <t xml:space="preserve">Mount Lyell Mining Railway Limited</t>
  </si>
  <si>
    <t xml:space="preserve">myb1143436</t>
  </si>
  <si>
    <t xml:space="preserve">Recent Dividends on ordinary shares For 1912, 14 per cent.; for 1913, 16 per</t>
  </si>
  <si>
    <t xml:space="preserve">Ocean Coal And Wilsons Limited</t>
  </si>
  <si>
    <t xml:space="preserve">myb1144421</t>
  </si>
  <si>
    <t xml:space="preserve">accrued debenture interest, £47,138.</t>
  </si>
  <si>
    <t xml:space="preserve">myb1144925</t>
  </si>
  <si>
    <t xml:space="preserve">Registered August 22, 1907, to acquire from W. R. H. Chappel a tin mining</t>
  </si>
  <si>
    <t xml:space="preserve">Pengam Colliery Limited</t>
  </si>
  <si>
    <t xml:space="preserve">myb1145358</t>
  </si>
  <si>
    <t xml:space="preserve">Co., Ltd., the Plymouth Consolidated group of mines, together with adjoining</t>
  </si>
  <si>
    <t xml:space="preserve">Plymouth Consolidated Gold Mines Limited</t>
  </si>
  <si>
    <t xml:space="preserve">correct</t>
  </si>
  <si>
    <t xml:space="preserve">quarters ending November 1, 1886, February 1 and May 2, 1887, and at the rate</t>
  </si>
  <si>
    <t xml:space="preserve">Viola Company Limited</t>
  </si>
  <si>
    <t xml:space="preserve">has left a net profit of £1,526 5s. lod.</t>
  </si>
  <si>
    <t xml:space="preserve">Copiapo Mining Company Limited</t>
  </si>
  <si>
    <t xml:space="preserve">DOURO GOLD MINES, LIMITED.</t>
  </si>
  <si>
    <t xml:space="preserve">Douro Gold Mines Limited</t>
  </si>
  <si>
    <t xml:space="preserve">1882, 9,740</t>
  </si>
  <si>
    <t xml:space="preserve">the amount placed to reserve fund and working expenses, £U,4&amp;8 19s. 5d. ; leaving m &amp;ea</t>
  </si>
  <si>
    <t xml:space="preserve">Salisbury Extension Gold Mining Company</t>
  </si>
  <si>
    <t xml:space="preserve">The company is now being wound up by the Court of Chancery, an order for</t>
  </si>
  <si>
    <t xml:space="preserve">Bishop Creek Gold Mining Company</t>
  </si>
  <si>
    <t xml:space="preserve">apatite, copper, gold, silver, lead, and other mines in Norway and Sweden.</t>
  </si>
  <si>
    <t xml:space="preserve">Norway Mining Corporation Limited</t>
  </si>
  <si>
    <t xml:space="preserve">ANNUM, REPOKT.</t>
  </si>
  <si>
    <t xml:space="preserve">Wassau Gold Coast Mining Company</t>
  </si>
  <si>
    <t xml:space="preserve">The director have to report that the development of tho company s property has l cen</t>
  </si>
  <si>
    <t xml:space="preserve">Mobuta Gold And Silveb</t>
  </si>
  <si>
    <t xml:space="preserve">The authorised capital is £12,000, in 12,000 shares of £1 each, of which 7,663</t>
  </si>
  <si>
    <t xml:space="preserve">Spanish Prospecting Syndicate Limited</t>
  </si>
  <si>
    <t xml:space="preserve">The authorised capital is £30,000, in 30,000 shares of £1 each, of which 20,995</t>
  </si>
  <si>
    <t xml:space="preserve">East Grassington Mines Limited</t>
  </si>
  <si>
    <t xml:space="preserve">EAST POOL MINING COMPANY.</t>
  </si>
  <si>
    <t xml:space="preserve">East Pool Mining Company</t>
  </si>
  <si>
    <t xml:space="preserve">MOSMAN GOLD</t>
  </si>
  <si>
    <t xml:space="preserve">Mosman Gold Mining Company Limited</t>
  </si>
  <si>
    <t xml:space="preserve">NEW DOURO GOLD MINES, LIMITED.</t>
  </si>
  <si>
    <t xml:space="preserve">New Douro Gold Mines Limited</t>
  </si>
  <si>
    <t xml:space="preserve">Elizabeth on the 24th February, 1893. On the 7th July, 1893, a reconstrnction</t>
  </si>
  <si>
    <t xml:space="preserve">Horo Concession Exploration Company Swazieland</t>
  </si>
  <si>
    <t xml:space="preserve">BRITISH SOUTH AFRICA COMPANY.</t>
  </si>
  <si>
    <t xml:space="preserve">British South Africa Company</t>
  </si>
  <si>
    <t xml:space="preserve">Atacama Mineral Company, Limited. Armitage, James Auriot, M.D., is a director of the Farnley Iron Company, Limited. Armitage, John Ramsden, Thornfield, Bradford, is a director of the</t>
  </si>
  <si>
    <t xml:space="preserve">Local Manager N. A. D. Armstrong , Dawson City, Yukon Territory. Cunltdl.</t>
  </si>
  <si>
    <t xml:space="preserve">Akim Goldfields Limited</t>
  </si>
  <si>
    <t xml:space="preserve">1002 ... 3</t>
  </si>
  <si>
    <t xml:space="preserve">Scottish Australian Mining Company</t>
  </si>
  <si>
    <t xml:space="preserve">Nourse Mines</t>
  </si>
  <si>
    <t xml:space="preserve">Rand Mines Limited</t>
  </si>
  <si>
    <t xml:space="preserve">British Borneo Exploration, South West Africa Co., 4c, also debentures in the</t>
  </si>
  <si>
    <t xml:space="preserve">Anglo Continentall Gold Syndicate</t>
  </si>
  <si>
    <t xml:space="preserve">Thomas Honey, Chairman I Fredk. C. Marten. | H. Ghidsal. I C. C. Banc, i T. E. Honey,</t>
  </si>
  <si>
    <t xml:space="preserve">Servian Syndicate Limited</t>
  </si>
  <si>
    <t xml:space="preserve">3s. 6d. ; 1907 : highest, 4s. 6d. ; lowest, 3d. ; 1908 : highest, 2s. 9d. ; lowest, nil.</t>
  </si>
  <si>
    <t xml:space="preserve">Day Dawn Gold Mines Limited</t>
  </si>
  <si>
    <t xml:space="preserve">underwriting 210,000 shares, also to the former owners of the property a sum of</t>
  </si>
  <si>
    <t xml:space="preserve">Tasmanian Gold Company Limited</t>
  </si>
  <si>
    <t xml:space="preserve">into 143,066 ordinary and 176,250 deferred shares of 103. each, the deferred</t>
  </si>
  <si>
    <t xml:space="preserve">Ashan And Concessio Ite</t>
  </si>
  <si>
    <t xml:space="preserve">vendors received £30,000 in fully-paid shares. In 1891 the company purchased</t>
  </si>
  <si>
    <t xml:space="preserve">City And Suburban Gold Mining</t>
  </si>
  <si>
    <t xml:space="preserve">call on 3,427 shares was 6s., payable Juno Oth, 1907.</t>
  </si>
  <si>
    <t xml:space="preserve">Vaal River Diamond Company Limited</t>
  </si>
  <si>
    <t xml:space="preserve">an accumulating sinking fund of £2,000 per annum, but after November 11th,</t>
  </si>
  <si>
    <t xml:space="preserve">Wemyss Collieries Trust Limited</t>
  </si>
  <si>
    <t xml:space="preserve">share for every two shares held :</t>
  </si>
  <si>
    <t xml:space="preserve">17,000 fully-paid shares and £3,670 debentures in the Bartie Corporation, Ltd.</t>
  </si>
  <si>
    <t xml:space="preserve">Gold Coast Investment Company</t>
  </si>
  <si>
    <t xml:space="preserve">properties and rights at Lymni, Cyprus. The consideration was £4,000 in</t>
  </si>
  <si>
    <t xml:space="preserve">Lymni Copper Mining Syndicate Limited</t>
  </si>
  <si>
    <t xml:space="preserve">general miners in Nigeria. The authorised capital is £6,000 in 6,000 shares of £1</t>
  </si>
  <si>
    <t xml:space="preserve">Alluvi Syndicate Lnlgeri Limited</t>
  </si>
  <si>
    <t xml:space="preserve">20,000 shares held by the Ashanti Rivers Co. not participating , and also had</t>
  </si>
  <si>
    <t xml:space="preserve">Ashanti Properties Limited</t>
  </si>
  <si>
    <t xml:space="preserve">C. P. Rowfell. | Isaic Lewis. | Goo. Pauling. I W. F. Andrews . | H. D. Lewis.</t>
  </si>
  <si>
    <t xml:space="preserve">London Zambes Syndicate Limited</t>
  </si>
  <si>
    <t xml:space="preserve">This oompany was registered May 12th, 1896, to acquire from the West African</t>
  </si>
  <si>
    <t xml:space="preserve">Obbuassi Mines Limited</t>
  </si>
  <si>
    <t xml:space="preserve">BESTWOOD COAL AND IRON CO., LTD.</t>
  </si>
  <si>
    <t xml:space="preserve">Bestwood Coal And Jron Limited</t>
  </si>
  <si>
    <t xml:space="preserve">H. B. Omsby. I J. Morison, M.I.C.E. | J. McKelvie.</t>
  </si>
  <si>
    <t xml:space="preserve">Ewesley Quarry Company Limited</t>
  </si>
  <si>
    <t xml:space="preserve">£240,000, in 240,000 shares of £1 each; 159,330</t>
  </si>
  <si>
    <t xml:space="preserve">Mount Cuthbert Liability</t>
  </si>
  <si>
    <t xml:space="preserve">Mining EJn. gSitniidehenrhne. | Dr. C. P. Knight. I W.Watson. and Manager John Hayes, Roa, Greymoutb, N.Z.</t>
  </si>
  <si>
    <t xml:space="preserve">at 40s. each. The capital was increased to £150,000 in April, 1899, the</t>
  </si>
  <si>
    <t xml:space="preserve">Apex Mines Limited</t>
  </si>
  <si>
    <t xml:space="preserve">Directors 8. W. Teasdale; W. G. Carpenter.</t>
  </si>
  <si>
    <t xml:space="preserve">February Otb, 191 1, in Nos. 36,765 to 40,924 and May 1 1th. 1911, in Nos. 45,001</t>
  </si>
  <si>
    <t xml:space="preserve">Lomah Stoesse Extension Rhodesia Limited</t>
  </si>
  <si>
    <t xml:space="preserve">every three held, subscribers having an option until March 31st, 1912, over one</t>
  </si>
  <si>
    <t xml:space="preserve">sum of £397,141; dividends absorbed £230,000, taxes £20,424, amalgamation</t>
  </si>
  <si>
    <t xml:space="preserve">Rose Deep Limited</t>
  </si>
  <si>
    <t xml:space="preserve">as Is. Od. paid for every old fully-paid £1 share held.</t>
  </si>
  <si>
    <t xml:space="preserve">Strat Hearn Mining Jcompany Limited</t>
  </si>
  <si>
    <t xml:space="preserve">Consulting Engineer-W. McC. Cameron, Box 1125, Johannesburg.</t>
  </si>
  <si>
    <t xml:space="preserve">May Consolidated Gold Mining Company</t>
  </si>
  <si>
    <t xml:space="preserve">The company</t>
  </si>
  <si>
    <t xml:space="preserve">Blue Sptjb And Gabriel Gully</t>
  </si>
  <si>
    <t xml:space="preserve">published.</t>
  </si>
  <si>
    <t xml:space="preserve">Hodroyd Coal Company Limited</t>
  </si>
  <si>
    <t xml:space="preserve">25th, 1911; 1911-12, ML</t>
  </si>
  <si>
    <t xml:space="preserve">Smith s Bank. Ltd. Melbourne Secretary and Offices G. Gilliman, we, Little Collins Street.</t>
  </si>
  <si>
    <t xml:space="preserve">Standard Consolidated Tin Mines Limited</t>
  </si>
  <si>
    <t xml:space="preserve">14s.; lowest, 2s. 6d. ; 1912: highest, 9s. 415d; louvesr, 2s.; 1913: highest, -15. 6d.;</t>
  </si>
  <si>
    <t xml:space="preserve">86 per cent. absorbed $321,360, written 0E property and plant $222,522, leaving</t>
  </si>
  <si>
    <t xml:space="preserve">Alaska United Gold Mining Company</t>
  </si>
  <si>
    <t xml:space="preserve">W. Rose. J. W. H. Dew, Mann, ing.</t>
  </si>
  <si>
    <t xml:space="preserve">Alliance Exploitations Limited</t>
  </si>
  <si>
    <t xml:space="preserve">capital, but in the event of any part of the said sum being in urrear for more</t>
  </si>
  <si>
    <t xml:space="preserve">Askern Coal And Iron Company</t>
  </si>
  <si>
    <t xml:space="preserve">station, on the Lashio Branch of the Burma railways. The property is held</t>
  </si>
  <si>
    <t xml:space="preserve">Burma Development Syndicate Limited</t>
  </si>
  <si>
    <t xml:space="preserve">NORTH BRANCEPETH CQAL COMPANY, LlMlTED. Directors Qualitlcntion, £2,500 .</t>
  </si>
  <si>
    <t xml:space="preserve">portion oi this £1 per share remaining unpaid at time of winding up the company</t>
  </si>
  <si>
    <t xml:space="preserve">Carn Brea And Tincroft Min</t>
  </si>
  <si>
    <t xml:space="preserve">20,000 was guaranteed, the guarantors receiving the is. premium and an option</t>
  </si>
  <si>
    <t xml:space="preserve">Capital £1,200, in shares of £1 each; 1,193 shares are issued credited except</t>
  </si>
  <si>
    <t xml:space="preserve">Anglos Spanish Lead And Zinc</t>
  </si>
  <si>
    <t xml:space="preserve">losses were written off by reducing paid-up capital to the extent of 8s. per share.</t>
  </si>
  <si>
    <t xml:space="preserve">Burma Reiby Mines Limited</t>
  </si>
  <si>
    <t xml:space="preserve">Becretary and Offices D. J. Williams, York Chambers, Swansea. elegrams: Nndicaul, Swansea. Phone</t>
  </si>
  <si>
    <t xml:space="preserve">Cleeves Western Collieriesanthracite</t>
  </si>
  <si>
    <t xml:space="preserve">the South reef, and</t>
  </si>
  <si>
    <t xml:space="preserve">Luipaard Vlei Gold Mining Company</t>
  </si>
  <si>
    <t xml:space="preserve">take over from the Crown</t>
  </si>
  <si>
    <t xml:space="preserve">Porcupine Davidson Gold Mines Limited</t>
  </si>
  <si>
    <t xml:space="preserve">was payable March 17, 1911. Debenture-holders £78,890 issued agreed</t>
  </si>
  <si>
    <t xml:space="preserve">Accounts The first ordinary general meeting was held December 18, 1915;</t>
  </si>
  <si>
    <t xml:space="preserve">Zaruma Gold Mining Company Limited</t>
  </si>
  <si>
    <t xml:space="preserve">and minimum upkeep are</t>
  </si>
  <si>
    <t xml:space="preserve">Transfer form, common; fee, 2s. 6d.</t>
  </si>
  <si>
    <t xml:space="preserve">Merton Metallurgical Company Limited</t>
  </si>
  <si>
    <t xml:space="preserve">per oz. During 1915, the figures were 4,097,392 ozs.; costs</t>
  </si>
  <si>
    <t xml:space="preserve">Nipissinq Mines Company</t>
  </si>
  <si>
    <t xml:space="preserve">multiples</t>
  </si>
  <si>
    <t xml:space="preserve">Normandy Tron Works Company Limited</t>
  </si>
  <si>
    <t xml:space="preserve">SEND us particulars of your</t>
  </si>
  <si>
    <t xml:space="preserve">Bennett Heyde Nhey New Oannon</t>
  </si>
  <si>
    <t xml:space="preserve">funds being required the £77,700 debentures issued as security for loans and bank</t>
  </si>
  <si>
    <t xml:space="preserve">East Kent Colliery Company Limited</t>
  </si>
  <si>
    <t xml:space="preserve">Capital £252,000, in 50,400 shares of £5 each; all the shares are issued and</t>
  </si>
  <si>
    <t xml:space="preserve">Libiola Copper Mining Company Limited</t>
  </si>
  <si>
    <t xml:space="preserve">shares of that company. The property now held by the company consists of mining</t>
  </si>
  <si>
    <t xml:space="preserve">Tin Areas Nigeria Limited</t>
  </si>
  <si>
    <t xml:space="preserve">yard; profit, 4 8d. per cubic yard; 1915-16, 1,076 tons tin oxide, value £114,993;</t>
  </si>
  <si>
    <t xml:space="preserve">Tongkah Hareour Tin Dredging Company</t>
  </si>
  <si>
    <t xml:space="preserve">Bechuanaland Farms, Ltd. represented a total of 1,396,198 acres with mineral</t>
  </si>
  <si>
    <t xml:space="preserve">African And European Investment Limited</t>
  </si>
  <si>
    <t xml:space="preserve">lbs. The tin mining properties are practically exhausted.</t>
  </si>
  <si>
    <t xml:space="preserve">ordinary shares. The capital was increased from £250,000 in May, 1910, by</t>
  </si>
  <si>
    <t xml:space="preserve">dividends and bonus absorbed £123,650, written off depreciation £10,000, trans</t>
  </si>
  <si>
    <t xml:space="preserve">Tredegar Iron And Coal Company</t>
  </si>
  <si>
    <t xml:space="preserve">stones or when working any deposit of gold other than reef or vein gold, e.g., alluvial</t>
  </si>
  <si>
    <t xml:space="preserve">Zaaiplaats Tin Mining Limited</t>
  </si>
  <si>
    <t xml:space="preserve">Transfer form, common; fee, 2s. 6d.; the debenture stock is transferable in</t>
  </si>
  <si>
    <t xml:space="preserve">British Aluminium Limited</t>
  </si>
  <si>
    <t xml:space="preserve">DALMELLI NGTON IRON CO., LTD.</t>
  </si>
  <si>
    <t xml:space="preserve">ber, 1908, 4,000 shares were offered to shareholdersat £15 each at the rate of one</t>
  </si>
  <si>
    <t xml:space="preserve">AND FILTER CLOTHS FOR GOLD MINING</t>
  </si>
  <si>
    <t xml:space="preserve">Enterprise Gold Mining Estates Limited</t>
  </si>
  <si>
    <t xml:space="preserve">P. l lgott, Chairman. I F . E. Power. | l . P. Power. | J. G. Robertson. J. Forsyth, M.L.A. Brisbane . I Hon. 511 R. Philp, M.L.A. Brisbane . Consulting Engineer W. H. Corbould. General Manager R. W. Powell. 1 Mine Manager S. Harris, Cloncurry, N. Queensland. Brisbane Secretary M. A. Corrie, Pa -bury House. Eagle Street, Brisbane. Secretary and. Head Omens W. H. Arnold. 39, Queen Street, Melbourne. London Agent and Offices E. Habben, Palmerston House. EA . 2.</t>
  </si>
  <si>
    <t xml:space="preserve">Mount Boppy Gold Mining Company</t>
  </si>
  <si>
    <t xml:space="preserve">cost £200; creditors £2,168. Share premium account £7,481. No later accounts</t>
  </si>
  <si>
    <t xml:space="preserve">Tarkwa Banket West Limited</t>
  </si>
  <si>
    <t xml:space="preserve">of 40,000 preference shares of £1 each. The capital was reduced to present amount</t>
  </si>
  <si>
    <t xml:space="preserve">Whitehaven Hematite Iron And Steel Company</t>
  </si>
  <si>
    <t xml:space="preserve">1905-6, 15 per cent.</t>
  </si>
  <si>
    <t xml:space="preserve">of coal bearing lands in the province of Behar and Urissa, India, comprising the</t>
  </si>
  <si>
    <t xml:space="preserve">together with interest has been postponed until six months after the termination</t>
  </si>
  <si>
    <t xml:space="preserve">Imperial Navigation Coal Limited</t>
  </si>
  <si>
    <t xml:space="preserve">was dissolved. VV nMifE LYN V COLLIEFRIESI LTD.</t>
  </si>
  <si>
    <t xml:space="preserve">Melbur China Clay Limited</t>
  </si>
  <si>
    <t xml:space="preserve">1900 £4 58. 011. 1906 £5 1118. id. 11112 .131108. 0d. 1918 .. £2 10 . 0d.</t>
  </si>
  <si>
    <t xml:space="preserve">creditors £246; share premium account £4,708.</t>
  </si>
  <si>
    <t xml:space="preserve">Sungel Best Mines Limited</t>
  </si>
  <si>
    <t xml:space="preserve">Africa, Ltd., 1,000 North Oogies Witbank Collieries, Ltd., 1,006 Tait and 00.,</t>
  </si>
  <si>
    <t xml:space="preserve">African Land And Investment Limited</t>
  </si>
  <si>
    <t xml:space="preserve">District, Transvaal. In conjunction with the Southern Oregon Goldfields, Ltd.,</t>
  </si>
  <si>
    <t xml:space="preserve">African Mining Agency Limited</t>
  </si>
  <si>
    <t xml:space="preserve">net profits from the working of the mines is to be applied in paying off the prior</t>
  </si>
  <si>
    <t xml:space="preserve">Dunderland Iron Ore Company Limited</t>
  </si>
  <si>
    <t xml:space="preserve">Box 2269, The Corner House, Johannesburg.</t>
  </si>
  <si>
    <t xml:space="preserve">Transvaal Coal Corporation Limited</t>
  </si>
  <si>
    <t xml:space="preserve">holders at par.</t>
  </si>
  <si>
    <t xml:space="preserve">United Collieries Limited</t>
  </si>
  <si>
    <t xml:space="preserve">company/organization</t>
  </si>
  <si>
    <t xml:space="preserve">year regist</t>
  </si>
  <si>
    <t xml:space="preserve">location</t>
  </si>
  <si>
    <t xml:space="preserve">role</t>
  </si>
  <si>
    <t xml:space="preserve">education</t>
  </si>
  <si>
    <t xml:space="preserve">Overall</t>
  </si>
  <si>
    <t xml:space="preserve">MYB</t>
  </si>
  <si>
    <t xml:space="preserve">AMM</t>
  </si>
  <si>
    <t xml:space="preserve">MMM</t>
  </si>
  <si>
    <t xml:space="preserve">ALUMNI</t>
  </si>
  <si>
    <t xml:space="preserve">AIME</t>
  </si>
  <si>
    <t xml:space="preserve">myb</t>
  </si>
  <si>
    <t xml:space="preserve">Company/Organization</t>
  </si>
  <si>
    <t xml:space="preserve">amm</t>
  </si>
  <si>
    <t xml:space="preserve">Capital</t>
  </si>
  <si>
    <t xml:space="preserve">mmm</t>
  </si>
  <si>
    <t xml:space="preserve">Year Regist</t>
  </si>
  <si>
    <t xml:space="preserve">alumni</t>
  </si>
  <si>
    <t xml:space="preserve">Location</t>
  </si>
  <si>
    <t xml:space="preserve">Lastname</t>
  </si>
  <si>
    <t xml:space="preserve">Firstname</t>
  </si>
  <si>
    <t xml:space="preserve">Middlename</t>
  </si>
  <si>
    <t xml:space="preserve">Role</t>
  </si>
  <si>
    <t xml:space="preserve">Nationality</t>
  </si>
  <si>
    <t xml:space="preserve">Education</t>
  </si>
  <si>
    <t xml:space="preserve">N</t>
  </si>
  <si>
    <t xml:space="preserve">CER</t>
  </si>
  <si>
    <t xml:space="preserve">Last name</t>
  </si>
  <si>
    <t xml:space="preserve">First name</t>
  </si>
  <si>
    <t xml:space="preserve">Middle name</t>
  </si>
  <si>
    <t xml:space="preserve">Company/organization</t>
  </si>
  <si>
    <t xml:space="preserve">Position</t>
  </si>
  <si>
    <t xml:space="preserve">Item</t>
  </si>
  <si>
    <t xml:space="preserve">Accuracy</t>
  </si>
  <si>
    <t xml:space="preserve">OVERALL</t>
  </si>
  <si>
    <t xml:space="preserve">WACC</t>
  </si>
  <si>
    <t xml:space="preserve">id.x</t>
  </si>
  <si>
    <t xml:space="preserve">lon</t>
  </si>
  <si>
    <t xml:space="preserve">lat</t>
  </si>
  <si>
    <t xml:space="preserve">country</t>
  </si>
  <si>
    <t xml:space="preserve">cat</t>
  </si>
  <si>
    <t xml:space="preserve">id.y</t>
  </si>
  <si>
    <t xml:space="preserve">Holway United Mines Limited</t>
  </si>
  <si>
    <t xml:space="preserve">Col. Josiah Henry Smith, K.E., Grendon, Wellington, Surrey.</t>
  </si>
  <si>
    <t xml:space="preserve">smith, j h</t>
  </si>
  <si>
    <t xml:space="preserve">united states of america</t>
  </si>
  <si>
    <t xml:space="preserve">mitg21196</t>
  </si>
  <si>
    <t xml:space="preserve">Schwab Gully Diamond Mining Company</t>
  </si>
  <si>
    <t xml:space="preserve">Archibald Shannon. Henry Frederick Chilcott.</t>
  </si>
  <si>
    <t xml:space="preserve">chilcott, h f</t>
  </si>
  <si>
    <t xml:space="preserve">imm</t>
  </si>
  <si>
    <t xml:space="preserve">imm1499</t>
  </si>
  <si>
    <t xml:space="preserve">Charles O. Rogers, Clairaun,.</t>
  </si>
  <si>
    <t xml:space="preserve">rogers, c o</t>
  </si>
  <si>
    <t xml:space="preserve">peru</t>
  </si>
  <si>
    <t xml:space="preserve">civil eng</t>
  </si>
  <si>
    <t xml:space="preserve">wo3166</t>
  </si>
  <si>
    <t xml:space="preserve">Namaqua Copper Company Limited</t>
  </si>
  <si>
    <t xml:space="preserve">T. K. Weir, of Henry Bath and Son.</t>
  </si>
  <si>
    <t xml:space="preserve">weir, t k</t>
  </si>
  <si>
    <t xml:space="preserve">taime</t>
  </si>
  <si>
    <t xml:space="preserve">aime124692</t>
  </si>
  <si>
    <t xml:space="preserve">Carisa Gold Mines Limited</t>
  </si>
  <si>
    <t xml:space="preserve">W. Durant Frost, Chairman. | Capt. J. W. Clarke. | Mons. Adolphe ileliot.</t>
  </si>
  <si>
    <t xml:space="preserve">clarke, j w</t>
  </si>
  <si>
    <t xml:space="preserve">ama</t>
  </si>
  <si>
    <t xml:space="preserve">ama1866</t>
  </si>
  <si>
    <t xml:space="preserve">Crommelin Mining Company Limited</t>
  </si>
  <si>
    <t xml:space="preserve">John Vivian, C.E., Chairman. Myles Kennedy. | W. E. Walker, C.E.</t>
  </si>
  <si>
    <t xml:space="preserve">walker, w e</t>
  </si>
  <si>
    <t xml:space="preserve">aime122561</t>
  </si>
  <si>
    <t xml:space="preserve">New Consolidated Mining Company Limited</t>
  </si>
  <si>
    <t xml:space="preserve">Sfftior H. A. Joseph, Chairman Jonas Bergtheil. 1 James G. Cunningham, M.E.</t>
  </si>
  <si>
    <t xml:space="preserve">joseph, s h</t>
  </si>
  <si>
    <t xml:space="preserve">imm7230</t>
  </si>
  <si>
    <t xml:space="preserve">Robert Heskcth Jones, J.P., F.S.S., Chairmun. | Henry Laurence Hammock. | James Mavt.</t>
  </si>
  <si>
    <t xml:space="preserve">jones, r h</t>
  </si>
  <si>
    <t xml:space="preserve">aime62469</t>
  </si>
  <si>
    <t xml:space="preserve">Roman Gravels Mining Company Limited</t>
  </si>
  <si>
    <t xml:space="preserve">T eter Watson, Managing Director.</t>
  </si>
  <si>
    <t xml:space="preserve">portugal</t>
  </si>
  <si>
    <t xml:space="preserve">managing director</t>
  </si>
  <si>
    <t xml:space="preserve">watson, t e</t>
  </si>
  <si>
    <t xml:space="preserve">aime123918</t>
  </si>
  <si>
    <t xml:space="preserve">Van Diemen Land Minerals Company</t>
  </si>
  <si>
    <t xml:space="preserve">Jo-shua H. Hutchinson. | Thomas James Keeves.</t>
  </si>
  <si>
    <t xml:space="preserve">hutchinson, j h</t>
  </si>
  <si>
    <t xml:space="preserve">ama4366</t>
  </si>
  <si>
    <t xml:space="preserve">African Consolidated Investment Limited</t>
  </si>
  <si>
    <t xml:space="preserve">C. E. Lyon. | J. E. T. O. Carew. | G. W. Garrould. | A. Hannah.</t>
  </si>
  <si>
    <t xml:space="preserve">lyon, c e</t>
  </si>
  <si>
    <t xml:space="preserve">aime73984</t>
  </si>
  <si>
    <t xml:space="preserve">Sun Black Reef Gold Mining</t>
  </si>
  <si>
    <t xml:space="preserve">T. D. Williams. | Louis Abraham ,</t>
  </si>
  <si>
    <t xml:space="preserve">williams, t d</t>
  </si>
  <si>
    <t xml:space="preserve">south africa</t>
  </si>
  <si>
    <t xml:space="preserve">Victoria Rhodesia Asbestos Limited</t>
  </si>
  <si>
    <t xml:space="preserve">W. P. Taylor. | H. W. A. Cooper. Adam Bell. Pretoria, South Africa.</t>
  </si>
  <si>
    <t xml:space="preserve">taylor, w p</t>
  </si>
  <si>
    <t xml:space="preserve">aime116108</t>
  </si>
  <si>
    <t xml:space="preserve">Halkyn Mining Company Limited Stquai</t>
  </si>
  <si>
    <t xml:space="preserve">Thomas Abel Beckett. | Robert Roberts. | J. Siddorns. | J. E. Williams.</t>
  </si>
  <si>
    <t xml:space="preserve">williams, j e</t>
  </si>
  <si>
    <t xml:space="preserve">mechanical eng</t>
  </si>
  <si>
    <t xml:space="preserve">30mit24609</t>
  </si>
  <si>
    <t xml:space="preserve">Italian And General Exploring Company</t>
  </si>
  <si>
    <t xml:space="preserve">Right Hon. Lord Oifford, V.C. | W. T. Morrison. | J. W. Hughes.</t>
  </si>
  <si>
    <t xml:space="preserve">morrison, w t</t>
  </si>
  <si>
    <t xml:space="preserve">aime83430</t>
  </si>
  <si>
    <t xml:space="preserve">Mesquital Del Oro Mining Company</t>
  </si>
  <si>
    <t xml:space="preserve">S. . RobarU. Douglas Herron Barry. I W. Austin. I Thomas Kynaston Weir</t>
  </si>
  <si>
    <t xml:space="preserve">Buffelsdoorn Estate And Gold Mining</t>
  </si>
  <si>
    <t xml:space="preserve">H. A. Rogers. | W. H. Rogers. I J. Brass Robertson. | W. P. Taylor. | D. J. Pullruger.</t>
  </si>
  <si>
    <t xml:space="preserve">Drachenfels Banket Gold Mining Syndicate</t>
  </si>
  <si>
    <t xml:space="preserve">Gordon Stonhouse Hughes. | James Fergusson Jamieson.</t>
  </si>
  <si>
    <t xml:space="preserve">hughes, g s</t>
  </si>
  <si>
    <t xml:space="preserve">aime58053</t>
  </si>
  <si>
    <t xml:space="preserve">Houghton Estate Gold Mining Company</t>
  </si>
  <si>
    <t xml:space="preserve">Herbert Ernest Matthew Davies. | William Mortimer Maynard Farmer.</t>
  </si>
  <si>
    <t xml:space="preserve">davies, h e</t>
  </si>
  <si>
    <t xml:space="preserve">aime28174</t>
  </si>
  <si>
    <t xml:space="preserve">Roodepoort Homestead Gold Mining Company</t>
  </si>
  <si>
    <t xml:space="preserve">B. B. Shepherd. | W. M. Smith.</t>
  </si>
  <si>
    <t xml:space="preserve">smith, w m</t>
  </si>
  <si>
    <t xml:space="preserve">colo14706</t>
  </si>
  <si>
    <t xml:space="preserve">Cornish Port Quin Antimony Mining</t>
  </si>
  <si>
    <t xml:space="preserve">Rbt. Hy. Seaton. | Francis Dixon Brown. | John Sutton Attfield. | Wilfred Maurice Plevins.</t>
  </si>
  <si>
    <t xml:space="preserve">brown, f d</t>
  </si>
  <si>
    <t xml:space="preserve">ama1236</t>
  </si>
  <si>
    <t xml:space="preserve">New Imuris Mines Limited</t>
  </si>
  <si>
    <t xml:space="preserve">Thomas Kynaston Weir. | Edward Woods, C.E. | Ralph Skeno Archbold.</t>
  </si>
  <si>
    <t xml:space="preserve">Diamantina And Vesubio Gold Mines</t>
  </si>
  <si>
    <t xml:space="preserve">M. KJe.nnedv, Chairman. | W. Salmon. I ,1. Hodirson. W. Wilson. | G. I. Suelus. | W. E. Walker.</t>
  </si>
  <si>
    <t xml:space="preserve">East Rand Proprietary Mines Limited</t>
  </si>
  <si>
    <t xml:space="preserve">J. C. A. Henderson.</t>
  </si>
  <si>
    <t xml:space="preserve">henderson, j c</t>
  </si>
  <si>
    <t xml:space="preserve">aime53018</t>
  </si>
  <si>
    <t xml:space="preserve">Charles Howard. | Sir John U. Morris, K. O.S.I. | John Napier. | Thomas Kynaston Weir.</t>
  </si>
  <si>
    <t xml:space="preserve">New Comet Gold Mining Company</t>
  </si>
  <si>
    <t xml:space="preserve">Carl Hanau, Ckairtnax. | Abe Bailey. | J. C. A. Henderson. | G. Rouliot. | G. Farrar.</t>
  </si>
  <si>
    <t xml:space="preserve">Colorado Boy Silver Mines Limited</t>
  </si>
  <si>
    <t xml:space="preserve">James L. Hale. | Walter Holdsworth.</t>
  </si>
  <si>
    <t xml:space="preserve">hale, j l</t>
  </si>
  <si>
    <t xml:space="preserve">electrical eng</t>
  </si>
  <si>
    <t xml:space="preserve">30mit17258</t>
  </si>
  <si>
    <t xml:space="preserve">Elswick Coal Company Limited</t>
  </si>
  <si>
    <t xml:space="preserve">Thomas George Gibson, Chairman. |</t>
  </si>
  <si>
    <t xml:space="preserve">gibson, t g</t>
  </si>
  <si>
    <t xml:space="preserve">aime43172</t>
  </si>
  <si>
    <t xml:space="preserve">Fortuna Company Limited</t>
  </si>
  <si>
    <t xml:space="preserve">Richard Donapan. I Frederick H. Simmonds.</t>
  </si>
  <si>
    <t xml:space="preserve">simmonds, f h</t>
  </si>
  <si>
    <t xml:space="preserve">columbia</t>
  </si>
  <si>
    <t xml:space="preserve">csm3006</t>
  </si>
  <si>
    <t xml:space="preserve">Mines Exploitation Syndicate Limited</t>
  </si>
  <si>
    <t xml:space="preserve">George Stewart Anderson, J.P. | Samuel Jennings. | Charles H. Tindal. | Henry Williams,</t>
  </si>
  <si>
    <t xml:space="preserve">anderson, g s</t>
  </si>
  <si>
    <t xml:space="preserve">colo6030</t>
  </si>
  <si>
    <t xml:space="preserve">Regent Gold Extracting Company Limited</t>
  </si>
  <si>
    <t xml:space="preserve">George Webster. | William Bottomley. | J. A Duncan. | W. F. King.</t>
  </si>
  <si>
    <t xml:space="preserve">duncan, j a</t>
  </si>
  <si>
    <t xml:space="preserve">aime32661</t>
  </si>
  <si>
    <t xml:space="preserve">British And Transvaal Financial Company</t>
  </si>
  <si>
    <t xml:space="preserve">F. Fobs, Chairman. Robert Arnot. I Fredk. R. Bullock. I J. C. A. Henderson</t>
  </si>
  <si>
    <t xml:space="preserve">Meyer And Leeb Gold Mining</t>
  </si>
  <si>
    <t xml:space="preserve">Kcrni sbert. I Max Cohn. I A. Floquet. I O. E. Read. | C. R. Gardner.</t>
  </si>
  <si>
    <t xml:space="preserve">gardner, c r</t>
  </si>
  <si>
    <t xml:space="preserve">chemical</t>
  </si>
  <si>
    <t xml:space="preserve">30mit25033</t>
  </si>
  <si>
    <t xml:space="preserve">Henderson Transvaal Estates Limited</t>
  </si>
  <si>
    <t xml:space="preserve">J. C. A. Henderson, Chairman.</t>
  </si>
  <si>
    <t xml:space="preserve">Mashonaland Trust And Exploring Company</t>
  </si>
  <si>
    <t xml:space="preserve">H. L. Stokes, Rttident Dirtctor in South Jfrica.</t>
  </si>
  <si>
    <t xml:space="preserve">stokes, h l</t>
  </si>
  <si>
    <t xml:space="preserve">aime113498</t>
  </si>
  <si>
    <t xml:space="preserve">Joseph Churtera Brown, J.P.</t>
  </si>
  <si>
    <t xml:space="preserve">brown, j c</t>
  </si>
  <si>
    <t xml:space="preserve">imm2680</t>
  </si>
  <si>
    <t xml:space="preserve">Consolidated Finance Corporation Limited</t>
  </si>
  <si>
    <t xml:space="preserve">F. C. Poisson. Chairman. | George A. Jones.</t>
  </si>
  <si>
    <t xml:space="preserve">jones, g a</t>
  </si>
  <si>
    <t xml:space="preserve">aime62250</t>
  </si>
  <si>
    <t xml:space="preserve">Espie Bay Mines Development Syndicate</t>
  </si>
  <si>
    <t xml:space="preserve">John E. Davidson. | John Brock. I Holhrook Gaskell, jun. | Robertson Lawson, CA.</t>
  </si>
  <si>
    <t xml:space="preserve">davidson, j e</t>
  </si>
  <si>
    <t xml:space="preserve">ama2334</t>
  </si>
  <si>
    <t xml:space="preserve">Exploration Company England Mexico Limited</t>
  </si>
  <si>
    <t xml:space="preserve">Bochfort Msguire. | John E. Dudley Ryder. | Gerald D. Smith.</t>
  </si>
  <si>
    <t xml:space="preserve">dudley</t>
  </si>
  <si>
    <t xml:space="preserve">smith, g d</t>
  </si>
  <si>
    <t xml:space="preserve">aime109436</t>
  </si>
  <si>
    <t xml:space="preserve">Nantyglo And Blaina Ironworks Limited</t>
  </si>
  <si>
    <t xml:space="preserve">Admiral Edward Field, 0.13., Chairman. I John Robinson. | Sydney Mason. I H. Faure Walker.</t>
  </si>
  <si>
    <t xml:space="preserve">walker, h f</t>
  </si>
  <si>
    <t xml:space="preserve">aime122434</t>
  </si>
  <si>
    <t xml:space="preserve">Niddrie And Benhar Coal Limited</t>
  </si>
  <si>
    <t xml:space="preserve">Robert Thomas Moore, ALE. John Watson Stuart.</t>
  </si>
  <si>
    <t xml:space="preserve">hanover</t>
  </si>
  <si>
    <t xml:space="preserve">moore, r t</t>
  </si>
  <si>
    <t xml:space="preserve">aime82780</t>
  </si>
  <si>
    <t xml:space="preserve">Russian Collieries Company Limited</t>
  </si>
  <si>
    <t xml:space="preserve">John Evelyn Gladstone. | Charles Henry Moore. I George Crisps Whiteley.</t>
  </si>
  <si>
    <t xml:space="preserve">gladstone</t>
  </si>
  <si>
    <t xml:space="preserve">moore, c h</t>
  </si>
  <si>
    <t xml:space="preserve">ama5960</t>
  </si>
  <si>
    <t xml:space="preserve">Abbontiakoon Wassau Mines Limited</t>
  </si>
  <si>
    <t xml:space="preserve">Directors. J. S. P. Samborne, Chairman. I Admiral Sir A. H. Markham, K.C.B. | F. C. Tartratt.</t>
  </si>
  <si>
    <t xml:space="preserve">samborne, j s</t>
  </si>
  <si>
    <t xml:space="preserve">Anglo Belgian Company Egypt Limited</t>
  </si>
  <si>
    <t xml:space="preserve">Baron George do Router, Chairman. | J. D. Alexander. | Fitzgerald. Directors in Belgium.</t>
  </si>
  <si>
    <t xml:space="preserve">alexander, j d</t>
  </si>
  <si>
    <t xml:space="preserve">aeronautical eng</t>
  </si>
  <si>
    <t xml:space="preserve">aime1144</t>
  </si>
  <si>
    <t xml:space="preserve">Argo Nauts Jjmited</t>
  </si>
  <si>
    <t xml:space="preserve">August G. Meissner, Chairman. | George W. Brown. | Walter Thompson.</t>
  </si>
  <si>
    <t xml:space="preserve">devonshire</t>
  </si>
  <si>
    <t xml:space="preserve">brown, g w</t>
  </si>
  <si>
    <t xml:space="preserve">colo7025</t>
  </si>
  <si>
    <t xml:space="preserve">Ben Ldtm Lnesttlmtled</t>
  </si>
  <si>
    <t xml:space="preserve">H. S. Joseph. I Stanley Brailsford. | S. H. Farrar, M.I.O.E. | W. Henderson Clark.</t>
  </si>
  <si>
    <t xml:space="preserve">clark, w h</t>
  </si>
  <si>
    <t xml:space="preserve">mathematics</t>
  </si>
  <si>
    <t xml:space="preserve">aime21646</t>
  </si>
  <si>
    <t xml:space="preserve">Consolidated Exploration Syndicate Limited</t>
  </si>
  <si>
    <t xml:space="preserve">H. H. Webb, Connlting Engineer. | H. C. Bear. | W. A. Caldecott. | A. H. Bell.</t>
  </si>
  <si>
    <t xml:space="preserve">bell, a h</t>
  </si>
  <si>
    <t xml:space="preserve">rs466</t>
  </si>
  <si>
    <t xml:space="preserve">Oosten Rand Gold Limited</t>
  </si>
  <si>
    <t xml:space="preserve">N. J. 8cholts. | F. S. Tudhope. | A. Wight. | J. W. H. Stubbs, Mtnajing.</t>
  </si>
  <si>
    <t xml:space="preserve">stubbs, j w</t>
  </si>
  <si>
    <t xml:space="preserve">imm2379</t>
  </si>
  <si>
    <t xml:space="preserve">Worcester Exploration And Gold Mining</t>
  </si>
  <si>
    <t xml:space="preserve">Hon. J. D. JH.ugo, Chairman. | William A. Hall. | Charles Home, jun. I H. C. Meiring. W. H. Meiring, sen. | Fritz Lindenberg. | P. J. Rabie.</t>
  </si>
  <si>
    <t xml:space="preserve">hall, w a</t>
  </si>
  <si>
    <t xml:space="preserve">naval eng</t>
  </si>
  <si>
    <t xml:space="preserve">30mit3087</t>
  </si>
  <si>
    <t xml:space="preserve">Atlantic Merthyw Collieries Limited</t>
  </si>
  <si>
    <t xml:space="preserve">Richard Cory. | John Cory. | E. M. Hann. | W. H. D. Mewton. | W. Ronnfeldt. | H. W. Martin.</t>
  </si>
  <si>
    <t xml:space="preserve">hann, e m</t>
  </si>
  <si>
    <t xml:space="preserve">imm8529</t>
  </si>
  <si>
    <t xml:space="preserve">John J. Reid. I C. Williamson Milne. Directors.</t>
  </si>
  <si>
    <t xml:space="preserve">milne, c w</t>
  </si>
  <si>
    <t xml:space="preserve">aime81629</t>
  </si>
  <si>
    <t xml:space="preserve">Dayton Coal And Iron Company</t>
  </si>
  <si>
    <t xml:space="preserve">W. A. Donaldson. | A. S. McClelland, C.A. | P. Donaldson. | A. S. Macharg, C.A.</t>
  </si>
  <si>
    <t xml:space="preserve">donaldson, w a</t>
  </si>
  <si>
    <t xml:space="preserve">aime31129</t>
  </si>
  <si>
    <t xml:space="preserve">Foldal Copper And Sulphur Company</t>
  </si>
  <si>
    <t xml:space="preserve">onsulting Engineers . ... . . Mine Manager W. H. Lund. Folda , near Lille-Elvedsl, Norway.</t>
  </si>
  <si>
    <t xml:space="preserve">lund, w h</t>
  </si>
  <si>
    <t xml:space="preserve">imm729</t>
  </si>
  <si>
    <t xml:space="preserve">Glyn Mines Limited</t>
  </si>
  <si>
    <t xml:space="preserve">Vaughan W. Davies. I E. Wolff Abrams, Managing. Mines Manager Worm H. Lund, Kjoli Mines, Guldalen, Norway. Auditors Oarnaby-Harrower, Barham &amp; Co. Secretary and Offices W. B. Pearson, 4, Suffolk Street, Pall Mall, S.W.</t>
  </si>
  <si>
    <t xml:space="preserve">Old Silkstone Xcolljeries Limited</t>
  </si>
  <si>
    <t xml:space="preserve">Henry C. Embleton, M.I.M.E., Chairman. | Robert G. Brown. | Marshall Nicholson.</t>
  </si>
  <si>
    <t xml:space="preserve">brown, r g</t>
  </si>
  <si>
    <t xml:space="preserve">imm8978</t>
  </si>
  <si>
    <t xml:space="preserve">Southern Tin Syndicate Limited</t>
  </si>
  <si>
    <t xml:space="preserve">G. B. Mee, Chairman. | W. H. Nash. I Mitruel Yglesias, Managing.</t>
  </si>
  <si>
    <t xml:space="preserve">huelva</t>
  </si>
  <si>
    <t xml:space="preserve">nash, w h</t>
  </si>
  <si>
    <t xml:space="preserve">ua32693</t>
  </si>
  <si>
    <t xml:space="preserve">Hampden Cloncurry Copper Mines Limited</t>
  </si>
  <si>
    <t xml:space="preserve">London Directors T. Pyke ; J. Dowling ; W. Douglas Reid.</t>
  </si>
  <si>
    <t xml:space="preserve">reid, w d</t>
  </si>
  <si>
    <t xml:space="preserve">30mit12839</t>
  </si>
  <si>
    <t xml:space="preserve">New Einasleigh Mines Limited</t>
  </si>
  <si>
    <t xml:space="preserve">NEW EINASLEIGH COPpJrZmTnES, LIMITEdT Directors Qualification, £250 . Hon, R. Parker, Chairman. | A. Stewart, M.I.C.E. I F. J. Gordon. | J. H. Smith, A.M.I.C.K.</t>
  </si>
  <si>
    <t xml:space="preserve">gordon, f j</t>
  </si>
  <si>
    <t xml:space="preserve">aime45777</t>
  </si>
  <si>
    <t xml:space="preserve">Directors Qualification, MO shares . Sir Westby B. Perceval, K.C.M.G., C oin a . | James Dunnachio. | John E. Dudley Ryder.</t>
  </si>
  <si>
    <t xml:space="preserve">ryder, j e</t>
  </si>
  <si>
    <t xml:space="preserve">chemistry</t>
  </si>
  <si>
    <t xml:space="preserve">03mit350</t>
  </si>
  <si>
    <t xml:space="preserve">Cedar Syndicate Limited</t>
  </si>
  <si>
    <t xml:space="preserve">02, London Wall, B.C. Mine Manager T. W. T. Atherton, M.I.M.E.</t>
  </si>
  <si>
    <t xml:space="preserve">atherton, t w</t>
  </si>
  <si>
    <t xml:space="preserve">imm37</t>
  </si>
  <si>
    <t xml:space="preserve">T. Matesdorf, Chairman. | Mas St.einthal. I Robert van Gember.</t>
  </si>
  <si>
    <t xml:space="preserve">zeehan</t>
  </si>
  <si>
    <t xml:space="preserve">gember, r v</t>
  </si>
  <si>
    <t xml:space="preserve">Magnesite Mines South Africa Limited</t>
  </si>
  <si>
    <t xml:space="preserve">A. H. Oppenheim. | A. Dickson. I J. E. Grieveson. | Dr. E. J. P. Jorisson. | J. I. Hoffmann.</t>
  </si>
  <si>
    <t xml:space="preserve">homann, j i</t>
  </si>
  <si>
    <t xml:space="preserve">Oued Mougras Copper Tron Limited</t>
  </si>
  <si>
    <t xml:space="preserve">H. C. Boyd, alternate E. A. Wallers. | Abe Bailey, M.L.A., alternate J. H. Ryan.</t>
  </si>
  <si>
    <t xml:space="preserve">boyd, h c</t>
  </si>
  <si>
    <t xml:space="preserve">imm6247</t>
  </si>
  <si>
    <t xml:space="preserve">Arfius Printing And Publishing Limited</t>
  </si>
  <si>
    <t xml:space="preserve">rooderand gold mining company, limited. Directors Qualification, £500 . J. D. Lace, Chairman. | W. Ross. | Llewellyn Edwards. | O. Falcke. London Committee. G. H. Baw. | E. W. Tompson. | C. F. Rowsell. Secretary and Head Offices John E. Simpson, Laoe Building, Johannesburg. London Secretary and Offices John Shaw Sheldrick, 86, Qresham House, E.C. Phone : 2875 Wall. 1 his company was registered in the Transvaal July 15th, 1895, to acquire two mynpachts and 588 claims on the farm Rooderand, in the Potchefstroom district, near the Vaal river, Transvaal. The purchase consideration was £80,000. The freehold of the farm was afterwards acquired. In November, 1897, it was resolved to purchase the assets including £42,000 cash of the Tigerfontein Gold Mines, Limited see vol. for 1899 , for £100,000 in fully-paid shares. 1 he latter com pany s property consisted of a freehold on the farm Tigerfontein, in the Vaal river district of the Transvaal, about 20 miles south of Johannesburg. Work is now in progress on a new reef discovered during 1908. Properties held : Freehold of farm Rooderand No. 26, district Potchefstroom, 1,900 morgen 341 square mods in extent; freehold of portion of farrn Tigerfontein, district PotchefBtroom, 814 morgen 147 square roods in extent; Mynnacht No. 177 on farm Rooderand, 199 morgen 238 square roods in extent ; Mynpacbt No. 17s on farm Rooderand, 38 morgen 553 square roods in extent ; 270 mining claims; mineral riphts over four-sevenths of farm Koedoeafontein No. 12, Potchefstroom, area about 3,800 morgen ; further 178 shares out of district 241 shares in theKoodoes- fontein Gold Mining and Development Syndicate, owning mining rights over two-sevenths of farm Koedoesfontein. The authorisod capital is £250,000, in 250,000 shares of £1 each j all the shares are issued and fnlly paid. The capital was increased from £150,000 in 1897. The accounts for year ended December 31st, 1906, submitted in Johannesburg March 26th, 1907, showed debit increased from £23,052 to £57,477 after writing off £32,715. The accounts to December 31st, 1907, submitted in Johannesburg AuguBt 11th, 1908, showed debit balanoe increased to £59,376; cash £15,428 investments £16,251 ; creditors £107. Next, accounts are to be submitted in London, and steps are being taken to appoint directors in London with foil eontrol. . 471 BOODEEAND GOLD oontinued. A share register is kept in London. The 15th Ootober, 1895, was appointed a settling day in 100,000 shares, and the 28th September, 1898, in Nos. 100,001 to 350,000. Transfer form, common j fee, 2s. 6d. per deed per 100 shares or part thereof. Latest price, , . ROODERAND MAIN REEF GOLD MINING CO., LTD. This company was registered March 20th, 1896 see vol. for 1907 . On November 29th, 1907, the company was dissolved. , ROSE DEEP, LIMITED Directors Qualification, £100 . R. W. Schumacher, Chairman, alternate G. Brunton. | H. C. Boyd. | H. O K.Wobber. F. D. P. Chaplin, alternate. C. Hely-Hutchinson. | S. Evans. I E. A.Walters. London Committee. C. Rube, alternate A. P. Hillier. | L. Wagner, alternate A. T. Schmidt. | L. C. G. Sartoris. General Manager G. E. Webber, Box 1066, Johannesburg. Mine Manager W. T. Anderson. Box 6, Germiston. Secretary and Head Offloes H. A. Read Tramfer Secretary, F. H. Barry , The Corner House, Johannesburg. Paris Agents Comp. Franfaise de Mines d Or et de l Afrique dn Sud, 20, Rue Taitbout. London Secretary and Offloes Andrew Moir, 1, London Wall Buildings, E.C. Telegrams : Debris, London. Phono : I486 Wall. This company was registered in the Transvaal in 1894, to acquire 47 olaims from the Consolidated Deep Levels, Ltd., 69 olaims from the Band Mines, Ltd., and 17 claims from the Goldfields Deep, Ltd., making a total of 133 main reef deep-level claims on the dip of the New Primrose property, East Rand, Transvaal. The vendors received 200,000 fally-paid shares. In 1895, 48 additional dip claims were purchased from the Simmer and Jack Co. for 30,000 fully-paid shares. The company now owns 181 claims. Crushing commenced in October, 1897, with 100 stamps and cyanide plant ; a further 100 stamps and slimes plant and three tube mills have since been added. During 1907,365,450 tons yielded gold value £502,614 1 profit £ 160,783 or 8s. 9 5d. per ton ; cost 18s. 8 4d. per ton ; during 1908, 428,800 tons yielded £557,406 ; estimated profit £207,510. For crushings see tables at commencement of volume. Ore reserves at December 31st, 1906, 1,016,884 tons value 6 6dwta. ; at December 31st, 1907, 1,393,512 tons, value 65dwts. The authorised capitnl is £425,000, in 425,000 shares of £1 each ; all the shares are issued and fully paid. The capital was formerly £400,000 ; 100,000 shares were subscribed by vendor companies, 25,000 were issued to shareholders in March, 1895, at £4 6s. each, and 45,000 in August, 1897, at £4 10s., the latter issne being guaranteed at £4 5s. In August, 1898, the capital was inoreased to present amount, and the 25,000 new sharos were offered to shareholders at £6 5s. each, the issue being guaranteed at £6. Dividends declared paid in London about seven weeks after declaration : for 1898, 40 per cent. ; 1899, 40 per cent. ; 1902, 10 per cent. ; 1903, 22 peroent. 1904, 30 per cent. ; 1905, 25 per cent. ; 1906, 20 per cent. ; 1907, 27 per cent, j 12 peroent. June and 16 per cent. December ; 1908, 37 percent. 17 percent. June 12th, and 20 per cent. December 15th . The accounts for year ended December 31st, 1906, submitted in Johannesburg March 15th, 1907, showed gold receipts|£468,916 and a profit of £139,706, making with balance forward £175,296; dividends absorbed £85,000, expended on capital account £43,785, and taxes, Ac., £13,451, leaving £33,059 carried forward, representing cash and cash assets in excess of liabilities. Tho accounts to December 31st, 1907, submitted in Johannesburg March, 17th, 1908, Bhowed gold receipts £502,614 and a profit of £160,783, making with balance forward and sundry revenue a sum of £195,823 j dividends absorbed £116,876, taxes 12,122, expended on capital account, etc., £19,729, leaving £47,097 carried forward, being cash and cash assets in excess of liabilities. A share register is kept in London. Transfer form, common ; fee, 2s. 6d. per transfer of 100 shares or part thereof. Share warrants to bearer may be had for 1, 5, 10 or 25 shares. Charge for converting registered shares into warrants to bearer : Is. for 1 to 5 shares, and beyond 5 shares 2s. 6d. per 100 or part of 100, and a fee of Is. per warrant. Fees for reconversion into registered shares : 5s. per J0Q shares and is, per certificate. The 12th January, 1898, was appointed settling 472 THE MIKING . ROSE DEEP oontinued. day in shares Nob. 1 to 400,000, and December 14th, 1898, in Nob. 400,001 to 425,000. Prices. 1905 : highest, 9J ; lowest, 41 ; 1906 : highest 6 ; lowest, 2 ; 1907 : highest, 41 ; lowest, 2 ; 1908 : highest, 4T a ; lowest, 2 . Latest price. 4j . 4j. ROSE OF SHAROrT SHAMROCK GOLD MINES. LTD. Directors Qiutification, Hon. John £M0 . A. de Grey, Chairman. | A. Moutrie. | R. R. Needham. | K. B. Woodford. BoUoitors Wilson, Bristows ft Carpmael. I Bankers Roberts, Lubbock 4 Co. Auditors Ford, Rhodes ft Ford. Secretary and Offices W. W. Mitchell, 10-11, Austin Friars, B.C. Telegrams : Rossnaaren, London. Phone : 1571 Wall. This company was registered October 22nd, 1900, to acquire two groups of gold mininir claims, 139 in all, located on the Marin gold belt, Qwelo district of Rhodesia, 25 miles north-west of Gwelo and 135 miles from Bulawayo, known as the Rose of Sharon and Shamrock Mines, held by the Bulawayo Exploration Co., Ltd. The pnrchase consideration was £200,000, payable £40,000 in cash and £160,000 in fully-paid shares. The company was promoted by the vendor, E. T. Patterson. The mine is let on tribute for fire years from March, 1906, at a royalty of 10 per cent, on gold recovered ; the tributor has erected a mill and crushing is in progress. The authorised capital is £250,000, in 250,000 shares of £1 each ; 239,965 shares are issued and fully paid, including 160,000 vendors shares. In November, 1900, 80,000 shares were offered for public subscription by the Bulawayo Exploration Co., Ltd., and allotted. The accounts for year to December 31st, 1907, submitted July 23rd, 1908, showed cash £828, loan £500 ; creditors £81. The 3rd April, 1901, was appointed settling day in shares Nos. 160,008 to 240,000. Transfer form, common j fee, 2s. 6d. Prices, 1905 : highest, i ; lowest, h ; 1906 : highest, , f ; lowest, d. ; 1907: highest, 9d.j lowest, 3d. ROYAL SHEBA, LIMITED. Directors Qualification, 250 shares . T. P. Gaskell, M.I.C.E., Chairman. | F. Deering. | T. Bickerton. I A. Morris. Managers John Taylor ft Sons, 8. Queen Street Place, E.C. Solicitor F. Romer. | Auditors Monkhouse, Stoneham ft Co. Secretary and Offices G. H. Wells. 9, Queen Street Place, E.C. Telegrams: Rolyat, London. Phone: 6324 Bank. This company was registered July 19th, 1904, and is a second reconstruction of a company of the same name registered March 13th, 1895, and first reconstructed in M y, 1898 see vol. for 1904 . The company took over mining claims on Sheba Hill, De Kaap Ooldfields, Transvaal, including property formerly owned by the East Sheba Reef Mining Co., Ltd. Area now held, 203 claims. Work is suspended. The authorised capital is £100,000, in 348,337 A sharoB of 2b. each and 72,407 B shares of 18s. each j 101,708 A shares and 72,407 B are issued and fully paid. Under the reconstruction one share credited as 15s. paid was offered for every three old shares held and 50,000 shares were issued credited as fully paid in exchange for £50,000 old debentures. The capital, formerly in £1 shares, was altered to present form in March, 1906, when shareholders were offered one fully-paid A and one fullypaid B for each old share held and 72,407 A shares were offered to shareholders at par. In division of profits the A shares take a non -cumulative preference divi dend of 50 percent., the B shares then take 5 per cent, non-cumulative, all shares ranking alike for surplus. The accounts for eighteen months to March 31st, 1908, submitted June 30th,</t>
  </si>
  <si>
    <t xml:space="preserve">webber, g e</t>
  </si>
  <si>
    <t xml:space="preserve">imm1235</t>
  </si>
  <si>
    <t xml:space="preserve">South African Gold And Copper Synd Ltd </t>
  </si>
  <si>
    <t xml:space="preserve">D. N. Shaw, Chairman. | A. L. Horner, K.C. I Maj. V. Paget.</t>
  </si>
  <si>
    <t xml:space="preserve">shaw, d n</t>
  </si>
  <si>
    <t xml:space="preserve">30mit35078</t>
  </si>
  <si>
    <t xml:space="preserve">Wanderer Tselukwel Gold Mines Limited</t>
  </si>
  <si>
    <t xml:space="preserve">Consulting Engineers Percy Tarbutt &amp; Co., 18, St. Swithin s Lane, E.C.</t>
  </si>
  <si>
    <t xml:space="preserve">tarbutt, s p</t>
  </si>
  <si>
    <t xml:space="preserve">Witwatersrand Gold Mining Company Limited</t>
  </si>
  <si>
    <t xml:space="preserve">Consulting Engineer J. Harry Johns, S. B. Joel. Consolidated Building, Box 590, Johannesburg. General Manager W. M. l rout, Mine Office, Box</t>
  </si>
  <si>
    <t xml:space="preserve">johns, j h</t>
  </si>
  <si>
    <t xml:space="preserve">rs2744</t>
  </si>
  <si>
    <t xml:space="preserve">F. W. Bradley, Comulting Engineer, San Francisco.</t>
  </si>
  <si>
    <t xml:space="preserve">bradley, f w</t>
  </si>
  <si>
    <t xml:space="preserve">imm108</t>
  </si>
  <si>
    <t xml:space="preserve">Solicitors Francis &amp; Johnson. Mine Superintendent C. H. Richards, Balaghat, Mysore Province, South India,</t>
  </si>
  <si>
    <t xml:space="preserve">richards, c h</t>
  </si>
  <si>
    <t xml:space="preserve">imm972</t>
  </si>
  <si>
    <t xml:space="preserve">British Anthracite Colliery Limited</t>
  </si>
  <si>
    <t xml:space="preserve">Edmund Davis, Chairman. | W. Pearman Clarke. | William C. Cowie. I Ka:l Ettlinger.</t>
  </si>
  <si>
    <t xml:space="preserve">a lane b</t>
  </si>
  <si>
    <t xml:space="preserve">clarke, w p</t>
  </si>
  <si>
    <t xml:space="preserve">40mit13165</t>
  </si>
  <si>
    <t xml:space="preserve">Butte Coalition Mining Company</t>
  </si>
  <si>
    <t xml:space="preserve">T. F. Cole, Pmident. | John D. Ryan, Vice-Pretident. | M. H. Broughton. | T. Hoatscn.</t>
  </si>
  <si>
    <t xml:space="preserve">cole, t f</t>
  </si>
  <si>
    <t xml:space="preserve">aime22979</t>
  </si>
  <si>
    <t xml:space="preserve">Champion Reef Mining Company Lnqla</t>
  </si>
  <si>
    <t xml:space="preserve">Mining SuMpaenraignetersn deJnothn Taylor ft Sons, 6, Queen Street Place, E.C. Henry J. Gifford, M.I.M. SI., Champion Reefs, Mysore State, Sonth India. Besident Engineer Option Blocks H. B. Williams, Kabulgitti P.O., Dharwar District, Bombay, India. Chief Engineer C. T. Roberts. | Solicitors Ashurst, Morris, Crisp ft Co. Bankers union Bank of Scotland, Limited. Auditors Cooper Brothers ft Secretary and Offices Frederick H. Williams, 6 4 6, Queen Street Place, E.C. Phone : 885 Bank. This company was registered June 3rd, 1889, for the purpose of acquiring from the Mysore Gold Mining Co., Ltd., and the Gold Fields of Mysore, Ltd., under-leases of three blocks of mining land, covering 453 acres, in the Colar Fields of India. The consideration was £132,000, paid £22,500 in cash £109,500 in fully-paid shares. In 1892 the company sold the Coremandel and 16 Block to the Coromandol Gold Mining Co. of India, Ltd., for £50,000.</t>
  </si>
  <si>
    <t xml:space="preserve">roberts, c t</t>
  </si>
  <si>
    <t xml:space="preserve">imm985</t>
  </si>
  <si>
    <t xml:space="preserve">Hamstead Colliery Company Limited</t>
  </si>
  <si>
    <t xml:space="preserve">Fred. Welch Barrows, J. P., Chairman, j Joseph Bennett Clarke, J.P., Deputy Algar Wm. Grasebrook. | E. Carter Lewis. | L. Ride dale. | H. W.Baylies.</t>
  </si>
  <si>
    <t xml:space="preserve">lewis, e c</t>
  </si>
  <si>
    <t xml:space="preserve">imm10796</t>
  </si>
  <si>
    <t xml:space="preserve">Tennessee Copper And Corporation Limited</t>
  </si>
  <si>
    <t xml:space="preserve">J. Directors. Parke Channing, President. I F. Lewisohn, I icc-Prrtident. J. U. Sosmann. | H. H. Rogers.</t>
  </si>
  <si>
    <t xml:space="preserve">copperhill</t>
  </si>
  <si>
    <t xml:space="preserve">channing, j p</t>
  </si>
  <si>
    <t xml:space="preserve">aime19869</t>
  </si>
  <si>
    <t xml:space="preserve">Lancefield Gold Com Limited</t>
  </si>
  <si>
    <t xml:space="preserve">Sir Gerard Smith, K.C .M.G. I C. A. Moreing.</t>
  </si>
  <si>
    <t xml:space="preserve">moreing, c a</t>
  </si>
  <si>
    <t xml:space="preserve">Bosc Hoek Proprietary Company Limited</t>
  </si>
  <si>
    <t xml:space="preserve">G. A. Murray, Chairman. | R. MacAra. I Col. H. Paget, C.B.</t>
  </si>
  <si>
    <t xml:space="preserve">murray, g a</t>
  </si>
  <si>
    <t xml:space="preserve">aime84486</t>
  </si>
  <si>
    <t xml:space="preserve">Consolidated Mines Selection Limited</t>
  </si>
  <si>
    <t xml:space="preserve">Francis Muir, Chairman. | F. W. Green. | Max Kempner. I Anton Dunkels.</t>
  </si>
  <si>
    <t xml:space="preserve">green, f w</t>
  </si>
  <si>
    <t xml:space="preserve">wo1348</t>
  </si>
  <si>
    <t xml:space="preserve">Electric Detonators Military Sporting Safety</t>
  </si>
  <si>
    <t xml:space="preserve">Assistant General Manager I. R. Grimmer, Kimberley, Cape Colony. Mechanical Engineer J. Liddell, Kimberley, Cape Colony.</t>
  </si>
  <si>
    <t xml:space="preserve">grimmer, i r</t>
  </si>
  <si>
    <t xml:space="preserve">imm435</t>
  </si>
  <si>
    <t xml:space="preserve">Ginsberg Gold Mining Limited</t>
  </si>
  <si>
    <t xml:space="preserve">Mine Manager J. F. Thomas, Ginsberg Mine Office, Germiston.</t>
  </si>
  <si>
    <t xml:space="preserve">thomas, j f</t>
  </si>
  <si>
    <t xml:space="preserve">imm2424</t>
  </si>
  <si>
    <t xml:space="preserve">General Blanager Theodore Haddon, Que Que, Rhodesia. Mine Manager W. G. Howard, Que Que, Rhodesia.</t>
  </si>
  <si>
    <t xml:space="preserve">howard, w g</t>
  </si>
  <si>
    <t xml:space="preserve">imm554</t>
  </si>
  <si>
    <t xml:space="preserve">Pigg Peak Development Company Limited</t>
  </si>
  <si>
    <t xml:space="preserve">General Manager D. V. Burnett, Pigg s Peak, Swaziland. Consulting Engineer in London E. T. McCarthy, M.E., M.I.M. M., 10 and 11,</t>
  </si>
  <si>
    <t xml:space="preserve">burnett, d v</t>
  </si>
  <si>
    <t xml:space="preserve">imm6282</t>
  </si>
  <si>
    <t xml:space="preserve">Hon. W. A. Martin, M.L.C., Chairman. I W. Macfarlaue. I L. Clarence. Consulting Engineer H. Rotw Skinner, Box 1100, Johannesburg.</t>
  </si>
  <si>
    <t xml:space="preserve">martin, w a</t>
  </si>
  <si>
    <t xml:space="preserve">imm9957</t>
  </si>
  <si>
    <t xml:space="preserve">West Afric Oil Trust Limited</t>
  </si>
  <si>
    <t xml:space="preserve">A. W. Maude. | R. G. Tugwood. | J. A. Rummers. | H. Cecil. Consulting Engineer G. W. Edwards. | Solicitors Stonsham 4 Sons.</t>
  </si>
  <si>
    <t xml:space="preserve">edwards, g w</t>
  </si>
  <si>
    <t xml:space="preserve">imm1607</t>
  </si>
  <si>
    <t xml:space="preserve">Alberta Development Syndicate Limited</t>
  </si>
  <si>
    <t xml:space="preserve">ALBERTA DEVELOPMENT SYNDICATE. LIMITED. Directors J- Hay; E. G. Aman ; Capt. C. L. W. Wallace.</t>
  </si>
  <si>
    <t xml:space="preserve">alberta</t>
  </si>
  <si>
    <t xml:space="preserve">wallace, c l</t>
  </si>
  <si>
    <t xml:space="preserve">Blackwe Colliery Company Limited</t>
  </si>
  <si>
    <t xml:space="preserve">Consulting Engineer F. J. Stephens, F.G.8., A.I.M.M.</t>
  </si>
  <si>
    <t xml:space="preserve">stephens, f j</t>
  </si>
  <si>
    <t xml:space="preserve">imm6000</t>
  </si>
  <si>
    <t xml:space="preserve">Cevreni Breg Mining Company Limited</t>
  </si>
  <si>
    <t xml:space="preserve">Dr. W. E. Pountney. Engineer M. Jean Philipott, CevreniBrcg, dervia. | Solioitor J. Davis.</t>
  </si>
  <si>
    <t xml:space="preserve">philipott, m j</t>
  </si>
  <si>
    <t xml:space="preserve">imm917</t>
  </si>
  <si>
    <t xml:space="preserve">Concordia Tin Mine Bollvla Limited</t>
  </si>
  <si>
    <t xml:space="preserve">J. Directors Qualification, other than first directors. £300 . Grosscurth. I J. P. Grosscurth. | R. Grosscurth. I A. Luboldt. | K. Rosenblouth. Manager E. J. Howard Wright, Concordia Tin Mine, Santo Domingo, Bolivia.</t>
  </si>
  <si>
    <t xml:space="preserve">wright, e j</t>
  </si>
  <si>
    <t xml:space="preserve">imm1308</t>
  </si>
  <si>
    <t xml:space="preserve">Digby Colliery Company Limited</t>
  </si>
  <si>
    <t xml:space="preserve">Charles Hose Hill, .7.1 . | Edward Parry, M.I.C.E. Becretary and Offices William H. Cunningham, Dipby Colliery, Giltbrook, Nottingham.</t>
  </si>
  <si>
    <t xml:space="preserve">nottingham</t>
  </si>
  <si>
    <t xml:space="preserve">hill, c h</t>
  </si>
  <si>
    <t xml:space="preserve">wo1657</t>
  </si>
  <si>
    <t xml:space="preserve">Harney Peak Consolidated Tin Limited</t>
  </si>
  <si>
    <t xml:space="preserve">This company was registered December 31st, 1901, to acquire mineral at Harehope Gill and West Biggings, parish of Wolsingham, county The share consideration was £4,700, payable £1,700 in cash and £3,000 The authorised capital is £10,000, in 10,000 shares of £1 each; all the are issued and fnlly paid. There are £3,600 part of £5,000 five debentures. No accounts received. Transfer form, common ; fee, 2s. 6d. HARNEY PEAK CONSOLIDATED TIN CO.. Receiver and Manager H. K Moore, 41, Bedford Rnw, W.C.</t>
  </si>
  <si>
    <t xml:space="preserve">moore, h k</t>
  </si>
  <si>
    <t xml:space="preserve">30mit8275</t>
  </si>
  <si>
    <t xml:space="preserve">Rother Vale Collieries Limited</t>
  </si>
  <si>
    <t xml:space="preserve">F. J. JonSese.cr|eStiar rWy. Jaffray, Bart. | R. Kddiaon. | J. H. Keep. I H. H. C. Horafall. and Offices . . Walters, Trceton, near RotUerham. This company was registered April 13th, 1875, to acquire and work coal mines</t>
  </si>
  <si>
    <t xml:space="preserve">keep, j h</t>
  </si>
  <si>
    <t xml:space="preserve">mitg12763</t>
  </si>
  <si>
    <t xml:space="preserve">Vagliano Anthracite Collieries Limited</t>
  </si>
  <si>
    <t xml:space="preserve">Prof. W. Galloway, F.G.S., Chairman. | Karl of Clonmell. | O. J. Bainbridg:. I F. H. Hamilton. Consulting EngineerSsc ott Ling . | G. J, Stevens. C.B. Bainbridge, Seymour</t>
  </si>
  <si>
    <t xml:space="preserve">galloway, p w</t>
  </si>
  <si>
    <t xml:space="preserve">imm1666</t>
  </si>
  <si>
    <t xml:space="preserve">Writhlington Collieries Company Limited</t>
  </si>
  <si>
    <t xml:space="preserve">A. B. Markham, M.P., Permanent. | Mrs. L. B. Markham, Termanrnt. | W. Hnmble.</t>
  </si>
  <si>
    <t xml:space="preserve">markham, a b</t>
  </si>
  <si>
    <t xml:space="preserve">aime76025</t>
  </si>
  <si>
    <t xml:space="preserve">General Manager Alpheus F. Williams, Kimberley, Cape Colony. Assistant General Managers I. R. Grimmer, and J. Harbottle, Kimberlej , Cape Colony Mechanical Engineer J. Liddell, Kimijerley, ape Colony.</t>
  </si>
  <si>
    <t xml:space="preserve">williams, a f</t>
  </si>
  <si>
    <t xml:space="preserve">imm2541</t>
  </si>
  <si>
    <t xml:space="preserve">Co., 18, St. Swithin s Lane, E.0. Manager T. G. Colquhoun, Dannhauser, Natal.</t>
  </si>
  <si>
    <t xml:space="preserve">colquhoun, t g</t>
  </si>
  <si>
    <t xml:space="preserve">imm3651</t>
  </si>
  <si>
    <t xml:space="preserve">French Band Gold</t>
  </si>
  <si>
    <t xml:space="preserve">General Manager A. G. Turner, Axiin, Gold Ucaat Colony.</t>
  </si>
  <si>
    <t xml:space="preserve">turner, a g</t>
  </si>
  <si>
    <t xml:space="preserve">imm2473</t>
  </si>
  <si>
    <t xml:space="preserve">General Mining And Finance Corpn</t>
  </si>
  <si>
    <t xml:space="preserve">Transfer form, common ; fee, 2s. 6d. gerT tin Syndicate northern Nigeria , ltd: Directors G. P. Doolctt | T. J. Hoover. | L. W. N. Hkkley.</t>
  </si>
  <si>
    <t xml:space="preserve">hoover, t j</t>
  </si>
  <si>
    <t xml:space="preserve">imm544</t>
  </si>
  <si>
    <t xml:space="preserve">Baptist End Colliery Company Limited</t>
  </si>
  <si>
    <t xml:space="preserve">Baron H. von Pohl. E. Canincho-Gniaacn n</t>
  </si>
  <si>
    <t xml:space="preserve">pohl, b h</t>
  </si>
  <si>
    <t xml:space="preserve">Brit Nic Hyr Company Limited</t>
  </si>
  <si>
    <t xml:space="preserve">Evan D. Evans. | D. A. Thomas, M.P. I L. W. Llewelyn. | G. L. Thomas. | C. A. G. Pullin.</t>
  </si>
  <si>
    <t xml:space="preserve">thomas, d a</t>
  </si>
  <si>
    <t xml:space="preserve">aime116723</t>
  </si>
  <si>
    <t xml:space="preserve">Cobalt Central Mines Company</t>
  </si>
  <si>
    <t xml:space="preserve">W. C. Eakin . | E. F. Elderidgo. Consulting Engineer H. W. Hardinge, M, Exchange Place, Now York, U.S.A. General Manager J. W. Young, Col alt, Ontario, Canada. Bankers American Exchange National Bank, New York Citv, U.S.A. Trans fer Agents Security Transfer and Registry Co., New York City, U.S.A. Secretary and Head Offices K. F. Eldredge, 37, Wall Street,</t>
  </si>
  <si>
    <t xml:space="preserve">young, j w</t>
  </si>
  <si>
    <t xml:space="preserve">imm2575</t>
  </si>
  <si>
    <t xml:space="preserve">H. W. Marley.Colli|ery HMeannryagGeuur ipertz. | Arthur Burr, Managing. T. W. Austin, M.I.M.E. Consulting Engineer G. H. Hollinirworth, F.G.8., M.I.M.E., 37, Cross Street, Manchester,</t>
  </si>
  <si>
    <t xml:space="preserve">hollinirworth, g h</t>
  </si>
  <si>
    <t xml:space="preserve">Fishley Colliery Company Limited Flemington</t>
  </si>
  <si>
    <t xml:space="preserve">Directors Qualification, 50 shares £500 . R. Thomas, J.P. ; H. S. Thomas.</t>
  </si>
  <si>
    <t xml:space="preserve">thomas, h s</t>
  </si>
  <si>
    <t xml:space="preserve">imm1575</t>
  </si>
  <si>
    <t xml:space="preserve">Garswood Hall Collieries Company Limited</t>
  </si>
  <si>
    <t xml:space="preserve">GARSWOOD HALL COLLIERIES COMPANY, LTD. Trustees for Debenture- Holders R. H. Kdmondson ; F. H. Smith. Directors Qualification, 600 shares . SReosbreerttaHi.yKdmondson. | James II. Edmondson. | Frederick H Smith. | F. Rdmondson. and Offices Thomas S. Mayall, Garswood Hall Collieries, Rrynn, near Wigan.</t>
  </si>
  <si>
    <t xml:space="preserve">smith, f h</t>
  </si>
  <si>
    <t xml:space="preserve">30mit1414</t>
  </si>
  <si>
    <t xml:space="preserve">Intermediated Equipments Limited</t>
  </si>
  <si>
    <t xml:space="preserve">Directors A. Burr, Life Manaqing. I Dr. M. Burr, Deputy Mauaahig. Mine Manager T. W. Austin, Shepberdswell, Dover.</t>
  </si>
  <si>
    <t xml:space="preserve">austin, t w</t>
  </si>
  <si>
    <t xml:space="preserve">imm39</t>
  </si>
  <si>
    <t xml:space="preserve">Lamplugh Iron Ore Company Limited</t>
  </si>
  <si>
    <t xml:space="preserve">W. E. Walker.</t>
  </si>
  <si>
    <t xml:space="preserve">lnwtber street wbilchaver</t>
  </si>
  <si>
    <t xml:space="preserve">Lewis Merthyr Consolidated Collieries Limited</t>
  </si>
  <si>
    <t xml:space="preserve">Sir W, T. Lewis, Bart., K.C.V.O., Chairman. | H. C. Lewis. | K. O. Jones. 1 W. T. Rees. J. J. Jones. I A. E. Williams.</t>
  </si>
  <si>
    <t xml:space="preserve">williams, a e</t>
  </si>
  <si>
    <t xml:space="preserve">aime127715</t>
  </si>
  <si>
    <t xml:space="preserve">Mountain Copper Company Limited</t>
  </si>
  <si>
    <t xml:space="preserve">Charles W. Fielding.</t>
  </si>
  <si>
    <t xml:space="preserve">fielding, c w</t>
  </si>
  <si>
    <t xml:space="preserve">aime37405</t>
  </si>
  <si>
    <t xml:space="preserve">New British Columbia Development Corporation</t>
  </si>
  <si>
    <t xml:space="preserve">Consulting Engineer Trevor F. Thomas. Mine Manager T. W. Curry, Glyn, Neath.</t>
  </si>
  <si>
    <t xml:space="preserve">curry, t w</t>
  </si>
  <si>
    <t xml:space="preserve">imm3667</t>
  </si>
  <si>
    <t xml:space="preserve">Pusing Bharu Tin Mines Limited</t>
  </si>
  <si>
    <t xml:space="preserve">General Manager W. M. Currie, Pusinsr Bharu Tin Mines, Papan, Pcrak, F.M.S.</t>
  </si>
  <si>
    <t xml:space="preserve">currie, w m</t>
  </si>
  <si>
    <t xml:space="preserve">imm258</t>
  </si>
  <si>
    <t xml:space="preserve">Pusing Lama Tin Mines Limited</t>
  </si>
  <si>
    <t xml:space="preserve">Resident General Manager William M. Currie, Kinta, Perak, Straits Settlements.</t>
  </si>
  <si>
    <t xml:space="preserve">Utah Copper Company</t>
  </si>
  <si>
    <t xml:space="preserve">General Manager D. C. Jackling, McCornick Building, Salt Lake City, Utah. Assistant General Manager R. C. Gemmcll . Mills Superintendent F. G. Janney. Mines Superintendent J. D. Shilling,</t>
  </si>
  <si>
    <t xml:space="preserve">janney, f g</t>
  </si>
  <si>
    <t xml:space="preserve">aime60661</t>
  </si>
  <si>
    <t xml:space="preserve">Brilliant Extended Gold Mining Limited</t>
  </si>
  <si>
    <t xml:space="preserve">E. A. Foster. | Israel Lemel. | B. Tobinson.</t>
  </si>
  <si>
    <t xml:space="preserve">foster, e a</t>
  </si>
  <si>
    <t xml:space="preserve">aime39194</t>
  </si>
  <si>
    <t xml:space="preserve">Great Cliff Tasmania Syndicate Limited</t>
  </si>
  <si>
    <t xml:space="preserve">A. B. Stephenson. I W. J. Banctt. | P. A. Robinson. I W. Pelow-Harvey.</t>
  </si>
  <si>
    <t xml:space="preserve">robinson, p a</t>
  </si>
  <si>
    <t xml:space="preserve">imm6906</t>
  </si>
  <si>
    <t xml:space="preserve">Heaident Manager Charlos J. Morris, Pea Hill, N.8.W.</t>
  </si>
  <si>
    <t xml:space="preserve">morris, c j</t>
  </si>
  <si>
    <t xml:space="preserve">imm2123</t>
  </si>
  <si>
    <t xml:space="preserve">Assistant Manager H. Norton Johnson. Bankers National Bank of New Zealand, Limited. Solicitors Clarke. Rawlins</t>
  </si>
  <si>
    <t xml:space="preserve">johnson, h n</t>
  </si>
  <si>
    <t xml:space="preserve">imm4005</t>
  </si>
  <si>
    <t xml:space="preserve">lowest, lis. ; 1910: highest, 47s. 9d. ; lowest, 1J ; 1911: highest, 2jCJ lowest, liV Latest price, 1J, l,5 . ASHANTI goldfields territories, limited. Directors Qualification, £500 . O. Edwards, ConsuClhtainirmganE. ngin|eersJ . Column, J.P. | J. 11. Batty. | A. li. Morrish. W. E. FelUtmann &amp; Co., 138, Salisbury House, E.C.</t>
  </si>
  <si>
    <t xml:space="preserve">morris, a l</t>
  </si>
  <si>
    <t xml:space="preserve">nmex</t>
  </si>
  <si>
    <t xml:space="preserve">nmx275</t>
  </si>
  <si>
    <t xml:space="preserve">Battlefields Rhodesia Limited</t>
  </si>
  <si>
    <t xml:space="preserve">Herbert L. Stokes, Chairman. | William Rhodes, J.P. | Edward L. Lucas. | Charles T. Hi Hand.</t>
  </si>
  <si>
    <t xml:space="preserve">Lieut. Col. G. H. Black. General Manager in Bhodesia Philip B. S. Wrey, A.M.I.C.E., Box2 7, Bolavrayo. Consulting Engineer A. H. Ackermann. Bankers Bank of Africa, Limited. SoIiloiccitaolrs Julius &amp; Thomas. | Auditors Fuller Wise Kirby A Fisher. SecreOtaffricyes Main Streo , Bulawayo ; Pioneer 8treet, Salisbury, Rhodesia. and Offices A. W. Bird, F.C.I.8., 2, London Wall Bdgs., B.C. Telegrams: Afrique, London. Phono: 4670 to 4073 Wall,</t>
  </si>
  <si>
    <t xml:space="preserve">ackermann, a h</t>
  </si>
  <si>
    <t xml:space="preserve">imm2</t>
  </si>
  <si>
    <t xml:space="preserve">Messina Transvaal Development Limited</t>
  </si>
  <si>
    <t xml:space="preserve">Directors Qualification, £250 . A. M. Grenfell, Chairman. | J. S. P. Samborne. | J. P. Grcnfell. I B. J. Frecheville.</t>
  </si>
  <si>
    <t xml:space="preserve">New Bimkose Gold</t>
  </si>
  <si>
    <t xml:space="preserve">Col. &amp; O. Hutchinson. Consulting Engineer A. H. Sawyer, Hox 2202, Johannesburg, Transvaal. Manager .1. Bryaut, Hox 1100, Johannesburg.</t>
  </si>
  <si>
    <t xml:space="preserve">sawyer, a h</t>
  </si>
  <si>
    <t xml:space="preserve">mitg20173</t>
  </si>
  <si>
    <t xml:space="preserve">New Rhodesia District Development Limited</t>
  </si>
  <si>
    <t xml:space="preserve">C. P. Rowsell, Chairman. | I. Lewis. | G. Pauling. Consulting Engineer A. H. Ackermann, Bulawayo.</t>
  </si>
  <si>
    <t xml:space="preserve">North Swazieland Syndicate Limited</t>
  </si>
  <si>
    <t xml:space="preserve">Directors G Freeman, Chairman. | W. Halford. | C. F. Brown.</t>
  </si>
  <si>
    <t xml:space="preserve">rockland</t>
  </si>
  <si>
    <t xml:space="preserve">brown, c f</t>
  </si>
  <si>
    <t xml:space="preserve">imm1430</t>
  </si>
  <si>
    <t xml:space="preserve">Premier Tati Monarch Reef Limited</t>
  </si>
  <si>
    <t xml:space="preserve">C. V. Thomas. | Sir E. C. Cochrane, Bait. | P. Speak. | E. T.Tomby. | J. D. Alexander.</t>
  </si>
  <si>
    <t xml:space="preserve">Rhodesia Gold Mining Investment Limited</t>
  </si>
  <si>
    <t xml:space="preserve">C. F. Rovrsell, Chairman. | Isaac I ewis. | G. Paulinfr. | G. R. Lewi . Consulting Engineer-C. B. Kingston.</t>
  </si>
  <si>
    <t xml:space="preserve">kingston</t>
  </si>
  <si>
    <t xml:space="preserve">kingston, c b</t>
  </si>
  <si>
    <t xml:space="preserve">imm9255</t>
  </si>
  <si>
    <t xml:space="preserve">Transvaal Consolidated Land And Exploration Co Ltd</t>
  </si>
  <si>
    <t xml:space="preserve">Engineer J. Jervis Garrard, Box 140. Johannesburg. Metallurgist Krncst V. Pearce.</t>
  </si>
  <si>
    <t xml:space="preserve">garrard, j j</t>
  </si>
  <si>
    <t xml:space="preserve">Viking Gold Mines Limited</t>
  </si>
  <si>
    <t xml:space="preserve">London Commfttre C. E. Rube ; R. R. Hollins ; L. Wagner. Consulting Engineer -II. Stnait Martin.</t>
  </si>
  <si>
    <t xml:space="preserve">martin, i s</t>
  </si>
  <si>
    <t xml:space="preserve">African And Australian Company Limited</t>
  </si>
  <si>
    <t xml:space="preserve">Directors Qualification, 1,000 snares £100 . J. B. Palmer, Chairman. j E. A. Foster. | Edward Pope.</t>
  </si>
  <si>
    <t xml:space="preserve">foster, j e</t>
  </si>
  <si>
    <t xml:space="preserve">30mit33698</t>
  </si>
  <si>
    <t xml:space="preserve">Balcobo Tin Mines Limited</t>
  </si>
  <si>
    <t xml:space="preserve">F. H. Sawyer. I C. H. Wayte. Consulting Engineer C. L. Scholz, 66, Moor yate Street, B.C.</t>
  </si>
  <si>
    <t xml:space="preserve">scholz, c l</t>
  </si>
  <si>
    <t xml:space="preserve">imm4169</t>
  </si>
  <si>
    <t xml:space="preserve">Coytrahen Park Colliery Company Limited</t>
  </si>
  <si>
    <t xml:space="preserve">W. C. St. Ives Partridge, J.P., D.L., Chairman. 1 G. E. Llewelyn. | L. Hirsch. Consulting Engineer G. E. Llewelyn, Port Talbot.</t>
  </si>
  <si>
    <t xml:space="preserve">llewelyn, g e</t>
  </si>
  <si>
    <t xml:space="preserve">imm3255</t>
  </si>
  <si>
    <t xml:space="preserve">Encinillas Santa Rosalia Limited Works</t>
  </si>
  <si>
    <t xml:space="preserve">J. Directors Qualification, 250 shares . C. Duvivier. I F. Lutscher. 1 G. Dorion.</t>
  </si>
  <si>
    <t xml:space="preserve">dorion, f l</t>
  </si>
  <si>
    <t xml:space="preserve">aime31284</t>
  </si>
  <si>
    <t xml:space="preserve">R. T. Bayliss. I P. L. Fo fr. | J. R. Magoire. I H. Mosenthal. | J. E. D. Ryder. I G. D. Smith.</t>
  </si>
  <si>
    <t xml:space="preserve">Kashmir Iron Mines Power Syndicate</t>
  </si>
  <si>
    <t xml:space="preserve">A. Bennett. | H. Guedalla. Consulting Engineer Sir J. Wolfe Barry.</t>
  </si>
  <si>
    <t xml:space="preserve">barry, s j</t>
  </si>
  <si>
    <t xml:space="preserve">imm3493</t>
  </si>
  <si>
    <t xml:space="preserve">Luhrig Coal And Ore Dressing</t>
  </si>
  <si>
    <t xml:space="preserve">John C. Cunninghams, Chairman. 1 John H. Davidson. I G. M. Light.</t>
  </si>
  <si>
    <t xml:space="preserve">davidson, j h</t>
  </si>
  <si>
    <t xml:space="preserve">30mit17102</t>
  </si>
  <si>
    <t xml:space="preserve">Western Andes Mining Company Limited</t>
  </si>
  <si>
    <t xml:space="preserve">Herbert S. Sankey, Chairman. | C. O. Rogers. | S. P. Freeman. | Percy Brandon.</t>
  </si>
  <si>
    <t xml:space="preserve">Benoni Gold Mining Company Limited</t>
  </si>
  <si>
    <t xml:space="preserve">E. M. Clarke. l W. H. Clark. I F. A. Robinson. I S. H. Farrar.</t>
  </si>
  <si>
    <t xml:space="preserve">clark, e m</t>
  </si>
  <si>
    <t xml:space="preserve">colo7626</t>
  </si>
  <si>
    <t xml:space="preserve">L. Clarence. Consulting Engineer H. R. Skinner. General Manager A. S. Milne, Box 111, Rooaepocrt, Transvaal.</t>
  </si>
  <si>
    <t xml:space="preserve">skinner, h r</t>
  </si>
  <si>
    <t xml:space="preserve">imm1064</t>
  </si>
  <si>
    <t xml:space="preserve">W. Bailey. Consulting Engineer Professor J. G. Lawn. Mine Mana er l l. G. Bay, Ginsberg Mine Olllce, Germiston.</t>
  </si>
  <si>
    <t xml:space="preserve">lawn, p j</t>
  </si>
  <si>
    <t xml:space="preserve">imm3223</t>
  </si>
  <si>
    <t xml:space="preserve">Jupiter Gold Company Limited</t>
  </si>
  <si>
    <t xml:space="preserve">E. A. Wallets.</t>
  </si>
  <si>
    <t xml:space="preserve">wallets, e a</t>
  </si>
  <si>
    <t xml:space="preserve">imm5067</t>
  </si>
  <si>
    <t xml:space="preserve">New Boksburg Gold Mines Limited</t>
  </si>
  <si>
    <t xml:space="preserve">London L ornmc ltee. J. K. Edward. I F. W. Crookshank. I S. H. Farrar. | W. H. Clark. | E. M. Clarke.</t>
  </si>
  <si>
    <t xml:space="preserve">R. G. Flicker, hail-mun and Managing, I Rt. Hon. Earl of Verulam. I G. T. Harris.</t>
  </si>
  <si>
    <t xml:space="preserve">harris, g t</t>
  </si>
  <si>
    <t xml:space="preserve">aime50803</t>
  </si>
  <si>
    <t xml:space="preserve">Berenguela Silver Lead Mines Limited</t>
  </si>
  <si>
    <t xml:space="preserve">J. W. Read. Manager H. A. Lewis, Cochabarnba, Bolivia.</t>
  </si>
  <si>
    <t xml:space="preserve">lewis, h a</t>
  </si>
  <si>
    <t xml:space="preserve">imm5661</t>
  </si>
  <si>
    <t xml:space="preserve">Dr. W. E. Ponntney. Engineer M. J. Philipott, Cevrcni-Breg, Scrvia.</t>
  </si>
  <si>
    <t xml:space="preserve">Chinese Engineering And Mining Limited</t>
  </si>
  <si>
    <t xml:space="preserve">Major K. A. Micklern, D.B.0. Agent and General Manager in China Major Walter Nathan, RE.</t>
  </si>
  <si>
    <t xml:space="preserve">walter, i c</t>
  </si>
  <si>
    <t xml:space="preserve">imm7406</t>
  </si>
  <si>
    <t xml:space="preserve">Levant Mining Company</t>
  </si>
  <si>
    <t xml:space="preserve">Lord Merthyr, K.C.V.O., Muir-an. | Hon. 1 . L . Lewis. Li . I E. 0. Jones. I W. T. Rees.</t>
  </si>
  <si>
    <t xml:space="preserve">rees, w t</t>
  </si>
  <si>
    <t xml:space="preserve">aime98460</t>
  </si>
  <si>
    <t xml:space="preserve">Mines Management Company</t>
  </si>
  <si>
    <t xml:space="preserve">General Manager W. B. Devereux, jun.</t>
  </si>
  <si>
    <t xml:space="preserve">devereux, w b</t>
  </si>
  <si>
    <t xml:space="preserve">imm5336</t>
  </si>
  <si>
    <t xml:space="preserve">Mountain Queen Limited</t>
  </si>
  <si>
    <t xml:space="preserve">General llanagers ucii-ick Moreing s m. l Mine Superintendent F. L. Thomas. Solicitor-A. Blackman. I Biinkers lmndon Joint Stock Bank, Ltd. Auditors Ford, Rhodes .1 Ford.</t>
  </si>
  <si>
    <t xml:space="preserve">blomfield street b</t>
  </si>
  <si>
    <t xml:space="preserve">thomas, f l</t>
  </si>
  <si>
    <t xml:space="preserve">imm10223</t>
  </si>
  <si>
    <t xml:space="preserve">Pyman Watson And Company Limited</t>
  </si>
  <si>
    <t xml:space="preserve">T. E. Watson, .11 .</t>
  </si>
  <si>
    <t xml:space="preserve">bury street chambers bury street</t>
  </si>
  <si>
    <t xml:space="preserve">Daggafontein Prospecting Syndicate Limited</t>
  </si>
  <si>
    <t xml:space="preserve">W. B. Butler, Chairman. I G. A. Murray.</t>
  </si>
  <si>
    <t xml:space="preserve">butler, w b</t>
  </si>
  <si>
    <t xml:space="preserve">aime16806</t>
  </si>
  <si>
    <t xml:space="preserve">Fanti Consoqldated Mlnes Limited</t>
  </si>
  <si>
    <t xml:space="preserve">E, Davis, Chairman. 1 Rt. Hon. Earl of Verulam. l Lt.-Col. C. H. 1-1.Villierl. White. | R. G. Fricker, Managin . Consulting Engineers The Consolidated Gold Fields</t>
  </si>
  <si>
    <t xml:space="preserve">fricker, r g</t>
  </si>
  <si>
    <t xml:space="preserve">Nwta Navigation Collieries Company</t>
  </si>
  <si>
    <t xml:space="preserve">D. Simpson, Chairman. I J. Mackenzie. | J. B. Morris. | A. Olifl . I J. T. Williams.</t>
  </si>
  <si>
    <t xml:space="preserve">williams, j t</t>
  </si>
  <si>
    <t xml:space="preserve">ama9099</t>
  </si>
  <si>
    <t xml:space="preserve">1 . .1. See , F.0-A. I H. L. Stokes.</t>
  </si>
  <si>
    <t xml:space="preserve">Van Rydn Deep Limited</t>
  </si>
  <si>
    <t xml:space="preserve">Manager W. A. Krige. Consulting Engineer Prat. .l. G. Lawn.</t>
  </si>
  <si>
    <t xml:space="preserve">krige, w a</t>
  </si>
  <si>
    <t xml:space="preserve">imm10777</t>
  </si>
  <si>
    <t xml:space="preserve">C. S. Goldman, 111 . l W. 1 . Graham, J.P. | J. B. Ryan. I E. A. Waller-s.</t>
  </si>
  <si>
    <t xml:space="preserve">wallers, e a</t>
  </si>
  <si>
    <t xml:space="preserve">imm7599</t>
  </si>
  <si>
    <t xml:space="preserve">. DR 18 - Manager F. Atlay, Mogok, Burma. Chief Engineer A. H. Morgan, Mogok, Burma.</t>
  </si>
  <si>
    <t xml:space="preserve">morgan, a h</t>
  </si>
  <si>
    <t xml:space="preserve">imm821</t>
  </si>
  <si>
    <t xml:space="preserve">8. W. Stephens, Chairman. I T. H. Alexander. I H. P. Harris, My. I R. C. Lyall, J.P.</t>
  </si>
  <si>
    <t xml:space="preserve">harris, h p</t>
  </si>
  <si>
    <t xml:space="preserve">30mit31548</t>
  </si>
  <si>
    <t xml:space="preserve">Gellidare Colliery Company Limited</t>
  </si>
  <si>
    <t xml:space="preserve">J. M. Thomas.</t>
  </si>
  <si>
    <t xml:space="preserve">thomas, j m</t>
  </si>
  <si>
    <t xml:space="preserve">imm643</t>
  </si>
  <si>
    <t xml:space="preserve">Indian And General Mlnilig Trust</t>
  </si>
  <si>
    <t xml:space="preserve">Mans. ers and Consulting Engineers John Taylor and Sons.</t>
  </si>
  <si>
    <t xml:space="preserve">taylo, s j</t>
  </si>
  <si>
    <t xml:space="preserve">Lancarrow Tin Alluvials Limited</t>
  </si>
  <si>
    <t xml:space="preserve">Directors Qualification, except first, .2500 :J. Gardiner ; A. H. Young.</t>
  </si>
  <si>
    <t xml:space="preserve">young, a h</t>
  </si>
  <si>
    <t xml:space="preserve">mo50518</t>
  </si>
  <si>
    <t xml:space="preserve">Maen Offeir Slate Quarry Limited</t>
  </si>
  <si>
    <t xml:space="preserve">Mine Manager G. E. Jones, Blsenau Festiniog.</t>
  </si>
  <si>
    <t xml:space="preserve">jones, g e</t>
  </si>
  <si>
    <t xml:space="preserve">imm7280</t>
  </si>
  <si>
    <t xml:space="preserve">Nickel Corporation Limited</t>
  </si>
  <si>
    <t xml:space="preserve">R. T. Moore, Chairman.</t>
  </si>
  <si>
    <t xml:space="preserve">Queensland Copper Freeholds Limited</t>
  </si>
  <si>
    <t xml:space="preserve">C. K. Butler, J.P.</t>
  </si>
  <si>
    <t xml:space="preserve">butler, c k</t>
  </si>
  <si>
    <t xml:space="preserve">aime16705</t>
  </si>
  <si>
    <t xml:space="preserve">Silverton Broken Hill Mining Company</t>
  </si>
  <si>
    <t xml:space="preserve">G. Freeman, Chairman. 1 M. S. Davys. | E. W. Monkhouse. Mine KanaRer G. Stilwell.</t>
  </si>
  <si>
    <t xml:space="preserve">silverton</t>
  </si>
  <si>
    <t xml:space="preserve">davys, m s</t>
  </si>
  <si>
    <t xml:space="preserve">imm3679</t>
  </si>
  <si>
    <t xml:space="preserve">Backworth Collieries Limited</t>
  </si>
  <si>
    <t xml:space="preserve">BACKWORTH COLLIERIES, LIMITED. Directors C. B. Lamb; Manager H. W. R. Lamb; It . R. H. Moorsom ; H. S. Streatfeild, .LP. Gibson. | Solicitors Bees and Thompson. Secretary and Omen-41. I . Spence, Milhurn House, Dean Street, Newcastle-on-Tyne.</t>
  </si>
  <si>
    <t xml:space="preserve">lamb, h w</t>
  </si>
  <si>
    <t xml:space="preserve">mitg13408</t>
  </si>
  <si>
    <t xml:space="preserve">Broken Hill Proprietary Block Limited</t>
  </si>
  <si>
    <t xml:space="preserve">by the General Manager G. D. Delprat and Mr. David Baker of Philadelphia, U.S.A.</t>
  </si>
  <si>
    <t xml:space="preserve">philadelphia</t>
  </si>
  <si>
    <t xml:space="preserve">delpra, g d</t>
  </si>
  <si>
    <t xml:space="preserve">Ferreira Diamonds Limited</t>
  </si>
  <si>
    <t xml:space="preserve">H. C. Boyd, Chairman. I S. B. Joel. I H. A. Rogers. I R. W. Schumachsr. I E. A. Wallers.</t>
  </si>
  <si>
    <t xml:space="preserve">Fremantle Trading Company Limited</t>
  </si>
  <si>
    <t xml:space="preserve">Manager W. G. Sutherland, Prothcroe, W.A.</t>
  </si>
  <si>
    <t xml:space="preserve">sutherland, w g</t>
  </si>
  <si>
    <t xml:space="preserve">imm11072</t>
  </si>
  <si>
    <t xml:space="preserve">HAY GOLD MINING COMPANY, LIMITED. Directors Qualification, 100 shares . J. Well, Chairman. I S. A. Bird. | G. R. Lewis. I S. Wail. I Hon. C. J. White. Consulting Engineers-London and Rhodesian Mining and Land 00., Lid.</t>
  </si>
  <si>
    <t xml:space="preserve">lewis, g r</t>
  </si>
  <si>
    <t xml:space="preserve">mi27204</t>
  </si>
  <si>
    <t xml:space="preserve">Kleinfontein New Company Limited</t>
  </si>
  <si>
    <t xml:space="preserve">London Cammitlae. J. L. Bergllon. | W. H. Clark. | S. H. Farrar.</t>
  </si>
  <si>
    <t xml:space="preserve">Lanner Syndicate Limited</t>
  </si>
  <si>
    <t xml:space="preserve">Directors T. E. Lander; F. L. Maclecd ; R. T. Moore,</t>
  </si>
  <si>
    <t xml:space="preserve">Lena Goldfields Limited</t>
  </si>
  <si>
    <t xml:space="preserve">M. de Routkowsky. Consulting Engineer C. W. Purington.</t>
  </si>
  <si>
    <t xml:space="preserve">purington, c w</t>
  </si>
  <si>
    <t xml:space="preserve">imm6883</t>
  </si>
  <si>
    <t xml:space="preserve">Malayan Tin Dredging Limited</t>
  </si>
  <si>
    <t xml:space="preserve">MALAYAN TIN DREDGINGI LIMITED. Directors Qualification, £250 . Sir E. W. Birch. K.C.M.G.. Chairman. I S. H. B. Blandy. | W. J. Payne. I C. V. Stephens. Consulting Engineers F. W. Payne</t>
  </si>
  <si>
    <t xml:space="preserve">blandy, s h</t>
  </si>
  <si>
    <t xml:space="preserve">aime9965</t>
  </si>
  <si>
    <t xml:space="preserve">New Rand Gold Mines Limited</t>
  </si>
  <si>
    <t xml:space="preserve">A. R. Sawyer. | E. E. Sawyer. Consulting Engineer A. R. Sawyer, Box 2202, Johannesburg, Transvaal.</t>
  </si>
  <si>
    <t xml:space="preserve">sawyer, a r</t>
  </si>
  <si>
    <t xml:space="preserve">imm1032</t>
  </si>
  <si>
    <t xml:space="preserve">Gen eral Manager A. G. Plews. Bankers London and South Western Bank, Ltd. Secretary and Ofllces E. T. Evans, 11 and 12, Finsbury Square, E.C.</t>
  </si>
  <si>
    <t xml:space="preserve">plews, a g</t>
  </si>
  <si>
    <t xml:space="preserve">imm5873</t>
  </si>
  <si>
    <t xml:space="preserve">Princess Estate And Gold Mining</t>
  </si>
  <si>
    <t xml:space="preserve">A. L. Foster; G. A. Jones; E. T. McCarthy; L. Welstead. General Manager A. W. Evans. Metallurgist H. A. B. Leipnsr. | Bankers National Bank of New Zealand, Limited.</t>
  </si>
  <si>
    <t xml:space="preserve">evans, a w</t>
  </si>
  <si>
    <t xml:space="preserve">imm3742</t>
  </si>
  <si>
    <t xml:space="preserve">1 . .1. See , F.C.A. | H. L. Stokes.</t>
  </si>
  <si>
    <t xml:space="preserve">Right Way Mines Limited</t>
  </si>
  <si>
    <t xml:space="preserve">C. W. Fielding, Chairman. I Rt. Hon. Earl of Denbigh.</t>
  </si>
  <si>
    <t xml:space="preserve">Vivian And Sons Limited</t>
  </si>
  <si>
    <t xml:space="preserve">Sir A. P. Vivian, K.C.B., Chairman and Permanent. I B. G. R. Eden. I C. W. Heneaqe.</t>
  </si>
  <si>
    <t xml:space="preserve">vivian, a p</t>
  </si>
  <si>
    <t xml:space="preserve">fr1750</t>
  </si>
  <si>
    <t xml:space="preserve">Wkss Aww Atmca Lga Ate</t>
  </si>
  <si>
    <t xml:space="preserve">E. Davis, Chairman. I G. T. Harris. | E. W. Jansen. | Lt. Col. 0. H. Villiers.</t>
  </si>
  <si>
    <t xml:space="preserve">Witbank Colliery Limited</t>
  </si>
  <si>
    <t xml:space="preserve">H. J. King. I H. A. Rogers. I J. B. Ryan. | E. A. Wallers.</t>
  </si>
  <si>
    <t xml:space="preserve">T. Bayne Engineer , F. E. Studt Metallurgist , Box 24., Bulawayo, Rhodesia. Local Agency Bulawayo Manager A. G. Keith , Box 24, Rhodesia.</t>
  </si>
  <si>
    <t xml:space="preserve">studt, f e</t>
  </si>
  <si>
    <t xml:space="preserve">imm1123</t>
  </si>
  <si>
    <t xml:space="preserve">Zuma Tin Areasjniqebia Limited</t>
  </si>
  <si>
    <t xml:space="preserve">J. Directors. Gardiner, Chairman. I W. B. Coutts. I A. H. Young.</t>
  </si>
  <si>
    <t xml:space="preserve">Brazilian Iron And Gold Limited</t>
  </si>
  <si>
    <t xml:space="preserve">Manager W. H. Lewis. Business Manager D. W. Rossiter.</t>
  </si>
  <si>
    <t xml:space="preserve">lewis, w h</t>
  </si>
  <si>
    <t xml:space="preserve">imm5664</t>
  </si>
  <si>
    <t xml:space="preserve">Crowhn Mines Limited</t>
  </si>
  <si>
    <t xml:space="preserve">Consulting Engineer-R. C. Warriner. General Manager A. J. Brett. Joint Mine Managers W. J. Pitchford; T. Simpson.</t>
  </si>
  <si>
    <t xml:space="preserve">brett, a j</t>
  </si>
  <si>
    <t xml:space="preserve">imm1421</t>
  </si>
  <si>
    <t xml:space="preserve">Ebbw Vale Steel Iron And Coal Ltd</t>
  </si>
  <si>
    <t xml:space="preserve">Col. Sir C. Allen, Chairman. D. A. Thomas, M.A., D.L., Vice-Chairman. J. W. Beynon.</t>
  </si>
  <si>
    <t xml:space="preserve">G. A. Murray, Chairman. I .T. Garrick. l J. E. H. Lomas. l T. Piercy.</t>
  </si>
  <si>
    <t xml:space="preserve">Extended Extension Limited</t>
  </si>
  <si>
    <t xml:space="preserve">Directors Qualification 1501. J. I. Philips. Chairman. W. A. Addinsell. | Sir E. W. Birch, K.C.M.G.</t>
  </si>
  <si>
    <t xml:space="preserve">birch, e w</t>
  </si>
  <si>
    <t xml:space="preserve">Ggranby Consolidated Mining Smelting And</t>
  </si>
  <si>
    <t xml:space="preserve">W. H. Nichols, President. | E. P. Earle, Vice-President. W. H. Robinson, Vice-President.</t>
  </si>
  <si>
    <t xml:space="preserve">nichols, w h</t>
  </si>
  <si>
    <t xml:space="preserve">ama6233</t>
  </si>
  <si>
    <t xml:space="preserve">Poderosa Mining Company Limited</t>
  </si>
  <si>
    <t xml:space="preserve">PODE BOSA, MCoINnIsNuGlt incgontinued. Engineer W. J. Barnett, M.I.M.M. General Manager-J. H. Ivey, Mina Poderosa, Antofagasta, Chile.</t>
  </si>
  <si>
    <t xml:space="preserve">antofagasta</t>
  </si>
  <si>
    <t xml:space="preserve">barnett, w j</t>
  </si>
  <si>
    <t xml:space="preserve">imm2633</t>
  </si>
  <si>
    <t xml:space="preserve">Spon Lane Colliery Company Limited</t>
  </si>
  <si>
    <t xml:space="preserve">Manager B. D. Bushell, Springs, Transvaal. London Bankers National Bank of South Africa, Ltd. Secretaries and Head Offices-Consolidated Mines Selection Co., Ltd., Corner House,</t>
  </si>
  <si>
    <t xml:space="preserve">bushell, b d</t>
  </si>
  <si>
    <t xml:space="preserve">imm10439</t>
  </si>
  <si>
    <t xml:space="preserve">Tweefontein Colliery Limited</t>
  </si>
  <si>
    <t xml:space="preserve">W. E. L. Johnston.</t>
  </si>
  <si>
    <t xml:space="preserve">johnston, w e</t>
  </si>
  <si>
    <t xml:space="preserve">colo10650</t>
  </si>
  <si>
    <t xml:space="preserve">Kramat Pulai Limited</t>
  </si>
  <si>
    <t xml:space="preserve">Local Manager B. W. Thunder, Ipoh, Perak, F.M.S.</t>
  </si>
  <si>
    <t xml:space="preserve">thunder</t>
  </si>
  <si>
    <t xml:space="preserve">thunder, b w</t>
  </si>
  <si>
    <t xml:space="preserve">imm8224</t>
  </si>
  <si>
    <t xml:space="preserve">Northern Nigeria Trust Limited</t>
  </si>
  <si>
    <t xml:space="preserve">Sir R. A. Hampson, J.P., Consulting EnginCehearir maCn.. H. C. Godfray. G. T. Harris. H. White. G. Lush. | Manager-A. R. Canning.</t>
  </si>
  <si>
    <t xml:space="preserve">canning, a r</t>
  </si>
  <si>
    <t xml:space="preserve">imm6296</t>
  </si>
  <si>
    <t xml:space="preserve">Russo Asiatic Consolidated Limited</t>
  </si>
  <si>
    <t xml:space="preserve">. J. C. Scott, Chairman.</t>
  </si>
  <si>
    <t xml:space="preserve">scott, j c</t>
  </si>
  <si>
    <t xml:space="preserve">ama7511</t>
  </si>
  <si>
    <t xml:space="preserve">Victory Charcotmerpasny Tolivmviteerds Gold Mining</t>
  </si>
  <si>
    <t xml:space="preserve">London Board W. C. Gould ; H. T. Mortlock. Mine Manager T. L. Titley, Charters Towers, Queensland. Local Agents in Charters Towers E. D. Miles &amp; Co., Ltd., Mosman Street. Secretary and Head Offices C. P. Smith, Perpetual Trustee Chambers, 33-39, Hunter</t>
  </si>
  <si>
    <t xml:space="preserve">titley, t l</t>
  </si>
  <si>
    <t xml:space="preserve">imm7579</t>
  </si>
  <si>
    <t xml:space="preserve">Village Deep Limited</t>
  </si>
  <si>
    <t xml:space="preserve">London Committee F. J. Dormer; R. R. Hollins; T. J. Milner; L. Wagner. Consulting Engineer H. S. Martin. Mine Manager J. Whitehouse, Box 1145, Johannesburg.</t>
  </si>
  <si>
    <t xml:space="preserve">martin, h s</t>
  </si>
  <si>
    <t xml:space="preserve">imm5746</t>
  </si>
  <si>
    <t xml:space="preserve">Afrikander Proprietary Gold Mines Limited</t>
  </si>
  <si>
    <t xml:space="preserve">R. Niven. I E. H. Read. I Major 11. A. Rogers.</t>
  </si>
  <si>
    <t xml:space="preserve">read, e h</t>
  </si>
  <si>
    <t xml:space="preserve">imm8108</t>
  </si>
  <si>
    <t xml:space="preserve">. E. F. Melly, J.I . J. F. Newall.</t>
  </si>
  <si>
    <t xml:space="preserve">melly, e f</t>
  </si>
  <si>
    <t xml:space="preserve">imm4850</t>
  </si>
  <si>
    <t xml:space="preserve">Charterland Goldfields Limited</t>
  </si>
  <si>
    <t xml:space="preserve">J. E. H. Lomas.</t>
  </si>
  <si>
    <t xml:space="preserve">lomas, j e</t>
  </si>
  <si>
    <t xml:space="preserve">Dolcoatfl Mine Limited</t>
  </si>
  <si>
    <t xml:space="preserve">H. C. Godfrey. I J. M. Holman, J-.P. I F. A. Robinson. | F. W. Thomas.</t>
  </si>
  <si>
    <t xml:space="preserve">robinson, f a</t>
  </si>
  <si>
    <t xml:space="preserve">30mit21284</t>
  </si>
  <si>
    <t xml:space="preserve">Kampong Kamuntidng Tin Dredging Limited</t>
  </si>
  <si>
    <t xml:space="preserve">A. W. Freeman, Managing. Consulting Engineer J. S. Henry. Castlemaine. Victoria.</t>
  </si>
  <si>
    <t xml:space="preserve">freeman, a w</t>
  </si>
  <si>
    <t xml:space="preserve">Kolar Mines Power Station Limited</t>
  </si>
  <si>
    <t xml:space="preserve">Chief Electrical Engineer F. M. Nicholl.</t>
  </si>
  <si>
    <t xml:space="preserve">nicholl, f m</t>
  </si>
  <si>
    <t xml:space="preserve">Andrada Proprietary Mines</t>
  </si>
  <si>
    <t xml:space="preserve">G. S. Fort. | Sir J. Heath, Bart, J.P. I G. E. Lomas. - Consulting Engineer S. G. Thomson.</t>
  </si>
  <si>
    <t xml:space="preserve">thomson, s g</t>
  </si>
  <si>
    <t xml:space="preserve">imm12698</t>
  </si>
  <si>
    <t xml:space="preserve">Mines Company Of America</t>
  </si>
  <si>
    <t xml:space="preserve">Col. Sir A. C. F. FitzGeorze, K.C.V.0., 0.13., Chairman. R. F. Eden. I I . W. Inwood Consulting Engineer D Am Weatherbe. I Resident Engineer C. E. Watson.</t>
  </si>
  <si>
    <t xml:space="preserve">weatherbe, d a</t>
  </si>
  <si>
    <t xml:space="preserve">imm9365</t>
  </si>
  <si>
    <t xml:space="preserve">001. A. H. Heath, J.1 . A. R. Sawyer. l E. E. Sawyer. Consulting Engineer A. R. Sawyer.</t>
  </si>
  <si>
    <t xml:space="preserve">New Vaal River Diamond Expln Limited</t>
  </si>
  <si>
    <t xml:space="preserve">J. Van Praagh, J.P., Joint Managing. Resident Engineer J. G. Richards, A.M.I.M.E.</t>
  </si>
  <si>
    <t xml:space="preserve">richards, j g</t>
  </si>
  <si>
    <t xml:space="preserve">imm8830</t>
  </si>
  <si>
    <t xml:space="preserve">Snowdown Colliery Limited</t>
  </si>
  <si>
    <t xml:space="preserve">Collie Manager O. H. Taylor, Showdown Colliery, Nonington, Kent.</t>
  </si>
  <si>
    <t xml:space="preserve">dieu road dover</t>
  </si>
  <si>
    <t xml:space="preserve">taylor, o h</t>
  </si>
  <si>
    <t xml:space="preserve">imm7028</t>
  </si>
  <si>
    <t xml:space="preserve">South American Copper Syndicate Limited</t>
  </si>
  <si>
    <t xml:space="preserve">General Manager G. B. Butterwor th. Mine Omce Aroa, Port of Tucacas, Venezuela. Consulting Engineer C. H. Stewart. | AuditQrg Futcher, Head &amp; 00,</t>
  </si>
  <si>
    <t xml:space="preserve">stewart, c h</t>
  </si>
  <si>
    <t xml:space="preserve">imm10196</t>
  </si>
  <si>
    <t xml:space="preserve">Transvaal Gold Mining Estates Limited</t>
  </si>
  <si>
    <t xml:space="preserve">H. C. Boyd, Chairman. I B. T. Bourke. l S. Evans. | Sir A. Bailey, K.C.M.G.</t>
  </si>
  <si>
    <t xml:space="preserve">Yorkshire Iron And Coal Limited</t>
  </si>
  <si>
    <t xml:space="preserve">F. H. Booth, J.P., M.P., Chairman. G. M. Ritchie, Deputy Chairman. I J. L. Booth.</t>
  </si>
  <si>
    <t xml:space="preserve">booth, f h</t>
  </si>
  <si>
    <t xml:space="preserve">aime11013</t>
  </si>
  <si>
    <t xml:space="preserve">Yuanimi Gold Mines</t>
  </si>
  <si>
    <t xml:space="preserve">Mme Manager L. B. Williams. | .Bankers- Coutts &amp; Co. Auditors Monkhouse, Stoneham &amp; Go. I Solicitors Birkbeck, Yeo 8t 00. Secretary and. Oflices G. G. Hay, 1, London Wall Buildings, E.C. 2. Telegrams: Golthay. London. Codes: Broomhall, Sac. Phone: 8700 Wall.</t>
  </si>
  <si>
    <t xml:space="preserve">williams, l b</t>
  </si>
  <si>
    <t xml:space="preserve">imm8287</t>
  </si>
  <si>
    <t xml:space="preserve">ASHANTI GOLDFIELDS CORPORATION, LTD. Directors Qualification, £500 . Earl of Bessborough, K.P., C.V.O., C.B., Chairman. I J. Colman, J.P. G. L. Johnston. | C. W. Mann. Consulting Engineer W. R. Feldtmann, M.Inst.M.M., 457, Salisbury House, EC. 2. Mines Manager-J. S. Watkins, M.Inst.M.M., Obuasi, Ashanti, Gold Coast Colony. Secretary and Ofl 1ces H. Morgan, 6, Southampton Street, Holborn, W.G. 1.</t>
  </si>
  <si>
    <t xml:space="preserve">feldtmann, w r</t>
  </si>
  <si>
    <t xml:space="preserve">imm7839</t>
  </si>
  <si>
    <t xml:space="preserve">Consolidated Mining Smelting Canada Limited</t>
  </si>
  <si>
    <t xml:space="preserve">Directors. W. D. Matthews, President. I G. Sumner, Vice-Presiiiellf. I H. Joseph. I J.C- Hodgsom</t>
  </si>
  <si>
    <t xml:space="preserve">matthews, w d</t>
  </si>
  <si>
    <t xml:space="preserve">colo11857</t>
  </si>
  <si>
    <t xml:space="preserve">E. Davis. M anaging. Consulting Engineers Consnliflared Goldfields of South Africa, Ltd. Superintending Engineer S. H. Ford. Secretary and Omces J. Coltman, 19, St. Swithin s Lane, E.C. 4.</t>
  </si>
  <si>
    <t xml:space="preserve">ford, s h</t>
  </si>
  <si>
    <t xml:space="preserve">imm7847</t>
  </si>
  <si>
    <t xml:space="preserve">W. Bailey. I W. J. Benson, C.B.E. I T. Honey.</t>
  </si>
  <si>
    <t xml:space="preserve">benson, w j</t>
  </si>
  <si>
    <t xml:space="preserve">imm5161</t>
  </si>
  <si>
    <t xml:space="preserve">Sub-Manager R. G. Robinson. Colliery M. anager F. H. L. roudace, Lambton and Burword Collieries, near</t>
  </si>
  <si>
    <t xml:space="preserve">robinson, r g</t>
  </si>
  <si>
    <t xml:space="preserve">imm4951</t>
  </si>
  <si>
    <t xml:space="preserve">G. Carlow, J.P., Chciman. I W. H. Murray, W.S. I D. Rankine. I W. M. Miller.</t>
  </si>
  <si>
    <t xml:space="preserve">castle street edinburgh</t>
  </si>
  <si>
    <t xml:space="preserve">murray, w h</t>
  </si>
  <si>
    <t xml:space="preserve">ama6128</t>
  </si>
  <si>
    <t xml:space="preserve">Uspsasvskyv Copper Mine Ttd</t>
  </si>
  <si>
    <t xml:space="preserve">M ine Manager B. D. Bushell, Sprmgs, Transvaal.</t>
  </si>
  <si>
    <t xml:space="preserve">West Rand Consolidated Mines Limited</t>
  </si>
  <si>
    <t xml:space="preserve">L. Albu, Chairman. I J. Freudenthal. I J. Friedlander. I C. S. Goldman. J. Kitchin.</t>
  </si>
  <si>
    <t xml:space="preserve">gold, c s</t>
  </si>
  <si>
    <t xml:space="preserve">Alaska Mexican Gold Mining</t>
  </si>
  <si>
    <t xml:space="preserve">F. W. Bradley, President d Consulting Engineer. I A. B. Davis, Vice-President.</t>
  </si>
  <si>
    <t xml:space="preserve">alaska</t>
  </si>
  <si>
    <t xml:space="preserve">davis, a b</t>
  </si>
  <si>
    <t xml:space="preserve">imm5317</t>
  </si>
  <si>
    <t xml:space="preserve">Broken Hill South Silver Company</t>
  </si>
  <si>
    <t xml:space="preserve">Capt. J. E. Rogerson, D.L., Chairman. I Viscount Furness, Deputy-Chairman</t>
  </si>
  <si>
    <t xml:space="preserve">rogerson, j e</t>
  </si>
  <si>
    <t xml:space="preserve">aime101685</t>
  </si>
  <si>
    <t xml:space="preserve">Buffalo Mines Limited</t>
  </si>
  <si>
    <t xml:space="preserve">BUFFALO INES, LTD. J. Directors. P. Watson, President. | W. R. P. Parker, Vice-President.</t>
  </si>
  <si>
    <t xml:space="preserve">buffalo</t>
  </si>
  <si>
    <t xml:space="preserve">parker, w r</t>
  </si>
  <si>
    <t xml:space="preserve">03mit2099</t>
  </si>
  <si>
    <t xml:space="preserve">Davis Sons Limited Ddei Hqei</t>
  </si>
  <si>
    <t xml:space="preserve">Major F. 8. Cartwright. | L. F. Davis. | D. Hannah, J.P. 1 Sir L. W. Llewelyn, K.B.E.</t>
  </si>
  <si>
    <t xml:space="preserve">davis, l f</t>
  </si>
  <si>
    <t xml:space="preserve">aime28543</t>
  </si>
  <si>
    <t xml:space="preserve">Dome Mines Limited</t>
  </si>
  <si>
    <t xml:space="preserve">General Superintendent H. P. de Peneisr. General Manager C. D. Kaeding. I Mine Oflloe South Porcupine, Ontario, Canada. Mill Su erintendent-C. W. Dowsett. New ork Oflice fl, Broadway. Secretary and Head Omces A. Fasken, 36, Toronto Street, Toronto, Canada.</t>
  </si>
  <si>
    <t xml:space="preserve">kaeding, c d</t>
  </si>
  <si>
    <t xml:space="preserve">imm8625</t>
  </si>
  <si>
    <t xml:space="preserve">East African Lands Revelopment Limited</t>
  </si>
  <si>
    <t xml:space="preserve">W. E. Thomas, and to acquire and deal with mining properties.</t>
  </si>
  <si>
    <t xml:space="preserve">bengal</t>
  </si>
  <si>
    <t xml:space="preserve">thomas, w e</t>
  </si>
  <si>
    <t xml:space="preserve">india</t>
  </si>
  <si>
    <t xml:space="preserve">imm11090</t>
  </si>
  <si>
    <t xml:space="preserve">Hearreira Delvelopment Oil</t>
  </si>
  <si>
    <t xml:space="preserve">Sir E. A. Wallers, K.B.E.</t>
  </si>
  <si>
    <t xml:space="preserve">Fife Coal Company Limited</t>
  </si>
  <si>
    <t xml:space="preserve">A. D. Smith-Sligo. | J. S. Stenhouse, J.P. | C. A. Carlow, Joint Managing.</t>
  </si>
  <si>
    <t xml:space="preserve">carlow, c a</t>
  </si>
  <si>
    <t xml:space="preserve">imm5240</t>
  </si>
  <si>
    <t xml:space="preserve">Consulting Engineer W. L. White.</t>
  </si>
  <si>
    <t xml:space="preserve">white, w l</t>
  </si>
  <si>
    <t xml:space="preserve">imm7136</t>
  </si>
  <si>
    <t xml:space="preserve">Gold Fields American Development Limited</t>
  </si>
  <si>
    <t xml:space="preserve">Consulting Engineer A. F. Keene. Advisory Committee in America J. McDonnell; Baron A. de Ropp; A. F. Keene.</t>
  </si>
  <si>
    <t xml:space="preserve">keene, a f</t>
  </si>
  <si>
    <t xml:space="preserve">umn</t>
  </si>
  <si>
    <t xml:space="preserve">umn834</t>
  </si>
  <si>
    <t xml:space="preserve">Grootvle Proprietary Mines</t>
  </si>
  <si>
    <t xml:space="preserve">Consulting Engineer C. B. Kingston.</t>
  </si>
  <si>
    <t xml:space="preserve">Kamunting Tin Dredging Limited</t>
  </si>
  <si>
    <t xml:space="preserve">Genera Manager R. L. Naish. I Local A ants Sims, Darl &amp; 00., Ltd., Penang.</t>
  </si>
  <si>
    <t xml:space="preserve">naish, r l</t>
  </si>
  <si>
    <t xml:space="preserve">imm12475</t>
  </si>
  <si>
    <t xml:space="preserve">Kirkland Lake Proprietary Limited</t>
  </si>
  <si>
    <t xml:space="preserve">G. R. Bonnard, Chairman. I C. R. E. .Torgensen. I Gen. Sir B. Blood, G.C.B.</t>
  </si>
  <si>
    <t xml:space="preserve">kirkland</t>
  </si>
  <si>
    <t xml:space="preserve">blood, g s</t>
  </si>
  <si>
    <t xml:space="preserve">bachelor of science</t>
  </si>
  <si>
    <t xml:space="preserve">aime10204</t>
  </si>
  <si>
    <t xml:space="preserve">Millom And Askam Hematite Iron</t>
  </si>
  <si>
    <t xml:space="preserve">G. M. Ritchie, Chairman. I R. Heath, D.L., J.P., ice-Chairman. | J. Campbell. | F. Holt.</t>
  </si>
  <si>
    <t xml:space="preserve">ritchie, g m</t>
  </si>
  <si>
    <t xml:space="preserve">E. J. Hess. I 0. l . Pott. I D. Portell. Consulting Engineer P. M. Anderson. I Manager H. R. Hill.</t>
  </si>
  <si>
    <t xml:space="preserve">anderson, p m</t>
  </si>
  <si>
    <t xml:space="preserve">imm8316</t>
  </si>
  <si>
    <t xml:space="preserve">Mount Elliott Limited</t>
  </si>
  <si>
    <t xml:space="preserve">General Representative and Consulting Engineer W. H. Corbould.</t>
  </si>
  <si>
    <t xml:space="preserve">corbould, w h</t>
  </si>
  <si>
    <t xml:space="preserve">imm2783</t>
  </si>
  <si>
    <t xml:space="preserve">W. H. Clark. I F. W. Grookshank. I J. K. Edward.</t>
  </si>
  <si>
    <t xml:space="preserve">I . H. Quinlan. Chairman. I W. A. Thornton. | H. W- Hall.</t>
  </si>
  <si>
    <t xml:space="preserve">hall, h w</t>
  </si>
  <si>
    <t xml:space="preserve">30mit20941</t>
  </si>
  <si>
    <t xml:space="preserve">R. Goldmann, Chairman. I J. A. Cohen. | A. G. Gill. I G. Sonn,</t>
  </si>
  <si>
    <t xml:space="preserve">cohen, j a</t>
  </si>
  <si>
    <t xml:space="preserve">imm6331</t>
  </si>
  <si>
    <t xml:space="preserve">Rand Mines Deep Limited</t>
  </si>
  <si>
    <t xml:space="preserve">E. G. Izod, M.B.E., Managing.</t>
  </si>
  <si>
    <t xml:space="preserve">izod, e g</t>
  </si>
  <si>
    <t xml:space="preserve">imm8591</t>
  </si>
  <si>
    <t xml:space="preserve">Capt. J. P. Farrar, D.S.0. l L. E. B. Homsn. | Sir E. M. Clarke.</t>
  </si>
  <si>
    <t xml:space="preserve">clarke, e m</t>
  </si>
  <si>
    <t xml:space="preserve">imm2758</t>
  </si>
  <si>
    <t xml:space="preserve">Simmer Deep Limited</t>
  </si>
  <si>
    <t xml:space="preserve">D. Christopherson, C.B.E., Chairman. Lt.-Col. F. L. Brown, 13.8.0. I C. Hely Hutchinsou,M.C.</t>
  </si>
  <si>
    <t xml:space="preserve">brown, f l</t>
  </si>
  <si>
    <t xml:space="preserve">imm8385</t>
  </si>
  <si>
    <t xml:space="preserve">Sons Gwalia Limited</t>
  </si>
  <si>
    <t xml:space="preserve">E. A. Loving. | W. A. Macleod, Managing.</t>
  </si>
  <si>
    <t xml:space="preserve">macleod, w a</t>
  </si>
  <si>
    <t xml:space="preserve">imm760</t>
  </si>
  <si>
    <t xml:space="preserve">Utah Consolidated Mining Company</t>
  </si>
  <si>
    <t xml:space="preserve">H. H. Anthony. I J. W. Allen. I S. Chase. I M. Woodhull.</t>
  </si>
  <si>
    <t xml:space="preserve">allen, j w</t>
  </si>
  <si>
    <t xml:space="preserve">30mit9367</t>
  </si>
  <si>
    <t xml:space="preserve">Walter Scott Limited</t>
  </si>
  <si>
    <t xml:space="preserve">G. Linklater. | Capt. C. T. Scott. I Liout.-Col. F. R. Sim son. I J. B. Simpson, l .C.L., J.P.</t>
  </si>
  <si>
    <t xml:space="preserve">scott, c t</t>
  </si>
  <si>
    <t xml:space="preserve">colo14240</t>
  </si>
  <si>
    <t xml:space="preserve">West Springs Limited Nholl</t>
  </si>
  <si>
    <t xml:space="preserve">W. L. Honnold. | F. R. Lynch.</t>
  </si>
  <si>
    <t xml:space="preserve">lynch, f r</t>
  </si>
  <si>
    <t xml:space="preserve">imm2008</t>
  </si>
  <si>
    <t xml:space="preserve">. L. Booth, Chairman. 1 G. M. Ritchie, Deputy Chairman. I F. H. Booth, J.P. . H. Ellison, jun.</t>
  </si>
  <si>
    <t xml:space="preserve">American Trona Corpn</t>
  </si>
  <si>
    <t xml:space="preserve">R. V. White. T. E. Wing. Consulting Chemical Engineer J. E. Teeple. Secretary and Oflices A. C. Harragin, 238, Broadway, New York, U.E .A.</t>
  </si>
  <si>
    <t xml:space="preserve">teeple, j e</t>
  </si>
  <si>
    <t xml:space="preserve">Chislet Colliery Limited</t>
  </si>
  <si>
    <t xml:space="preserve">Manager A. G. Brown. Secretary and Offices F. W. Ellis, 11-12, Pall Mall, S.W. 1.</t>
  </si>
  <si>
    <t xml:space="preserve">brown, a g</t>
  </si>
  <si>
    <t xml:space="preserve">imm11285</t>
  </si>
  <si>
    <t xml:space="preserve">Davis And Sons Limited</t>
  </si>
  <si>
    <t xml:space="preserve">Sir L. W. Llewelyn, K.B.E. I D. R Llewellyn.</t>
  </si>
  <si>
    <t xml:space="preserve">lewelyn, l w</t>
  </si>
  <si>
    <t xml:space="preserve">imm4805</t>
  </si>
  <si>
    <t xml:space="preserve">Gatra Mining Limited</t>
  </si>
  <si>
    <t xml:space="preserve">H. Newhouse, Chairman. I 0. Davies. I I. Lewis. | F. R. Lynch. | A. F. Mullins.</t>
  </si>
  <si>
    <t xml:space="preserve">newhouse</t>
  </si>
  <si>
    <t xml:space="preserve">Lake View Investment Rust Limited</t>
  </si>
  <si>
    <t xml:space="preserve">General Mgalnagers m W.A. Bewick, Moreing A: 0. Mine Manager H. E. Vail, Fimiston, W.A.</t>
  </si>
  <si>
    <t xml:space="preserve">vail, h e</t>
  </si>
  <si>
    <t xml:space="preserve">imm3390</t>
  </si>
  <si>
    <t xml:space="preserve">Lucky Tiger Combination Gold Mining</t>
  </si>
  <si>
    <t xml:space="preserve">General Manager L. R. Budrow, Douglas, Arizona. Mine Manager R. I . Mishler, Esqueda, Sanora, Mexicc.</t>
  </si>
  <si>
    <t xml:space="preserve">budrow, l r</t>
  </si>
  <si>
    <t xml:space="preserve">imm8984</t>
  </si>
  <si>
    <t xml:space="preserve">W. J. Payne.</t>
  </si>
  <si>
    <t xml:space="preserve">payne, w j</t>
  </si>
  <si>
    <t xml:space="preserve">aime92188</t>
  </si>
  <si>
    <t xml:space="preserve">Gonsulting Engineer C. R. Pinder, M.1nst.M.M, Assistant Manager J. Vincent. l Mine Ofice El Oro, Mexico. Paris Secretary and Oflices E. Heisch, 18, Rue Chauveau-Lngarde. Secretary and Oflioes H. Porter, 2, St. Helen s Place, E.C. 3.</t>
  </si>
  <si>
    <t xml:space="preserve">pinder, c r</t>
  </si>
  <si>
    <t xml:space="preserve">imm921</t>
  </si>
  <si>
    <t xml:space="preserve">Mineral Properties Syndicate Limited</t>
  </si>
  <si>
    <t xml:space="preserve">Beddent Engineer K. W. M. Middleton. Secretary and Omces H. R. Green, 4, Broad Street Place, E.O. 2.</t>
  </si>
  <si>
    <t xml:space="preserve">middleton, k w</t>
  </si>
  <si>
    <t xml:space="preserve">imm8726</t>
  </si>
  <si>
    <t xml:space="preserve">New Primrose Gold Mining Limited</t>
  </si>
  <si>
    <t xml:space="preserve">.. Metallurgist H. A. B. Leipner. Local Secretary and Offices F. W Robinson, Reefton, Ne Zealand. Acting Secretary and Oflices O. M. Panton, Finsh ry House, Bimihcld Street, E.C.</t>
  </si>
  <si>
    <t xml:space="preserve">leipner, h a</t>
  </si>
  <si>
    <t xml:space="preserve">imm4094</t>
  </si>
  <si>
    <t xml:space="preserve">Robinsobi Gold Mining Limited</t>
  </si>
  <si>
    <t xml:space="preserve">Box 145, Johannesburg. Mine Manager G. H. Smith. Secretaries and Ofi068-hand Mines, Ltd., The Corner House.Box 1145, Johannesburg.</t>
  </si>
  <si>
    <t xml:space="preserve">smith, g h</t>
  </si>
  <si>
    <t xml:space="preserve">imm1072</t>
  </si>
  <si>
    <t xml:space="preserve">General Manager N. S. Kelsey.</t>
  </si>
  <si>
    <t xml:space="preserve">kelsey, n s</t>
  </si>
  <si>
    <t xml:space="preserve">imm10753</t>
  </si>
  <si>
    <t xml:space="preserve">United Tin Syndicate Limited</t>
  </si>
  <si>
    <t xml:space="preserve">S. J. Jennings, Vice-President in Charge of Exploration and Mining Investment.</t>
  </si>
  <si>
    <t xml:space="preserve">jennings, s j</t>
  </si>
  <si>
    <t xml:space="preserve">E. O. Hazlett. l J. C. McGeorge. l 0. Morris. | W. D. Stewart. Engines: s L. D. McGeovze and E. Gillnw. General Manager W. A. Flavell.</t>
  </si>
  <si>
    <t xml:space="preserve">flavell, w a</t>
  </si>
  <si>
    <t xml:space="preserve">imm10568</t>
  </si>
  <si>
    <t xml:space="preserve">Yarde Kerrl Mines Limited</t>
  </si>
  <si>
    <t xml:space="preserve">Mine Manager A. J. Laird, M.Inst.M.E. Secretary and Omoes F. .7. Wheeler 24. Coleman Street, E.C. 2.</t>
  </si>
  <si>
    <t xml:space="preserve">coleman</t>
  </si>
  <si>
    <t xml:space="preserve">laird, a j</t>
  </si>
  <si>
    <t xml:space="preserve">imm10778</t>
  </si>
  <si>
    <t xml:space="preserve">F. H. Booth, J.P.</t>
  </si>
  <si>
    <t xml:space="preserve">Etna Colliery Company Limited</t>
  </si>
  <si>
    <t xml:space="preserve">R. T. Bayliss, Chairman and Managing. | J. R. Maguire. I J. E. D. Ryder.</t>
  </si>
  <si>
    <t xml:space="preserve">bayliss, r t</t>
  </si>
  <si>
    <t xml:space="preserve">aime6840</t>
  </si>
  <si>
    <t xml:space="preserve">French Iron Ore Limited</t>
  </si>
  <si>
    <t xml:space="preserve">F. A. E. Samuelson. I E. Steer, 0.11.. J.P. l 13. Talbot, JP. | W. Thorneycroft.</t>
  </si>
  <si>
    <t xml:space="preserve">samuelson, f a</t>
  </si>
  <si>
    <t xml:space="preserve">Gold Field Rhodesian Development Limited</t>
  </si>
  <si>
    <t xml:space="preserve">Consulting Engineer C. E. Parsons.</t>
  </si>
  <si>
    <t xml:space="preserve">parsons, c e</t>
  </si>
  <si>
    <t xml:space="preserve">imm8785</t>
  </si>
  <si>
    <t xml:space="preserve">Directors Qualification, 250 shares . S. B. Joel, J.P., Permanent Chairman. I J. E Evans, C.M.G. J. Friedlander. I J. 13. Joel, J.P.</t>
  </si>
  <si>
    <t xml:space="preserve">evans, j e</t>
  </si>
  <si>
    <t xml:space="preserve">aime35790</t>
  </si>
  <si>
    <t xml:space="preserve">Manager P. J R. Waugh. | Mining Engineers Osborne a Chappel. Agents and Secretaries and Oflices Guthrie &amp; 00., Ltd., 5, Whittington Avenue, E.C. 3.</t>
  </si>
  <si>
    <t xml:space="preserve">waugh, p j</t>
  </si>
  <si>
    <t xml:space="preserve">imm11928</t>
  </si>
  <si>
    <t xml:space="preserve">Mme Manager H. E. Vail, FimibtOD, W.A.</t>
  </si>
  <si>
    <t xml:space="preserve">Llwyn Llafrod Anthracite Collieries Limited</t>
  </si>
  <si>
    <t xml:space="preserve">T. A. Morgan.</t>
  </si>
  <si>
    <t xml:space="preserve">morgan, t a</t>
  </si>
  <si>
    <t xml:space="preserve">imm2121</t>
  </si>
  <si>
    <t xml:space="preserve">Lonely Reef Gold Mining Co Limited</t>
  </si>
  <si>
    <t xml:space="preserve">Mine Manager B. W. Durham. I Mine Oflice Loneiy P.0., Rhodesia. Secretary and Ofllces A. D. Owen, Stafford House, King William Street, E.C. 4.</t>
  </si>
  <si>
    <t xml:space="preserve">durham, b w</t>
  </si>
  <si>
    <t xml:space="preserve">imm10548</t>
  </si>
  <si>
    <t xml:space="preserve">Malayan Chamber Mines</t>
  </si>
  <si>
    <t xml:space="preserve">Directors Qualification, �250 . Sir E. W. Birch, K.C.M.G., Chairman. I S. H. B. Blandy. | Wv J. Payne. | C. V. Stephens Consulting Engineers F. W. &amp; R. Payne, 62, London Wall, 11.0. 2.</t>
  </si>
  <si>
    <t xml:space="preserve">Mashqnaland Consolidated Limited</t>
  </si>
  <si>
    <t xml:space="preserve">H. L. Stokes, Chairman and Managing . 1 Sir E. H. Dunning.</t>
  </si>
  <si>
    <t xml:space="preserve">Nundydroog Mines Limited</t>
  </si>
  <si>
    <t xml:space="preserve">Major-Gen. S. C. J. de Lothiniere, C.B., 0.8.1., 0.1 E. I H. J. Taylor.</t>
  </si>
  <si>
    <t xml:space="preserve">taylor, h j</t>
  </si>
  <si>
    <t xml:space="preserve">bachelor science</t>
  </si>
  <si>
    <t xml:space="preserve">rs4593</t>
  </si>
  <si>
    <t xml:space="preserve">Ooregum Gold Mining Company</t>
  </si>
  <si>
    <t xml:space="preserve">anagers John Taylor a Sons, 5 and 6, Queen Street Place, EC. 4. Mme Superintendent H. M. A. Cooke, M.Inst.M.M., M.A.Inst.M.E.,</t>
  </si>
  <si>
    <t xml:space="preserve">queen street place</t>
  </si>
  <si>
    <t xml:space="preserve">cooke, h m</t>
  </si>
  <si>
    <t xml:space="preserve">imm2779</t>
  </si>
  <si>
    <t xml:space="preserve">A. H. Collbran.</t>
  </si>
  <si>
    <t xml:space="preserve">collbran, a h</t>
  </si>
  <si>
    <t xml:space="preserve">colo1024</t>
  </si>
  <si>
    <t xml:space="preserve">Tronoh Mines Limited</t>
  </si>
  <si>
    <t xml:space="preserve">TRONOH MINES, LTD. Directors Qualification, £500 . 0. V. Thomas, Chairman. I S. H. Moore. | F. D. Osborne. | W. J. Payne.</t>
  </si>
  <si>
    <t xml:space="preserve">basinghall street e</t>
  </si>
  <si>
    <t xml:space="preserve">osborne, f d</t>
  </si>
  <si>
    <t xml:space="preserve">imm4886</t>
  </si>
  <si>
    <t xml:space="preserve">Directors F. W. Bradley, President; A. B. Dams Vice-President; F. A. Hammersmith;</t>
  </si>
  <si>
    <t xml:space="preserve">Consulting En ineer P. R. Bradley. Superintendent L. H. Metsgar.</t>
  </si>
  <si>
    <t xml:space="preserve">treadwell</t>
  </si>
  <si>
    <t xml:space="preserve">metsgar, l h</t>
  </si>
  <si>
    <t xml:space="preserve">imm10863</t>
  </si>
  <si>
    <t xml:space="preserve">Manager J. W. Robinson, Sturry, near Canterbury.</t>
  </si>
  <si>
    <t xml:space="preserve">robinson, j w</t>
  </si>
  <si>
    <t xml:space="preserve">imm12593</t>
  </si>
  <si>
    <t xml:space="preserve">East Rand Gold Coal And</t>
  </si>
  <si>
    <t xml:space="preserve">Mine Manager A. G. Maclatchy, Vischkuil, Heidelberg, Transvaal.</t>
  </si>
  <si>
    <t xml:space="preserve">maclatchy, a g</t>
  </si>
  <si>
    <t xml:space="preserve">germany</t>
  </si>
  <si>
    <t xml:space="preserve">imm3307</t>
  </si>
  <si>
    <t xml:space="preserve">Evans And Reid Coal</t>
  </si>
  <si>
    <t xml:space="preserve">R. T. Bayliss, Chairman and Managing. I J. R. Maguire. | J. E. D. Ryder.</t>
  </si>
  <si>
    <t xml:space="preserve">madison</t>
  </si>
  <si>
    <t xml:space="preserve">Graigola Merthyr Company Limited</t>
  </si>
  <si>
    <t xml:space="preserve">33-36, King William Street, E.C. 4. General Manager R. V. Price. | Commercial Manager G. E. Thomas. Secretary and Ofl lces D. J. Grilnths, 5, Cambrian Place, Swansea.</t>
  </si>
  <si>
    <t xml:space="preserve">thomas, g e</t>
  </si>
  <si>
    <t xml:space="preserve">imm10224</t>
  </si>
  <si>
    <t xml:space="preserve">Inspiration Consolidated Copper Company</t>
  </si>
  <si>
    <t xml:space="preserve">C. F . Kelley, Presidmf. | W. D. Thornton, Vice-President. | L. D. Ricketts, Vice-Pram</t>
  </si>
  <si>
    <t xml:space="preserve">thornton, w d</t>
  </si>
  <si>
    <t xml:space="preserve">aime117645</t>
  </si>
  <si>
    <t xml:space="preserve">Itabira Iron Ore Company Limited</t>
  </si>
  <si>
    <t xml:space="preserve">R. Grant, junr, | Sir A. E. Harris, K.B.E. I F. W. Lund. I F. A. E. Samuelson.</t>
  </si>
  <si>
    <t xml:space="preserve">General Manager H. E. Allen. Box 58, Krugersdorp. Transvaal. Johannesburg Secretary and Ofl lces H. Williams, 109-112, Consolidated Building. Secretary and Oflices W. Smith, Finsbury Pavement House, Moorgate, EC. 2.</t>
  </si>
  <si>
    <t xml:space="preserve">allen, h e</t>
  </si>
  <si>
    <t xml:space="preserve">colo5959</t>
  </si>
  <si>
    <t xml:space="preserve">W. T. Graham, LP. I R. W. Ffennell. I J. L. Siddall,</t>
  </si>
  <si>
    <t xml:space="preserve">graham, w t</t>
  </si>
  <si>
    <t xml:space="preserve">colo9382</t>
  </si>
  <si>
    <t xml:space="preserve">Powell Duffryn Steam Coal Limited</t>
  </si>
  <si>
    <t xml:space="preserve">Commercial Manager W. R. Harm, Bute Docks, Cardiff.</t>
  </si>
  <si>
    <t xml:space="preserve">harm, w r</t>
  </si>
  <si>
    <t xml:space="preserve">imm9737</t>
  </si>
  <si>
    <t xml:space="preserve">Randfontein Central Gold Mining Limited</t>
  </si>
  <si>
    <t xml:space="preserve">S. B. Joel, J.P. l W. J. Benson, 0.3.1 . I 1 . Honey. Consulting Engineer Prof. J. G. Lawn, C.B.E., M.lnst.M.M.</t>
  </si>
  <si>
    <t xml:space="preserve">Walhl Gold Mining Limited</t>
  </si>
  <si>
    <t xml:space="preserve">Underground Manager J. L. Gilmour.</t>
  </si>
  <si>
    <t xml:space="preserve">gilmour, j l</t>
  </si>
  <si>
    <t xml:space="preserve">imm8495</t>
  </si>
  <si>
    <t xml:space="preserve">Willough Consolidated Limited</t>
  </si>
  <si>
    <t xml:space="preserve">Consultin Engineer B. L. Gardiner, Box 220, Bulawayo. Secretary and flices G. R. Saunders,</t>
  </si>
  <si>
    <t xml:space="preserve">gardiner, b l</t>
  </si>
  <si>
    <t xml:space="preserve">imm10581</t>
  </si>
  <si>
    <t xml:space="preserve">J. Directors Qualification, £500 . L. Booth, Chairman. I G. M. Ritchie, Deputy Chairman. I F. H. Booth, JP.</t>
  </si>
  <si>
    <t xml:space="preserve">amm25927</t>
  </si>
  <si>
    <t xml:space="preserve">Inspiration Consolidated Copper Co. Miami. Ahd</t>
  </si>
  <si>
    <t xml:space="preserve">D. A. Welch, Butte, Montana, Purchasing Agent.</t>
  </si>
  <si>
    <t xml:space="preserve">montana </t>
  </si>
  <si>
    <t xml:space="preserve">welch, d a</t>
  </si>
  <si>
    <t xml:space="preserve">colo15822</t>
  </si>
  <si>
    <t xml:space="preserve">amm25938</t>
  </si>
  <si>
    <t xml:space="preserve">Anaconda Copper M. Co.</t>
  </si>
  <si>
    <t xml:space="preserve">Louis R. Wallace. Superintendent.</t>
  </si>
  <si>
    <t xml:space="preserve">wallace, l r</t>
  </si>
  <si>
    <t xml:space="preserve">colo5325</t>
  </si>
  <si>
    <t xml:space="preserve">amm29326</t>
  </si>
  <si>
    <t xml:space="preserve">American Smelting &amp; Refining Co.</t>
  </si>
  <si>
    <t xml:space="preserve">(Subsidiary of American Smelting &amp; Refining Co., New York.) Operating Office, First National Building, Denver. Lincoln G. Eakins, Denver, General Mgr. Colorado Department.</t>
  </si>
  <si>
    <t xml:space="preserve">General Mgr</t>
  </si>
  <si>
    <t xml:space="preserve">eakins, l g</t>
  </si>
  <si>
    <t xml:space="preserve">imm7815</t>
  </si>
  <si>
    <t xml:space="preserve">amm32634</t>
  </si>
  <si>
    <t xml:space="preserve">Cleveland Cliffs Iron Co. Ishpeming. Ahd</t>
  </si>
  <si>
    <t xml:space="preserve">Lucien Eaton, lshpeming, Superintendent Cliffs Shaft, Imperial,</t>
  </si>
  <si>
    <t xml:space="preserve">eaton, l</t>
  </si>
  <si>
    <t xml:space="preserve">ama2753</t>
  </si>
  <si>
    <t xml:space="preserve">amm35149</t>
  </si>
  <si>
    <t xml:space="preserve">Nevada Bunker Hill Mining Co. Bullion. Lgp</t>
  </si>
  <si>
    <t xml:space="preserve">Frederick Davis, Vice-President and Manager.</t>
  </si>
  <si>
    <t xml:space="preserve">davis, f</t>
  </si>
  <si>
    <t xml:space="preserve">ama2361</t>
  </si>
  <si>
    <t xml:space="preserve">amm37013</t>
  </si>
  <si>
    <t xml:space="preserve">Ofer Gold Mining Co. Deadwood. Fgp</t>
  </si>
  <si>
    <t xml:space="preserve">W. S. Elder, General Manager.</t>
  </si>
  <si>
    <t xml:space="preserve">elder, w s</t>
  </si>
  <si>
    <t xml:space="preserve">ama2807</t>
  </si>
  <si>
    <t xml:space="preserve">amm39868</t>
  </si>
  <si>
    <t xml:space="preserve">Peterson Lake Silver Cobalt Mining Co. Cobalt. Chd</t>
  </si>
  <si>
    <t xml:space="preserve">Robert B. Lamb, Traders Bank Bdg., Toronto, Consulting Engineer.</t>
  </si>
  <si>
    <t xml:space="preserve">lamb, r b</t>
  </si>
  <si>
    <t xml:space="preserve">ama4935</t>
  </si>
  <si>
    <t xml:space="preserve">amm49271</t>
  </si>
  <si>
    <t xml:space="preserve">Granby Consolidated Mining Smelting &amp; Power Co. Limited Vancouver. Ahd</t>
  </si>
  <si>
    <t xml:space="preserve">Edward Everett, Secretary; George W. Wooster, Treasurer.</t>
  </si>
  <si>
    <t xml:space="preserve">everett </t>
  </si>
  <si>
    <t xml:space="preserve">everett, e</t>
  </si>
  <si>
    <t xml:space="preserve">ama2933</t>
  </si>
  <si>
    <t xml:space="preserve">amm49491</t>
  </si>
  <si>
    <t xml:space="preserve">Placer Gold Mines Co. Atlin. Fgp</t>
  </si>
  <si>
    <t xml:space="preserve">Charles F. Leonard, Superintendent.</t>
  </si>
  <si>
    <t xml:space="preserve">leonard, c f</t>
  </si>
  <si>
    <t xml:space="preserve">wo2179</t>
  </si>
  <si>
    <t xml:space="preserve">amm50746</t>
  </si>
  <si>
    <t xml:space="preserve">Nicoya Mining Co. San Jose</t>
  </si>
  <si>
    <t xml:space="preserve">Frank H. Sistermans, San Jose, General Manager.</t>
  </si>
  <si>
    <t xml:space="preserve">sistermans, f h</t>
  </si>
  <si>
    <t xml:space="preserve">ama7728</t>
  </si>
  <si>
    <t xml:space="preserve">amm50914</t>
  </si>
  <si>
    <t xml:space="preserve">Davison Sulphur &amp; Phosphate Co. Cumanayagua Ch</t>
  </si>
  <si>
    <t xml:space="preserve">Edwin C. Holden, Baltimore, General Manager.</t>
  </si>
  <si>
    <t xml:space="preserve">baltimore </t>
  </si>
  <si>
    <t xml:space="preserve">holden, e c</t>
  </si>
  <si>
    <t xml:space="preserve">csm1353</t>
  </si>
  <si>
    <t xml:space="preserve">amm50915</t>
  </si>
  <si>
    <t xml:space="preserve">Chester A. Fulton, Cumanayaga, Manager.</t>
  </si>
  <si>
    <t xml:space="preserve">fulton, c a</t>
  </si>
  <si>
    <t xml:space="preserve">csm1943</t>
  </si>
  <si>
    <t xml:space="preserve">amm54169</t>
  </si>
  <si>
    <t xml:space="preserve">Amparo Mining Co. Etzatlan. Dhd</t>
  </si>
  <si>
    <t xml:space="preserve">James H. Howard, E. M., Etzatlan, General Manager.</t>
  </si>
  <si>
    <t xml:space="preserve">howard, j h</t>
  </si>
  <si>
    <t xml:space="preserve">aime57203</t>
  </si>
  <si>
    <t xml:space="preserve">amm55106</t>
  </si>
  <si>
    <t xml:space="preserve">Subsidiary Of Braden Copper Mines Co. Equitable Bldg. New York.</t>
  </si>
  <si>
    <t xml:space="preserve">Stephen Birch, New York, Vice President.</t>
  </si>
  <si>
    <t xml:space="preserve">birch, s</t>
  </si>
  <si>
    <t xml:space="preserve">ama897</t>
  </si>
  <si>
    <t xml:space="preserve">amm56807</t>
  </si>
  <si>
    <t xml:space="preserve">Arizona Commercial Mining Co. Globe. Dhd</t>
  </si>
  <si>
    <t xml:space="preserve">Harold C. Plummer, Globe, Arizona, Superintendent.</t>
  </si>
  <si>
    <t xml:space="preserve">plummer, h c</t>
  </si>
  <si>
    <t xml:space="preserve">mitg18192</t>
  </si>
  <si>
    <t xml:space="preserve">amm56811</t>
  </si>
  <si>
    <t xml:space="preserve">A. W. Davis, Prescott, Arizona, President.</t>
  </si>
  <si>
    <t xml:space="preserve">davis, a w</t>
  </si>
  <si>
    <t xml:space="preserve">imm6363</t>
  </si>
  <si>
    <t xml:space="preserve">amm56860</t>
  </si>
  <si>
    <t xml:space="preserve">Ccontrolled By Ray Hercules Copper Co. Broad St. New York.</t>
  </si>
  <si>
    <t xml:space="preserve">Frank C. Armstrong, President: W. P. Maloney, Secretary.</t>
  </si>
  <si>
    <t xml:space="preserve">armstrong, f c</t>
  </si>
  <si>
    <t xml:space="preserve">ama479</t>
  </si>
  <si>
    <t xml:space="preserve">amm59087</t>
  </si>
  <si>
    <t xml:space="preserve">Mason Valley Mines Co.</t>
  </si>
  <si>
    <t xml:space="preserve">F. W. Guernsey, Thompson. Nevada. General Manager.</t>
  </si>
  <si>
    <t xml:space="preserve">guernsey, f w</t>
  </si>
  <si>
    <t xml:space="preserve">aime47872</t>
  </si>
  <si>
    <t xml:space="preserve">amm59960</t>
  </si>
  <si>
    <t xml:space="preserve">Solvay Process Co. Borosolvay. Ahd</t>
  </si>
  <si>
    <t xml:space="preserve">E. L. Pierce. Syracuse, N. Y., Pres.; L. Khrumbhoar, Secretary.</t>
  </si>
  <si>
    <t xml:space="preserve">syracuse </t>
  </si>
  <si>
    <t xml:space="preserve">pierce, e l</t>
  </si>
  <si>
    <t xml:space="preserve">03mit428</t>
  </si>
  <si>
    <t xml:space="preserve">amm61606</t>
  </si>
  <si>
    <t xml:space="preserve">Portland Gold Mining Co. Victor. Ahd</t>
  </si>
  <si>
    <t xml:space="preserve">George M. Taylor, Colorado Springs, General Manager.</t>
  </si>
  <si>
    <t xml:space="preserve">taylor, g m</t>
  </si>
  <si>
    <t xml:space="preserve">aime115923</t>
  </si>
  <si>
    <t xml:space="preserve">amm65406</t>
  </si>
  <si>
    <t xml:space="preserve">Judson Mining Co. Alpha. Dgp</t>
  </si>
  <si>
    <t xml:space="preserve">Alfred Martin, Crystal Falls, Michigan, Superintendent.</t>
  </si>
  <si>
    <t xml:space="preserve">martin, a</t>
  </si>
  <si>
    <t xml:space="preserve">ama5478</t>
  </si>
  <si>
    <t xml:space="preserve">amm67772</t>
  </si>
  <si>
    <t xml:space="preserve">Gold Canyon Dredging Co. Dayton. Dhd</t>
  </si>
  <si>
    <t xml:space="preserve">Bulkeley Wells, San Francisco. President and General Manager.</t>
  </si>
  <si>
    <t xml:space="preserve">wells, b</t>
  </si>
  <si>
    <t xml:space="preserve">ama8928</t>
  </si>
  <si>
    <t xml:space="preserve">amm68180</t>
  </si>
  <si>
    <t xml:space="preserve">Ccontrolled By Utah Copper Co. Broad Street New York.</t>
  </si>
  <si>
    <t xml:space="preserve">J. C. Kinnear. McGill, Nevada, Smelter Superintendent.</t>
  </si>
  <si>
    <t xml:space="preserve">kinnear, j c</t>
  </si>
  <si>
    <t xml:space="preserve">30mit16405</t>
  </si>
  <si>
    <t xml:space="preserve">amm68723</t>
  </si>
  <si>
    <t xml:space="preserve">Virginia Louise Mining Co. Pioche. Lgp</t>
  </si>
  <si>
    <t xml:space="preserve">Lewis G. Gillett. Pioche, Nevada, Superintendent.</t>
  </si>
  <si>
    <t xml:space="preserve">gillett, l g</t>
  </si>
  <si>
    <t xml:space="preserve">30mit13281</t>
  </si>
  <si>
    <t xml:space="preserve">amm68821</t>
  </si>
  <si>
    <t xml:space="preserve">American Smelting Q. Refining Co. Maurer. Ahd</t>
  </si>
  <si>
    <t xml:space="preserve">John F. Austin, Maurer. New Jersey, General Manager.</t>
  </si>
  <si>
    <t xml:space="preserve">austin </t>
  </si>
  <si>
    <t xml:space="preserve">austin, j f</t>
  </si>
  <si>
    <t xml:space="preserve">30mit32926</t>
  </si>
  <si>
    <t xml:space="preserve">amm68979</t>
  </si>
  <si>
    <t xml:space="preserve">American Metal Co.</t>
  </si>
  <si>
    <t xml:space="preserve">F. Y. Robertson, New York, Vice-Pres. and General Manager.</t>
  </si>
  <si>
    <t xml:space="preserve">robertson, f y</t>
  </si>
  <si>
    <t xml:space="preserve">imm10990</t>
  </si>
  <si>
    <t xml:space="preserve">amm69036</t>
  </si>
  <si>
    <t xml:space="preserve">Black Hawk Cons.m Nes Co. Vanadium. Fgp</t>
  </si>
  <si>
    <t xml:space="preserve">Ira L. Wright, Silver City, New Mexico, Pres. and Gen. Manager.</t>
  </si>
  <si>
    <t xml:space="preserve">new mexico </t>
  </si>
  <si>
    <t xml:space="preserve">wright, i l</t>
  </si>
  <si>
    <t xml:space="preserve">missouri</t>
  </si>
  <si>
    <t xml:space="preserve">miss1286</t>
  </si>
  <si>
    <t xml:space="preserve">amm69955</t>
  </si>
  <si>
    <t xml:space="preserve">Rogers Brown Iron Co. Buffalo. Dhd</t>
  </si>
  <si>
    <t xml:space="preserve">Hugh Kennedy, Buffalo, Vice-President, General Manager.</t>
  </si>
  <si>
    <t xml:space="preserve">kennedy, h</t>
  </si>
  <si>
    <t xml:space="preserve">ama4707</t>
  </si>
  <si>
    <t xml:space="preserve">amm70996</t>
  </si>
  <si>
    <t xml:space="preserve">Ducktown Sulphur Copper .I. Co. Ltd. Isabella. Chd</t>
  </si>
  <si>
    <t xml:space="preserve">Incorporated, Great Britain, 1891. Stock, $1,000,000. Shares, $5.00. J. G. Gordon, Chairman; J. W. Felstead, Secretary.</t>
  </si>
  <si>
    <t xml:space="preserve">gordon, j g</t>
  </si>
  <si>
    <t xml:space="preserve">aime45806</t>
  </si>
  <si>
    <t xml:space="preserve">amm71759</t>
  </si>
  <si>
    <t xml:space="preserve">Michigan Utah Consolidated Mines Co. Alta. Lgp</t>
  </si>
  <si>
    <t xml:space="preserve">Norman W. Haire, Salt Lake City, Utah, President.</t>
  </si>
  <si>
    <t xml:space="preserve">haire, n w</t>
  </si>
  <si>
    <t xml:space="preserve">ama3721</t>
  </si>
  <si>
    <t xml:space="preserve">amm71916</t>
  </si>
  <si>
    <t xml:space="preserve">Sioux Mines Co. Mammoth. Mgp</t>
  </si>
  <si>
    <t xml:space="preserve">C. E. Loose, Provo. Utah, General Manager.</t>
  </si>
  <si>
    <t xml:space="preserve">loose, c e</t>
  </si>
  <si>
    <t xml:space="preserve">ama5268</t>
  </si>
  <si>
    <t xml:space="preserve">amm73950</t>
  </si>
  <si>
    <t xml:space="preserve">Charles F. Leonard. Atlin, British Columbia, Superintendent.</t>
  </si>
  <si>
    <t xml:space="preserve">british columbia </t>
  </si>
  <si>
    <t xml:space="preserve">amm75342</t>
  </si>
  <si>
    <t xml:space="preserve">Ccontrolled By Crown Reserve Mining Co. Limited Cobalt.</t>
  </si>
  <si>
    <t xml:space="preserve">H. J. Stewart, Cobalt, Ontario, General Manager.</t>
  </si>
  <si>
    <t xml:space="preserve">ontario </t>
  </si>
  <si>
    <t xml:space="preserve">stewart, h j</t>
  </si>
  <si>
    <t xml:space="preserve">imm10197</t>
  </si>
  <si>
    <t xml:space="preserve">amm76098</t>
  </si>
  <si>
    <t xml:space="preserve">Cusi Mexicana Mining Co. Cusihuiriachic. Mgp</t>
  </si>
  <si>
    <t xml:space="preserve">H. S. Black, New York, President; J. D. Gruver, Sec.-'l‘reasurer.</t>
  </si>
  <si>
    <t xml:space="preserve">black, h s</t>
  </si>
  <si>
    <t xml:space="preserve">wo280</t>
  </si>
  <si>
    <t xml:space="preserve">amm76444</t>
  </si>
  <si>
    <t xml:space="preserve">Cubo Mining &amp; Milling Co. Cubo. Dhd</t>
  </si>
  <si>
    <t xml:space="preserve">H. L. Hollis, Chicago, Pres. and Manager; A. Hunter, Secretary.</t>
  </si>
  <si>
    <t xml:space="preserve">chicago </t>
  </si>
  <si>
    <t xml:space="preserve">hollis, h l</t>
  </si>
  <si>
    <t xml:space="preserve">aime55873</t>
  </si>
  <si>
    <t xml:space="preserve">amm78070</t>
  </si>
  <si>
    <t xml:space="preserve">Castle Dome Development Co. Inspiration. Mg</t>
  </si>
  <si>
    <t xml:space="preserve">John W. Prout, Jr., Dos Cabezas, Arizona, General Superintendent.</t>
  </si>
  <si>
    <t xml:space="preserve">prout, j w</t>
  </si>
  <si>
    <t xml:space="preserve">colo16781</t>
  </si>
  <si>
    <t xml:space="preserve">amm78153</t>
  </si>
  <si>
    <t xml:space="preserve">Copper Queen Gold Mining Co. Stoddard. Mop</t>
  </si>
  <si>
    <t xml:space="preserve">E. C. Hall, Fort Worth, Texas, General Manager.</t>
  </si>
  <si>
    <t xml:space="preserve">texas </t>
  </si>
  <si>
    <t xml:space="preserve">hall, e c</t>
  </si>
  <si>
    <t xml:space="preserve">03mit928</t>
  </si>
  <si>
    <t xml:space="preserve">amm78354</t>
  </si>
  <si>
    <t xml:space="preserve">Grand Island Mining Co. Jerome. Lgp</t>
  </si>
  <si>
    <t xml:space="preserve">Charles Anderson, Jerome, Arizona, Superintendent.</t>
  </si>
  <si>
    <t xml:space="preserve">anderson, c</t>
  </si>
  <si>
    <t xml:space="preserve">ama437</t>
  </si>
  <si>
    <t xml:space="preserve">amm78491</t>
  </si>
  <si>
    <t xml:space="preserve">Controlled By United Verde Extension Mining Co. Jerome Ariz.</t>
  </si>
  <si>
    <t xml:space="preserve">George Kingdon, Jerome, Arizona, General Manager.</t>
  </si>
  <si>
    <t xml:space="preserve">kingdon, g</t>
  </si>
  <si>
    <t xml:space="preserve">ama4768</t>
  </si>
  <si>
    <t xml:space="preserve">amm79335</t>
  </si>
  <si>
    <t xml:space="preserve">United Eastern Mining Co. Oatman Ehd</t>
  </si>
  <si>
    <t xml:space="preserve">Roy W. Moore, Oatman, Arizona, General Superintendent.</t>
  </si>
  <si>
    <t xml:space="preserve">oatman </t>
  </si>
  <si>
    <t xml:space="preserve">moore, r w</t>
  </si>
  <si>
    <t xml:space="preserve">wo2538</t>
  </si>
  <si>
    <t xml:space="preserve">amm79649</t>
  </si>
  <si>
    <t xml:space="preserve">Blue Mountain Mining Co. White River. Mgp</t>
  </si>
  <si>
    <t xml:space="preserve">Rensselear H. Toll. White River, California, Superintendent.</t>
  </si>
  <si>
    <t xml:space="preserve">toll, r h</t>
  </si>
  <si>
    <t xml:space="preserve">ama8470</t>
  </si>
  <si>
    <t xml:space="preserve">amm79847</t>
  </si>
  <si>
    <t xml:space="preserve">Darwin Silver Co. Darwin. Fhd Office Room South Dearborn Street Chicago Illinois.</t>
  </si>
  <si>
    <t xml:space="preserve">A. G. Kirby, Darwin, California, General Manager.</t>
  </si>
  <si>
    <t xml:space="preserve">darwin </t>
  </si>
  <si>
    <t xml:space="preserve">kirby, a g</t>
  </si>
  <si>
    <t xml:space="preserve">imm4065</t>
  </si>
  <si>
    <t xml:space="preserve">amm80066</t>
  </si>
  <si>
    <t xml:space="preserve">Golden Center Of G.v. Mining Co. Grass Valley. Mgp</t>
  </si>
  <si>
    <t xml:space="preserve">Rodney McCormick, President: J. W. Howard, Secretary.</t>
  </si>
  <si>
    <t xml:space="preserve">mccormick, r</t>
  </si>
  <si>
    <t xml:space="preserve">ama5601</t>
  </si>
  <si>
    <t xml:space="preserve">amm80595</t>
  </si>
  <si>
    <t xml:space="preserve">Patterson Mining Co. Tuttletown. Mgp</t>
  </si>
  <si>
    <t xml:space="preserve">John L. Whitney, Tuttletown. California. Superintendent.</t>
  </si>
  <si>
    <t xml:space="preserve">whitney, j l</t>
  </si>
  <si>
    <t xml:space="preserve">ama9009</t>
  </si>
  <si>
    <t xml:space="preserve">amm80609</t>
  </si>
  <si>
    <t xml:space="preserve">Penn Mining Co. Campo Seco. Ehd</t>
  </si>
  <si>
    <t xml:space="preserve">Alfred P. Busey, Jr., Campo Seco, General Manager.</t>
  </si>
  <si>
    <t xml:space="preserve">busey, a p</t>
  </si>
  <si>
    <t xml:space="preserve">colo16481</t>
  </si>
  <si>
    <t xml:space="preserve">amm80619</t>
  </si>
  <si>
    <t xml:space="preserve">Reverberatory Furnaces And Copper Converter. Men. Philadelphia Exploration Co. Crescent Mills. Dhd</t>
  </si>
  <si>
    <t xml:space="preserve">Albert Burch, Crocker Building, San Francisco, General Manager.</t>
  </si>
  <si>
    <t xml:space="preserve">burch, a</t>
  </si>
  <si>
    <t xml:space="preserve">ama1378</t>
  </si>
  <si>
    <t xml:space="preserve">amm81393</t>
  </si>
  <si>
    <t xml:space="preserve">Atlas Mining . Milling Co. Sneffles. Fgp</t>
  </si>
  <si>
    <t xml:space="preserve">Frederick Carroll, Sneflles, General Manager.</t>
  </si>
  <si>
    <t xml:space="preserve">carroll, f</t>
  </si>
  <si>
    <t xml:space="preserve">ama1623</t>
  </si>
  <si>
    <t xml:space="preserve">amm82177</t>
  </si>
  <si>
    <t xml:space="preserve">Mmmo Development Co. Cripple Creek. Mgp</t>
  </si>
  <si>
    <t xml:space="preserve">Frank M. Kurie, Cripple Creek. Colorado, Vice-Pres, Manager.</t>
  </si>
  <si>
    <t xml:space="preserve">kurie, f m</t>
  </si>
  <si>
    <t xml:space="preserve">ama4886</t>
  </si>
  <si>
    <t xml:space="preserve">amm82806</t>
  </si>
  <si>
    <t xml:space="preserve">United Metals Co. Lake City. Mgp</t>
  </si>
  <si>
    <t xml:space="preserve">H. N. Nichols, Chicago, President; Milton 0. Payne, Secretary.</t>
  </si>
  <si>
    <t xml:space="preserve">nichols, h n</t>
  </si>
  <si>
    <t xml:space="preserve">ama6239</t>
  </si>
  <si>
    <t xml:space="preserve">amm83723</t>
  </si>
  <si>
    <t xml:space="preserve">Sierra Nevada Consolidated Mining Co. Kellogg.</t>
  </si>
  <si>
    <t xml:space="preserve">Stanly A. Easton, Kellogg, Idaho. President and Manager.</t>
  </si>
  <si>
    <t xml:space="preserve">easton </t>
  </si>
  <si>
    <t xml:space="preserve">easton, s a</t>
  </si>
  <si>
    <t xml:space="preserve">aime33611</t>
  </si>
  <si>
    <t xml:space="preserve">amm83864</t>
  </si>
  <si>
    <t xml:space="preserve">Giant Ledge Mining Co. Murray. Lgp</t>
  </si>
  <si>
    <t xml:space="preserve">John H. Taylor, Spokane, President; W. W. Johnston, Secretary.</t>
  </si>
  <si>
    <t xml:space="preserve">taylor, j h</t>
  </si>
  <si>
    <t xml:space="preserve">imm2403</t>
  </si>
  <si>
    <t xml:space="preserve">amm84650</t>
  </si>
  <si>
    <t xml:space="preserve">Elm Orlu Mining Company</t>
  </si>
  <si>
    <t xml:space="preserve">William N. Rossberg, Butte, Montana, Mine Manager.</t>
  </si>
  <si>
    <t xml:space="preserve">rossberg, w n</t>
  </si>
  <si>
    <t xml:space="preserve">ama7324</t>
  </si>
  <si>
    <t xml:space="preserve">amm85528</t>
  </si>
  <si>
    <t xml:space="preserve">Florence Divide Mining Co. Goldfield. Mgp</t>
  </si>
  <si>
    <t xml:space="preserve">J. H. Miller, Hawthorne, Nevada, Pres: J. E. Adams, Secretary.</t>
  </si>
  <si>
    <t xml:space="preserve">miller, j h</t>
  </si>
  <si>
    <t xml:space="preserve">aime81128</t>
  </si>
  <si>
    <t xml:space="preserve">amm85882</t>
  </si>
  <si>
    <t xml:space="preserve">W. S. Larsh. Ruth, Nevada, Underground Superintendent.</t>
  </si>
  <si>
    <t xml:space="preserve">larsh, w s</t>
  </si>
  <si>
    <t xml:space="preserve">colo16673</t>
  </si>
  <si>
    <t xml:space="preserve">amm86534</t>
  </si>
  <si>
    <t xml:space="preserve">Cooperative Mining Co. Lordsburg. Mgp</t>
  </si>
  <si>
    <t xml:space="preserve">H. C. Walter, Lordsburg, New Mexico, Mill Superintendent.</t>
  </si>
  <si>
    <t xml:space="preserve">lordsburg </t>
  </si>
  <si>
    <t xml:space="preserve">walter, h c</t>
  </si>
  <si>
    <t xml:space="preserve">wo3861</t>
  </si>
  <si>
    <t xml:space="preserve">amm86860</t>
  </si>
  <si>
    <t xml:space="preserve">Santa Fe Gold &amp; Copper Co. Broadway N.y. Owner.</t>
  </si>
  <si>
    <t xml:space="preserve">Walter Douglas, 99 John Street, New York, President.</t>
  </si>
  <si>
    <t xml:space="preserve">douglas, w</t>
  </si>
  <si>
    <t xml:space="preserve">ama2567</t>
  </si>
  <si>
    <t xml:space="preserve">amm87951</t>
  </si>
  <si>
    <t xml:space="preserve">Stibnite Mining Co. Ogden. Lgp</t>
  </si>
  <si>
    <t xml:space="preserve">Henry C. Baker, Ogden, President and General Manager.</t>
  </si>
  <si>
    <t xml:space="preserve">baker, h c</t>
  </si>
  <si>
    <t xml:space="preserve">ama611</t>
  </si>
  <si>
    <t xml:space="preserve">amm88292</t>
  </si>
  <si>
    <t xml:space="preserve">Aichan Bee Silver Lead Mining Co. Spokane. Lgp</t>
  </si>
  <si>
    <t xml:space="preserve">H. M. Howard, Spokane, Washington, President, Manager.</t>
  </si>
  <si>
    <t xml:space="preserve">howard, h m</t>
  </si>
  <si>
    <t xml:space="preserve">ama4265</t>
  </si>
  <si>
    <t xml:space="preserve">amm89711</t>
  </si>
  <si>
    <t xml:space="preserve">Mccullough Iron Co. Wilmington. Dhd</t>
  </si>
  <si>
    <t xml:space="preserve">Martin E. Walker, Equitable Building, Wilmington, President.</t>
  </si>
  <si>
    <t xml:space="preserve">walker, m e</t>
  </si>
  <si>
    <t xml:space="preserve">ua47076</t>
  </si>
  <si>
    <t xml:space="preserve">amm91159</t>
  </si>
  <si>
    <t xml:space="preserve">Wolverine Copper Mining Co. Kearsarge. Chd</t>
  </si>
  <si>
    <t xml:space="preserve">Theodore Dengler, Kearsarge, Michigan, General Manager.</t>
  </si>
  <si>
    <t xml:space="preserve">dengler, t</t>
  </si>
  <si>
    <t xml:space="preserve">ama2449</t>
  </si>
  <si>
    <t xml:space="preserve">amm91567</t>
  </si>
  <si>
    <t xml:space="preserve">International Harvester Co. Hibbing Minn. Ahd</t>
  </si>
  <si>
    <t xml:space="preserve">Benjamin W. Batchelder, Hibbing, Minn., General Superintendent.</t>
  </si>
  <si>
    <t xml:space="preserve">hibbing </t>
  </si>
  <si>
    <t xml:space="preserve">batchelder, b w</t>
  </si>
  <si>
    <t xml:space="preserve">mi2741</t>
  </si>
  <si>
    <t xml:space="preserve">amm94198</t>
  </si>
  <si>
    <t xml:space="preserve">Lima Steel Casting Co. Lima. Mgp</t>
  </si>
  <si>
    <t xml:space="preserve">B. F. Thomas, Pres.; M. L. Johnson, Mgr.; F. Z. Dempster, Supt.</t>
  </si>
  <si>
    <t xml:space="preserve">thomas, b f</t>
  </si>
  <si>
    <t xml:space="preserve">wv44894</t>
  </si>
  <si>
    <t xml:space="preserve">amm94746</t>
  </si>
  <si>
    <t xml:space="preserve">American Manganese Manufacturing Co. Dunbar. Ahd</t>
  </si>
  <si>
    <t xml:space="preserve">F. J. Ryan, Pres., General Manager; S. R. Vanderbeck, Vice Pres.</t>
  </si>
  <si>
    <t xml:space="preserve">ryan, f j</t>
  </si>
  <si>
    <t xml:space="preserve">colo13999</t>
  </si>
  <si>
    <t xml:space="preserve">amm95869</t>
  </si>
  <si>
    <t xml:space="preserve">Reading Iron Co. Reading. Ah</t>
  </si>
  <si>
    <t xml:space="preserve">L. E. Thomas, Pres.; W. W. Williams, Vice Pres., General Mgr.</t>
  </si>
  <si>
    <t xml:space="preserve">thomas, l e</t>
  </si>
  <si>
    <t xml:space="preserve">40mit60582</t>
  </si>
  <si>
    <t xml:space="preserve">amm97521</t>
  </si>
  <si>
    <t xml:space="preserve">Cassiar Crown Copper Co. Telkwa. Lgp</t>
  </si>
  <si>
    <t xml:space="preserve">W. Clayton Miller, Spokane, Washington, Consulting Engineer.</t>
  </si>
  <si>
    <t xml:space="preserve">miller, w c</t>
  </si>
  <si>
    <t xml:space="preserve">aime81289</t>
  </si>
  <si>
    <t xml:space="preserve">Granby Cons. M. Sm Elting &amp;. Power Co. Ltd. Anyox. Ahd</t>
  </si>
  <si>
    <t xml:space="preserve">munroe, h s</t>
  </si>
  <si>
    <t xml:space="preserve">imm10893</t>
  </si>
  <si>
    <t xml:space="preserve">amm97861</t>
  </si>
  <si>
    <t xml:space="preserve">Puget Sound Iron Co. Van Anda. Fhd</t>
  </si>
  <si>
    <t xml:space="preserve">Arthur Goodall. San Francisco, California, President, Manager.</t>
  </si>
  <si>
    <t xml:space="preserve">goodall, a</t>
  </si>
  <si>
    <t xml:space="preserve">ama3494</t>
  </si>
  <si>
    <t xml:space="preserve">amm98899</t>
  </si>
  <si>
    <t xml:space="preserve">Mining Corporation Of Canada Limited Cobalt. Ahd</t>
  </si>
  <si>
    <t xml:space="preserve">C. E. Watson, Cobalt, Ontario, Canada, Manager.</t>
  </si>
  <si>
    <t xml:space="preserve">watson, c e</t>
  </si>
  <si>
    <t xml:space="preserve">imm6114</t>
  </si>
  <si>
    <t xml:space="preserve">amm99365</t>
  </si>
  <si>
    <t xml:space="preserve">London Rolling Mill Co. Ltd. London. Egp</t>
  </si>
  <si>
    <t xml:space="preserve">Charles H. White, Manager; J. F. White, Superintendent.</t>
  </si>
  <si>
    <t xml:space="preserve">white, c h</t>
  </si>
  <si>
    <t xml:space="preserve">30mit18696</t>
  </si>
  <si>
    <t xml:space="preserve">amm99774</t>
  </si>
  <si>
    <t xml:space="preserve">Steel Company Of Canada Ltd. Montreal. Ahd</t>
  </si>
  <si>
    <t xml:space="preserve">W. L. Hamilton, Bienfait, Saskatchewan, Manager.</t>
  </si>
  <si>
    <t xml:space="preserve">saskatchewan </t>
  </si>
  <si>
    <t xml:space="preserve">hamilton, w l</t>
  </si>
  <si>
    <t xml:space="preserve">aime49482</t>
  </si>
  <si>
    <t xml:space="preserve">Nathaniel Harris. | John Henry Ward.</t>
  </si>
  <si>
    <t xml:space="preserve">ward, j h</t>
  </si>
  <si>
    <t xml:space="preserve">30mit21461</t>
  </si>
  <si>
    <t xml:space="preserve">Malay States Tin Mines Limited</t>
  </si>
  <si>
    <t xml:space="preserve">P. Manthes, M.E. | Col. N. Noel-Allix, J.P., D.L. I H. S. Foster.</t>
  </si>
  <si>
    <t xml:space="preserve">foster, h s</t>
  </si>
  <si>
    <t xml:space="preserve">wo1170</t>
  </si>
  <si>
    <t xml:space="preserve">San Miguel Silver Mines Limited</t>
  </si>
  <si>
    <t xml:space="preserve">E Furtter Webster, CLE., Chairman. | D. F. Carmichael. | Henry Davey. | James Adames.</t>
  </si>
  <si>
    <t xml:space="preserve">webster, e f</t>
  </si>
  <si>
    <t xml:space="preserve">30mit1262</t>
  </si>
  <si>
    <t xml:space="preserve">Gijon Syndicate Limited</t>
  </si>
  <si>
    <t xml:space="preserve">William Wilson Smith.</t>
  </si>
  <si>
    <t xml:space="preserve">smith, w w</t>
  </si>
  <si>
    <t xml:space="preserve">30mit313</t>
  </si>
  <si>
    <t xml:space="preserve">P. F. P jn, J.1 . | E. M. Greene, M.L.A., K.C. 1 W. J. O Brieo, J.P. | O. Husking. J. P.</t>
  </si>
  <si>
    <t xml:space="preserve">greene, e m</t>
  </si>
  <si>
    <t xml:space="preserve">aime46979</t>
  </si>
  <si>
    <t xml:space="preserve">Pendlebury Colliery Company Limited</t>
  </si>
  <si>
    <t xml:space="preserve">Colliery at Bentley, Walsall, Staffordshire.</t>
  </si>
  <si>
    <t xml:space="preserve">bentley, c a</t>
  </si>
  <si>
    <t xml:space="preserve">ama849</t>
  </si>
  <si>
    <t xml:space="preserve">New Era Consolidated Limited</t>
  </si>
  <si>
    <t xml:space="preserve">Keegan. | W. McCallum. | W. S. Saunders.</t>
  </si>
  <si>
    <t xml:space="preserve">saunders, w s</t>
  </si>
  <si>
    <t xml:space="preserve">aime104170</t>
  </si>
  <si>
    <t xml:space="preserve">Newstead Collierymchommpany Limited</t>
  </si>
  <si>
    <t xml:space="preserve">W. N. Drew, Chairman and Managiny. | W. A. Bower. | A. J. Camwn, O.B.E.</t>
  </si>
  <si>
    <t xml:space="preserve">drew, w n</t>
  </si>
  <si>
    <t xml:space="preserve">rs7755</t>
  </si>
  <si>
    <t xml:space="preserve">Rhodesia Exploration Development Limited</t>
  </si>
  <si>
    <t xml:space="preserve">Sir H. S. Foster, J.P., D.L., F.G.S. | R. Dela Ber-e. l W. W. Clarke. 1 A. McLennan.</t>
  </si>
  <si>
    <t xml:space="preserve">sewell</t>
  </si>
  <si>
    <t xml:space="preserve">L atest price, 3s. 9d. WITBANK COLLIERY, LTD. Directors Qualification, 100 shares .</t>
  </si>
  <si>
    <t xml:space="preserve">price, l a</t>
  </si>
  <si>
    <t xml:space="preserve">colo4242</t>
  </si>
  <si>
    <t xml:space="preserve">amm84914</t>
  </si>
  <si>
    <t xml:space="preserve">St. Paul Montana Mining Co. Maiden. Fgp</t>
  </si>
  <si>
    <t xml:space="preserve">Edwin B. Coolidge, Maiden, Montana, General Manager.</t>
  </si>
  <si>
    <t xml:space="preserve">coolidge, e b</t>
  </si>
  <si>
    <t xml:space="preserve">30mit9474</t>
  </si>
  <si>
    <t xml:space="preserve">Anfargah Gold Mines Finance Limited</t>
  </si>
  <si>
    <t xml:space="preserve">V. H. Smith. Chairman. I H. E Druce. | P. Marsden. I R. C. Richards.</t>
  </si>
  <si>
    <t xml:space="preserve">richards, r c</t>
  </si>
  <si>
    <t xml:space="preserve">imm10979</t>
  </si>
  <si>
    <t xml:space="preserve">Boschoek Proprletary Company Limited</t>
  </si>
  <si>
    <t xml:space="preserve">W.P. Hamilton,Vice-President. I E. A. C. Smith, Vice-President. I S. S. Siirensen, Vice-Preu denl. .LK. Mai-.Gnwan, Vice-Pruident. W. E. Bennett. | T. Cochran. I 11.0. Havemeyer. F. Hellman. l A. Houston. I H. F. Guggenheim. | M. Kendall. | C. 1 . Ulrich.</t>
  </si>
  <si>
    <t xml:space="preserve">keystone</t>
  </si>
  <si>
    <t xml:space="preserve">smith, e a</t>
  </si>
  <si>
    <t xml:space="preserve">imm10175</t>
  </si>
  <si>
    <t xml:space="preserve">Coniagas Mines Limited</t>
  </si>
  <si>
    <t xml:space="preserve">R. W. Leonard, President. | A. Longwell, Vice-Preotdem. i H. H, Collier. R. L. Peek.</t>
  </si>
  <si>
    <t xml:space="preserve">leonard, r w</t>
  </si>
  <si>
    <t xml:space="preserve">imm683</t>
  </si>
  <si>
    <t xml:space="preserve">Consulting Engineer C. R. Davis. Box 1048, Johannesburg.</t>
  </si>
  <si>
    <t xml:space="preserve">davis, c r</t>
  </si>
  <si>
    <t xml:space="preserve">imm6364</t>
  </si>
  <si>
    <t xml:space="preserve">Sir L. W. Llewelyn, K.B.E. I Sir D. R. Llewellyn, Bart. I</t>
  </si>
  <si>
    <t xml:space="preserve">llewelyn, l w</t>
  </si>
  <si>
    <t xml:space="preserve">Head. OflIoes Consolidated Building, Box 590. Johannesburg. London Manager W. J. Benson. C.B.E. London Secretary and Oflices T. Honey. 10 and 11, Austin Friars, E.C. 2.</t>
  </si>
  <si>
    <t xml:space="preserve">Junction Inotith Fiifwn</t>
  </si>
  <si>
    <t xml:space="preserve">. 1g y . Consulting Engineer T. H. Palmer.</t>
  </si>
  <si>
    <t xml:space="preserve">palmer, t h</t>
  </si>
  <si>
    <t xml:space="preserve">imm876</t>
  </si>
  <si>
    <t xml:space="preserve">Resident anager W. F. Kett, Point Lewis, near San Francisco, Cal U.S.A . Mine Manager M. J. Murphy. I smelting Works Manager 1 - 13. 5mm</t>
  </si>
  <si>
    <t xml:space="preserve">murphy, m j</t>
  </si>
  <si>
    <t xml:space="preserve">imm10894</t>
  </si>
  <si>
    <t xml:space="preserve">New Geduld Deep Limited</t>
  </si>
  <si>
    <t xml:space="preserve">D. Simpson. | F. R. Lynch.</t>
  </si>
  <si>
    <t xml:space="preserve">mansfield</t>
  </si>
  <si>
    <t xml:space="preserve">Southern Mines Ireland Limited</t>
  </si>
  <si>
    <t xml:space="preserve">F. H. Ramsden ; J. A. Dennison;</t>
  </si>
  <si>
    <t xml:space="preserve">dennison, j a</t>
  </si>
  <si>
    <t xml:space="preserve">imm1571</t>
  </si>
  <si>
    <t xml:space="preserve">Transvaal Estates And Development Company</t>
  </si>
  <si>
    <t xml:space="preserve">Consultinz Engineer C. R. Davis. M.A.Inst.M.E.</t>
  </si>
  <si>
    <t xml:space="preserve">Note: the id imm is from a special edition of ama which included a list of professionals. </t>
  </si>
</sst>
</file>

<file path=xl/styles.xml><?xml version="1.0" encoding="utf-8"?>
<styleSheet xmlns="http://schemas.openxmlformats.org/spreadsheetml/2006/main">
  <numFmts count="7">
    <numFmt numFmtId="164" formatCode="General"/>
    <numFmt numFmtId="165" formatCode="#,##0"/>
    <numFmt numFmtId="166" formatCode="0.00E+00"/>
    <numFmt numFmtId="167" formatCode="0.000"/>
    <numFmt numFmtId="168" formatCode="0%"/>
    <numFmt numFmtId="169" formatCode="0.00%"/>
    <numFmt numFmtId="170" formatCode="0.0%"/>
  </numFmts>
  <fonts count="6">
    <font>
      <sz val="11"/>
      <color theme="1"/>
      <name val="Calibri"/>
      <family val="2"/>
      <charset val="1"/>
    </font>
    <font>
      <sz val="10"/>
      <name val="Arial"/>
      <family val="0"/>
    </font>
    <font>
      <sz val="10"/>
      <name val="Arial"/>
      <family val="0"/>
    </font>
    <font>
      <sz val="10"/>
      <name val="Arial"/>
      <family val="0"/>
    </font>
    <font>
      <sz val="10"/>
      <name val="Arial"/>
      <family val="2"/>
    </font>
    <font>
      <b val="true"/>
      <sz val="11"/>
      <color theme="1"/>
      <name val="Calibri"/>
      <family val="2"/>
      <charset val="1"/>
    </font>
  </fonts>
  <fills count="9">
    <fill>
      <patternFill patternType="none"/>
    </fill>
    <fill>
      <patternFill patternType="gray125"/>
    </fill>
    <fill>
      <patternFill patternType="solid">
        <fgColor rgb="FFA9D08E"/>
        <bgColor rgb="FFC6E0B4"/>
      </patternFill>
    </fill>
    <fill>
      <patternFill patternType="solid">
        <fgColor rgb="FFFFFF00"/>
        <bgColor rgb="FFFFFF00"/>
      </patternFill>
    </fill>
    <fill>
      <patternFill patternType="solid">
        <fgColor rgb="FFC6E0B4"/>
        <bgColor rgb="FFE2EFDA"/>
      </patternFill>
    </fill>
    <fill>
      <patternFill patternType="solid">
        <fgColor rgb="FFF8CBAD"/>
        <bgColor rgb="FFFCE4D6"/>
      </patternFill>
    </fill>
    <fill>
      <patternFill patternType="solid">
        <fgColor rgb="FFFFF2CC"/>
        <bgColor rgb="FFFCE4D6"/>
      </patternFill>
    </fill>
    <fill>
      <patternFill patternType="solid">
        <fgColor rgb="FFFCE4D6"/>
        <bgColor rgb="FFFFF2CC"/>
      </patternFill>
    </fill>
    <fill>
      <patternFill patternType="solid">
        <fgColor rgb="FFE2EFDA"/>
        <bgColor rgb="FFFCE4D6"/>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8" fontId="0" fillId="0" borderId="0" applyFont="true" applyBorder="false" applyAlignment="true" applyProtection="false">
      <alignment horizontal="general" vertical="bottom" textRotation="0" wrapText="false" indent="0" shrinkToFit="false"/>
    </xf>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9" fontId="0" fillId="0" borderId="0" xfId="19"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70" fontId="0" fillId="0" borderId="1" xfId="19" applyFont="true" applyBorder="true" applyAlignment="true" applyProtection="true">
      <alignment horizontal="general" vertical="bottom" textRotation="0" wrapText="false" indent="0" shrinkToFit="false"/>
      <protection locked="true" hidden="false"/>
    </xf>
    <xf numFmtId="170" fontId="0" fillId="3" borderId="1" xfId="19"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9" fontId="0" fillId="0" borderId="1" xfId="19"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9" fontId="0" fillId="0" borderId="1" xfId="19" applyFont="true" applyBorder="true" applyAlignment="true" applyProtection="true">
      <alignment horizontal="center" vertical="bottom" textRotation="0" wrapText="false" indent="0" shrinkToFit="false"/>
      <protection locked="true" hidden="false"/>
    </xf>
    <xf numFmtId="170" fontId="0" fillId="0" borderId="1" xfId="19" applyFont="true" applyBorder="true" applyAlignment="true" applyProtection="true">
      <alignment horizontal="center" vertical="bottom"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CE4D6"/>
      <rgbColor rgb="FFFF0000"/>
      <rgbColor rgb="FF00FF00"/>
      <rgbColor rgb="FF0000FF"/>
      <rgbColor rgb="FFFFFF00"/>
      <rgbColor rgb="FFFF00FF"/>
      <rgbColor rgb="FF00FFFF"/>
      <rgbColor rgb="FF800000"/>
      <rgbColor rgb="FF008000"/>
      <rgbColor rgb="FF000080"/>
      <rgbColor rgb="FF808000"/>
      <rgbColor rgb="FF800080"/>
      <rgbColor rgb="FF008080"/>
      <rgbColor rgb="FFA9D08E"/>
      <rgbColor rgb="FF808080"/>
      <rgbColor rgb="FF9999FF"/>
      <rgbColor rgb="FF993366"/>
      <rgbColor rgb="FFFFF2CC"/>
      <rgbColor rgb="FFCCFFFF"/>
      <rgbColor rgb="FF660066"/>
      <rgbColor rgb="FFFF8080"/>
      <rgbColor rgb="FF0066CC"/>
      <rgbColor rgb="FFC6E0B4"/>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41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371" activePane="bottomLeft" state="frozen"/>
      <selection pane="topLeft" activeCell="A1" activeCellId="0" sqref="A1"/>
      <selection pane="bottomLeft" activeCell="Q412" activeCellId="0" sqref="Q412"/>
    </sheetView>
  </sheetViews>
  <sheetFormatPr defaultColWidth="8.6796875" defaultRowHeight="15" customHeight="false" zeroHeight="false" outlineLevelRow="0" outlineLevelCol="0"/>
  <cols>
    <col collapsed="false" customWidth="true" hidden="false" outlineLevel="0" max="3" min="3" style="0" width="45"/>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2</v>
      </c>
      <c r="P1" s="0" t="s">
        <v>3</v>
      </c>
      <c r="Q1" s="0" t="s">
        <v>4</v>
      </c>
      <c r="R1" s="0" t="s">
        <v>5</v>
      </c>
      <c r="S1" s="0" t="s">
        <v>6</v>
      </c>
      <c r="T1" s="0" t="s">
        <v>7</v>
      </c>
      <c r="U1" s="0" t="s">
        <v>8</v>
      </c>
      <c r="V1" s="0" t="s">
        <v>10</v>
      </c>
      <c r="W1" s="0" t="s">
        <v>11</v>
      </c>
      <c r="X1" s="0" t="s">
        <v>12</v>
      </c>
      <c r="Y1" s="0" t="s">
        <v>13</v>
      </c>
      <c r="Z1" s="0" t="s">
        <v>14</v>
      </c>
      <c r="AA1" s="0" t="s">
        <v>15</v>
      </c>
      <c r="AB1" s="0" t="s">
        <v>16</v>
      </c>
      <c r="AC1" s="0" t="s">
        <v>17</v>
      </c>
      <c r="AD1" s="0" t="s">
        <v>18</v>
      </c>
    </row>
    <row r="2" customFormat="false" ht="15" hidden="false" customHeight="false" outlineLevel="0" collapsed="false">
      <c r="A2" s="0" t="s">
        <v>19</v>
      </c>
      <c r="B2" s="0" t="n">
        <v>1887</v>
      </c>
      <c r="C2" s="0" t="s">
        <v>20</v>
      </c>
      <c r="I2" s="0" t="s">
        <v>21</v>
      </c>
      <c r="J2" s="0" t="s">
        <v>22</v>
      </c>
      <c r="Z2" s="0" t="n">
        <v>0</v>
      </c>
      <c r="AA2" s="0" t="n">
        <f aca="false">LEN(C2)+LEN(D2)+LEN(E2)+LEN(F2)+LEN(G2)+LEN(H2)+LEN(I2)+LEN(K2)+LEN(L2)+LEN(M2)+LEN(N2)</f>
        <v>35</v>
      </c>
      <c r="AB2" s="0" t="s">
        <v>17</v>
      </c>
      <c r="AC2" s="0" t="s">
        <v>23</v>
      </c>
      <c r="AD2" s="0" t="s">
        <v>24</v>
      </c>
    </row>
    <row r="3" customFormat="false" ht="15" hidden="false" customHeight="false" outlineLevel="0" collapsed="false">
      <c r="A3" s="0" t="s">
        <v>25</v>
      </c>
      <c r="B3" s="0" t="n">
        <v>1887</v>
      </c>
      <c r="C3" s="0" t="s">
        <v>26</v>
      </c>
      <c r="I3" s="0" t="s">
        <v>27</v>
      </c>
      <c r="J3" s="0" t="s">
        <v>28</v>
      </c>
      <c r="O3" s="0" t="s">
        <v>29</v>
      </c>
      <c r="Z3" s="0" t="n">
        <v>23</v>
      </c>
      <c r="AA3" s="0" t="n">
        <f aca="false">LEN(C3)+LEN(D3)+LEN(E3)+LEN(F3)+LEN(G3)+LEN(H3)+LEN(I3)+LEN(K3)+LEN(L3)+LEN(M3)+LEN(N3)</f>
        <v>21</v>
      </c>
      <c r="AB3" s="0" t="s">
        <v>18</v>
      </c>
      <c r="AC3" s="0" t="s">
        <v>24</v>
      </c>
      <c r="AD3" s="0" t="s">
        <v>23</v>
      </c>
    </row>
    <row r="4" customFormat="false" ht="15" hidden="false" customHeight="false" outlineLevel="0" collapsed="false">
      <c r="A4" s="0" t="s">
        <v>30</v>
      </c>
      <c r="B4" s="0" t="n">
        <v>1887</v>
      </c>
      <c r="C4" s="0" t="s">
        <v>31</v>
      </c>
      <c r="I4" s="0" t="s">
        <v>32</v>
      </c>
      <c r="J4" s="0" t="s">
        <v>33</v>
      </c>
      <c r="Z4" s="0" t="e">
        <f aca="false" t="array" ref="Z4:Z4">+Z4:AZ397</f>
        <v>#VALUE!</v>
      </c>
      <c r="AA4" s="0" t="n">
        <f aca="false">LEN(C4)+LEN(D4)+LEN(E4)+LEN(F4)+LEN(G4)+LEN(H4)+LEN(I4)+LEN(K4)+LEN(L4)+LEN(M4)+LEN(N4)</f>
        <v>32</v>
      </c>
    </row>
    <row r="5" customFormat="false" ht="15" hidden="false" customHeight="false" outlineLevel="0" collapsed="false">
      <c r="A5" s="0" t="s">
        <v>34</v>
      </c>
      <c r="B5" s="0" t="n">
        <v>1887</v>
      </c>
      <c r="C5" s="0" t="s">
        <v>35</v>
      </c>
      <c r="I5" s="0" t="s">
        <v>32</v>
      </c>
      <c r="J5" s="0" t="s">
        <v>36</v>
      </c>
      <c r="AA5" s="0" t="n">
        <f aca="false">LEN(C5)+LEN(D5)+LEN(E5)+LEN(F5)+LEN(G5)+LEN(H5)+LEN(I5)+LEN(K5)+LEN(L5)+LEN(M5)+LEN(N5)</f>
        <v>29</v>
      </c>
      <c r="AB5" s="0" t="s">
        <v>37</v>
      </c>
    </row>
    <row r="6" customFormat="false" ht="15" hidden="false" customHeight="false" outlineLevel="0" collapsed="false">
      <c r="A6" s="0" t="s">
        <v>38</v>
      </c>
      <c r="B6" s="0" t="n">
        <v>1887</v>
      </c>
      <c r="C6" s="0" t="s">
        <v>39</v>
      </c>
      <c r="I6" s="0" t="s">
        <v>40</v>
      </c>
      <c r="J6" s="0" t="s">
        <v>41</v>
      </c>
      <c r="AA6" s="0" t="n">
        <f aca="false">LEN(C6)+LEN(D6)+LEN(E6)+LEN(F6)+LEN(G6)+LEN(H6)+LEN(I6)+LEN(K6)+LEN(L6)+LEN(M6)+LEN(N6)</f>
        <v>42</v>
      </c>
      <c r="AB6" s="0" t="s">
        <v>16</v>
      </c>
      <c r="AC6" s="0" t="s">
        <v>17</v>
      </c>
      <c r="AD6" s="0" t="s">
        <v>18</v>
      </c>
    </row>
    <row r="7" customFormat="false" ht="15" hidden="false" customHeight="false" outlineLevel="0" collapsed="false">
      <c r="A7" s="0" t="s">
        <v>42</v>
      </c>
      <c r="B7" s="0" t="n">
        <v>1887</v>
      </c>
      <c r="C7" s="0" t="s">
        <v>43</v>
      </c>
      <c r="D7" s="0" t="n">
        <v>48520.13586</v>
      </c>
      <c r="I7" s="0" t="s">
        <v>44</v>
      </c>
      <c r="J7" s="0" t="s">
        <v>45</v>
      </c>
      <c r="AA7" s="0" t="n">
        <f aca="false">LEN(C7)+LEN(D7)+LEN(E7)+LEN(F7)+LEN(G7)+LEN(H7)+LEN(I7)+LEN(K7)+LEN(L7)+LEN(M7)+LEN(N7)</f>
        <v>53</v>
      </c>
      <c r="AB7" s="0" t="s">
        <v>17</v>
      </c>
      <c r="AD7" s="0" t="s">
        <v>24</v>
      </c>
    </row>
    <row r="8" customFormat="false" ht="15" hidden="false" customHeight="false" outlineLevel="0" collapsed="false">
      <c r="A8" s="0" t="s">
        <v>46</v>
      </c>
      <c r="B8" s="0" t="n">
        <v>1887</v>
      </c>
      <c r="C8" s="0" t="s">
        <v>47</v>
      </c>
      <c r="I8" s="0" t="s">
        <v>48</v>
      </c>
      <c r="J8" s="0" t="s">
        <v>49</v>
      </c>
      <c r="AA8" s="0" t="n">
        <f aca="false">LEN(C8)+LEN(D8)+LEN(E8)+LEN(F8)+LEN(G8)+LEN(H8)+LEN(I8)+LEN(K8)+LEN(L8)+LEN(M8)+LEN(N8)</f>
        <v>45</v>
      </c>
      <c r="AB8" s="0" t="s">
        <v>18</v>
      </c>
      <c r="AC8" s="0" t="s">
        <v>24</v>
      </c>
    </row>
    <row r="9" customFormat="false" ht="15" hidden="false" customHeight="false" outlineLevel="0" collapsed="false">
      <c r="A9" s="0" t="s">
        <v>50</v>
      </c>
      <c r="B9" s="0" t="n">
        <v>1887</v>
      </c>
      <c r="C9" s="0" t="s">
        <v>26</v>
      </c>
      <c r="E9" s="0" t="s">
        <v>51</v>
      </c>
      <c r="I9" s="0" t="s">
        <v>52</v>
      </c>
      <c r="J9" s="0" t="s">
        <v>53</v>
      </c>
      <c r="O9" s="0" t="s">
        <v>29</v>
      </c>
      <c r="AA9" s="0" t="n">
        <f aca="false">LEN(C9)+LEN(D9)+LEN(E9)+LEN(F9)+LEN(G9)+LEN(H9)+LEN(I9)+LEN(K9)+LEN(L9)+LEN(M9)+LEN(N9)</f>
        <v>44</v>
      </c>
    </row>
    <row r="10" customFormat="false" ht="15" hidden="false" customHeight="false" outlineLevel="0" collapsed="false">
      <c r="A10" s="0" t="s">
        <v>54</v>
      </c>
      <c r="B10" s="0" t="n">
        <v>1887</v>
      </c>
      <c r="C10" s="0" t="s">
        <v>55</v>
      </c>
      <c r="I10" s="0" t="s">
        <v>56</v>
      </c>
      <c r="J10" s="0" t="s">
        <v>57</v>
      </c>
      <c r="AA10" s="0" t="n">
        <f aca="false">LEN(C10)+LEN(D10)+LEN(E10)+LEN(F10)+LEN(G10)+LEN(H10)+LEN(I10)+LEN(K10)+LEN(L10)+LEN(M10)+LEN(N10)</f>
        <v>24</v>
      </c>
      <c r="AB10" s="0" t="s">
        <v>58</v>
      </c>
    </row>
    <row r="11" customFormat="false" ht="15" hidden="false" customHeight="false" outlineLevel="0" collapsed="false">
      <c r="A11" s="0" t="s">
        <v>59</v>
      </c>
      <c r="B11" s="0" t="n">
        <v>1887</v>
      </c>
      <c r="C11" s="0" t="s">
        <v>60</v>
      </c>
      <c r="I11" s="0" t="s">
        <v>61</v>
      </c>
      <c r="J11" s="0" t="s">
        <v>62</v>
      </c>
      <c r="AA11" s="0" t="n">
        <f aca="false">LEN(C11)+LEN(D11)+LEN(E11)+LEN(F11)+LEN(G11)+LEN(H11)+LEN(I11)+LEN(K11)+LEN(L11)+LEN(M11)+LEN(N11)</f>
        <v>56</v>
      </c>
      <c r="AB11" s="0" t="s">
        <v>63</v>
      </c>
    </row>
    <row r="12" customFormat="false" ht="15" hidden="false" customHeight="false" outlineLevel="0" collapsed="false">
      <c r="A12" s="0" t="s">
        <v>64</v>
      </c>
      <c r="B12" s="0" t="n">
        <v>1888</v>
      </c>
      <c r="C12" s="0" t="s">
        <v>65</v>
      </c>
      <c r="I12" s="0" t="s">
        <v>66</v>
      </c>
      <c r="J12" s="0" t="s">
        <v>67</v>
      </c>
      <c r="AA12" s="0" t="n">
        <f aca="false">LEN(C12)+LEN(D12)+LEN(E12)+LEN(F12)+LEN(G12)+LEN(H12)+LEN(I12)+LEN(K12)+LEN(L12)+LEN(M12)+LEN(N12)</f>
        <v>41</v>
      </c>
      <c r="AB12" s="0" t="s">
        <v>68</v>
      </c>
      <c r="AC12" s="0" t="s">
        <v>69</v>
      </c>
    </row>
    <row r="13" customFormat="false" ht="15" hidden="false" customHeight="false" outlineLevel="0" collapsed="false">
      <c r="A13" s="0" t="s">
        <v>70</v>
      </c>
      <c r="B13" s="0" t="n">
        <v>1888</v>
      </c>
      <c r="C13" s="0" t="s">
        <v>71</v>
      </c>
      <c r="I13" s="0" t="s">
        <v>32</v>
      </c>
      <c r="J13" s="0" t="s">
        <v>72</v>
      </c>
      <c r="AA13" s="0" t="n">
        <f aca="false">LEN(C13)+LEN(D13)+LEN(E13)+LEN(F13)+LEN(G13)+LEN(H13)+LEN(I13)+LEN(K13)+LEN(L13)+LEN(M13)+LEN(N13)</f>
        <v>39</v>
      </c>
      <c r="AB13" s="0" t="s">
        <v>73</v>
      </c>
      <c r="AC13" s="0" t="s">
        <v>29</v>
      </c>
    </row>
    <row r="14" customFormat="false" ht="15" hidden="false" customHeight="false" outlineLevel="0" collapsed="false">
      <c r="A14" s="0" t="s">
        <v>74</v>
      </c>
      <c r="B14" s="0" t="n">
        <v>1888</v>
      </c>
      <c r="C14" s="0" t="s">
        <v>75</v>
      </c>
      <c r="F14" s="0" t="n">
        <v>1885</v>
      </c>
      <c r="I14" s="0" t="s">
        <v>76</v>
      </c>
      <c r="J14" s="0" t="s">
        <v>77</v>
      </c>
      <c r="AA14" s="0" t="n">
        <f aca="false">LEN(C14)+LEN(D14)+LEN(E14)+LEN(F14)+LEN(G14)+LEN(H14)+LEN(I14)+LEN(K14)+LEN(L14)+LEN(M14)+LEN(N14)</f>
        <v>57</v>
      </c>
    </row>
    <row r="15" customFormat="false" ht="15" hidden="false" customHeight="false" outlineLevel="0" collapsed="false">
      <c r="A15" s="0" t="s">
        <v>78</v>
      </c>
      <c r="B15" s="0" t="n">
        <v>1888</v>
      </c>
      <c r="C15" s="0" t="s">
        <v>79</v>
      </c>
      <c r="I15" s="0" t="s">
        <v>80</v>
      </c>
      <c r="J15" s="0" t="s">
        <v>81</v>
      </c>
      <c r="AA15" s="0" t="n">
        <f aca="false">LEN(C15)+LEN(D15)+LEN(E15)+LEN(F15)+LEN(G15)+LEN(H15)+LEN(I15)+LEN(K15)+LEN(L15)+LEN(M15)+LEN(N15)</f>
        <v>42</v>
      </c>
      <c r="AB15" s="1" t="s">
        <v>82</v>
      </c>
      <c r="AC15" s="1"/>
    </row>
    <row r="16" customFormat="false" ht="15" hidden="false" customHeight="false" outlineLevel="0" collapsed="false">
      <c r="A16" s="0" t="s">
        <v>83</v>
      </c>
      <c r="B16" s="0" t="n">
        <v>1888</v>
      </c>
      <c r="C16" s="0" t="s">
        <v>84</v>
      </c>
      <c r="I16" s="0" t="s">
        <v>48</v>
      </c>
      <c r="J16" s="0" t="s">
        <v>85</v>
      </c>
      <c r="O16" s="0" t="s">
        <v>29</v>
      </c>
      <c r="AA16" s="0" t="n">
        <f aca="false">LEN(C16)+LEN(D16)+LEN(E16)+LEN(F16)+LEN(G16)+LEN(H16)+LEN(I16)+LEN(K16)+LEN(L16)+LEN(M16)+LEN(N16)</f>
        <v>20</v>
      </c>
      <c r="AB16" s="2"/>
      <c r="AC16" s="2"/>
    </row>
    <row r="17" customFormat="false" ht="15" hidden="false" customHeight="false" outlineLevel="0" collapsed="false">
      <c r="A17" s="0" t="s">
        <v>86</v>
      </c>
      <c r="B17" s="0" t="n">
        <v>1888</v>
      </c>
      <c r="C17" s="0" t="s">
        <v>87</v>
      </c>
      <c r="I17" s="0" t="s">
        <v>88</v>
      </c>
      <c r="J17" s="0" t="s">
        <v>89</v>
      </c>
      <c r="O17" s="0" t="s">
        <v>29</v>
      </c>
      <c r="U17" s="0" t="s">
        <v>29</v>
      </c>
      <c r="AA17" s="0" t="n">
        <f aca="false">LEN(C17)+LEN(D17)+LEN(E17)+LEN(F17)+LEN(G17)+LEN(H17)+LEN(I17)+LEN(K17)+LEN(L17)+LEN(M17)+LEN(N17)</f>
        <v>34</v>
      </c>
    </row>
    <row r="18" customFormat="false" ht="15" hidden="false" customHeight="false" outlineLevel="0" collapsed="false">
      <c r="A18" s="0" t="s">
        <v>90</v>
      </c>
      <c r="B18" s="0" t="n">
        <v>1888</v>
      </c>
      <c r="C18" s="0" t="s">
        <v>91</v>
      </c>
      <c r="I18" s="0" t="s">
        <v>92</v>
      </c>
      <c r="J18" s="0" t="s">
        <v>93</v>
      </c>
      <c r="AA18" s="0" t="n">
        <f aca="false">LEN(C18)+LEN(D18)+LEN(E18)+LEN(F18)+LEN(G18)+LEN(H18)+LEN(I18)+LEN(K18)+LEN(L18)+LEN(M18)+LEN(N18)</f>
        <v>42</v>
      </c>
    </row>
    <row r="19" s="3" customFormat="true" ht="15" hidden="false" customHeight="false" outlineLevel="0" collapsed="false">
      <c r="A19" s="3" t="s">
        <v>94</v>
      </c>
      <c r="B19" s="3" t="n">
        <v>1888</v>
      </c>
      <c r="C19" s="3" t="s">
        <v>26</v>
      </c>
      <c r="I19" s="3" t="s">
        <v>95</v>
      </c>
      <c r="J19" s="3" t="s">
        <v>96</v>
      </c>
      <c r="AA19" s="3" t="n">
        <f aca="false">LEN(C19)+LEN(D19)+LEN(E19)+LEN(F19)+LEN(G19)+LEN(H19)+LEN(I19)+LEN(K19)+LEN(L19)+LEN(M19)+LEN(N19)</f>
        <v>23</v>
      </c>
    </row>
    <row r="20" customFormat="false" ht="15" hidden="false" customHeight="false" outlineLevel="0" collapsed="false">
      <c r="A20" s="0" t="s">
        <v>97</v>
      </c>
      <c r="B20" s="0" t="n">
        <v>1888</v>
      </c>
      <c r="C20" s="0" t="s">
        <v>98</v>
      </c>
      <c r="D20" s="0" t="n">
        <v>730638.0906</v>
      </c>
      <c r="I20" s="0" t="s">
        <v>99</v>
      </c>
      <c r="J20" s="0" t="s">
        <v>100</v>
      </c>
      <c r="O20" s="0" t="s">
        <v>29</v>
      </c>
      <c r="AA20" s="0" t="n">
        <f aca="false">LEN(C20)+LEN(D20)+LEN(E20)+LEN(F20)+LEN(G20)+LEN(H20)+LEN(I20)+LEN(K20)+LEN(L20)+LEN(M20)+LEN(N20)</f>
        <v>56</v>
      </c>
    </row>
    <row r="21" customFormat="false" ht="15" hidden="false" customHeight="false" outlineLevel="0" collapsed="false">
      <c r="A21" s="0" t="s">
        <v>101</v>
      </c>
      <c r="B21" s="0" t="n">
        <v>1888</v>
      </c>
      <c r="C21" s="0" t="s">
        <v>102</v>
      </c>
      <c r="I21" s="0" t="s">
        <v>44</v>
      </c>
      <c r="J21" s="0" t="s">
        <v>103</v>
      </c>
      <c r="O21" s="0" t="s">
        <v>29</v>
      </c>
      <c r="AA21" s="0" t="n">
        <f aca="false">LEN(C21)+LEN(D21)+LEN(E21)+LEN(F21)+LEN(G21)+LEN(H21)+LEN(I21)+LEN(K21)+LEN(L21)+LEN(M21)+LEN(N21)</f>
        <v>43</v>
      </c>
    </row>
    <row r="22" customFormat="false" ht="15" hidden="false" customHeight="false" outlineLevel="0" collapsed="false">
      <c r="A22" s="0" t="s">
        <v>104</v>
      </c>
      <c r="B22" s="0" t="n">
        <v>1888</v>
      </c>
      <c r="C22" s="0" t="s">
        <v>105</v>
      </c>
      <c r="I22" s="0" t="s">
        <v>106</v>
      </c>
      <c r="J22" s="0" t="s">
        <v>105</v>
      </c>
      <c r="K22" s="0" t="s">
        <v>107</v>
      </c>
      <c r="L22" s="0" t="s">
        <v>108</v>
      </c>
      <c r="M22" s="0" t="s">
        <v>109</v>
      </c>
      <c r="N22" s="0" t="s">
        <v>110</v>
      </c>
      <c r="U22" s="0" t="s">
        <v>29</v>
      </c>
      <c r="V22" s="0" t="s">
        <v>29</v>
      </c>
      <c r="W22" s="0" t="s">
        <v>29</v>
      </c>
      <c r="X22" s="0" t="s">
        <v>29</v>
      </c>
      <c r="Y22" s="0" t="s">
        <v>29</v>
      </c>
      <c r="AA22" s="0" t="n">
        <f aca="false">LEN(C22)+LEN(D22)+LEN(E22)+LEN(F22)+LEN(G22)+LEN(H22)+LEN(I22)+LEN(K22)+LEN(L22)+LEN(M22)+LEN(N22)</f>
        <v>66</v>
      </c>
    </row>
    <row r="23" customFormat="false" ht="15" hidden="false" customHeight="false" outlineLevel="0" collapsed="false">
      <c r="A23" s="0" t="s">
        <v>111</v>
      </c>
      <c r="B23" s="0" t="n">
        <v>1889</v>
      </c>
      <c r="C23" s="0" t="s">
        <v>112</v>
      </c>
      <c r="I23" s="0" t="s">
        <v>113</v>
      </c>
      <c r="J23" s="0" t="s">
        <v>114</v>
      </c>
      <c r="O23" s="0" t="s">
        <v>29</v>
      </c>
      <c r="AA23" s="0" t="n">
        <f aca="false">LEN(C23)+LEN(D23)+LEN(E23)+LEN(F23)+LEN(G23)+LEN(H23)+LEN(I23)+LEN(K23)+LEN(L23)+LEN(M23)+LEN(N23)</f>
        <v>37</v>
      </c>
    </row>
    <row r="24" customFormat="false" ht="15" hidden="false" customHeight="false" outlineLevel="0" collapsed="false">
      <c r="A24" s="0" t="s">
        <v>115</v>
      </c>
      <c r="B24" s="0" t="n">
        <v>1889</v>
      </c>
      <c r="C24" s="0" t="s">
        <v>116</v>
      </c>
      <c r="I24" s="0" t="s">
        <v>117</v>
      </c>
      <c r="J24" s="0" t="s">
        <v>118</v>
      </c>
      <c r="AA24" s="0" t="n">
        <f aca="false">LEN(C24)+LEN(D24)+LEN(E24)+LEN(F24)+LEN(G24)+LEN(H24)+LEN(I24)+LEN(K24)+LEN(L24)+LEN(M24)+LEN(N24)</f>
        <v>44</v>
      </c>
    </row>
    <row r="25" customFormat="false" ht="15" hidden="false" customHeight="false" outlineLevel="0" collapsed="false">
      <c r="A25" s="0" t="s">
        <v>119</v>
      </c>
      <c r="B25" s="0" t="n">
        <v>1889</v>
      </c>
      <c r="C25" s="0" t="s">
        <v>120</v>
      </c>
      <c r="I25" s="0" t="s">
        <v>121</v>
      </c>
      <c r="J25" s="0" t="s">
        <v>122</v>
      </c>
      <c r="O25" s="0" t="s">
        <v>29</v>
      </c>
      <c r="AA25" s="0" t="n">
        <f aca="false">LEN(C25)+LEN(D25)+LEN(E25)+LEN(F25)+LEN(G25)+LEN(H25)+LEN(I25)+LEN(K25)+LEN(L25)+LEN(M25)+LEN(N25)</f>
        <v>40</v>
      </c>
    </row>
    <row r="26" customFormat="false" ht="15" hidden="false" customHeight="false" outlineLevel="0" collapsed="false">
      <c r="A26" s="0" t="s">
        <v>123</v>
      </c>
      <c r="B26" s="0" t="n">
        <v>1889</v>
      </c>
      <c r="C26" s="0" t="s">
        <v>124</v>
      </c>
      <c r="I26" s="0" t="s">
        <v>48</v>
      </c>
      <c r="J26" s="0" t="s">
        <v>125</v>
      </c>
      <c r="AA26" s="0" t="n">
        <f aca="false">LEN(C26)+LEN(D26)+LEN(E26)+LEN(F26)+LEN(G26)+LEN(H26)+LEN(I26)+LEN(K26)+LEN(L26)+LEN(M26)+LEN(N26)</f>
        <v>50</v>
      </c>
    </row>
    <row r="27" customFormat="false" ht="15" hidden="false" customHeight="false" outlineLevel="0" collapsed="false">
      <c r="A27" s="0" t="s">
        <v>126</v>
      </c>
      <c r="B27" s="0" t="n">
        <v>1889</v>
      </c>
      <c r="C27" s="0" t="s">
        <v>127</v>
      </c>
      <c r="I27" s="0" t="s">
        <v>128</v>
      </c>
      <c r="J27" s="0" t="s">
        <v>129</v>
      </c>
      <c r="AA27" s="0" t="n">
        <f aca="false">LEN(C27)+LEN(D27)+LEN(E27)+LEN(F27)+LEN(G27)+LEN(H27)+LEN(I27)+LEN(K27)+LEN(L27)+LEN(M27)+LEN(N27)</f>
        <v>50</v>
      </c>
    </row>
    <row r="28" customFormat="false" ht="15" hidden="false" customHeight="false" outlineLevel="0" collapsed="false">
      <c r="A28" s="0" t="s">
        <v>130</v>
      </c>
      <c r="B28" s="0" t="n">
        <v>1889</v>
      </c>
      <c r="C28" s="0" t="s">
        <v>131</v>
      </c>
      <c r="I28" s="0" t="s">
        <v>132</v>
      </c>
      <c r="J28" s="0" t="s">
        <v>133</v>
      </c>
      <c r="U28" s="0" t="s">
        <v>134</v>
      </c>
      <c r="AA28" s="0" t="n">
        <f aca="false">LEN(C28)+LEN(D28)+LEN(E28)+LEN(F28)+LEN(G28)+LEN(H28)+LEN(I28)+LEN(K28)+LEN(L28)+LEN(M28)+LEN(N28)</f>
        <v>49</v>
      </c>
    </row>
    <row r="29" customFormat="false" ht="15" hidden="false" customHeight="false" outlineLevel="0" collapsed="false">
      <c r="A29" s="0" t="s">
        <v>135</v>
      </c>
      <c r="B29" s="0" t="n">
        <v>1889</v>
      </c>
      <c r="C29" s="0" t="s">
        <v>136</v>
      </c>
      <c r="I29" s="0" t="s">
        <v>137</v>
      </c>
      <c r="J29" s="0" t="s">
        <v>138</v>
      </c>
      <c r="AA29" s="0" t="n">
        <f aca="false">LEN(C29)+LEN(D29)+LEN(E29)+LEN(F29)+LEN(G29)+LEN(H29)+LEN(I29)+LEN(K29)+LEN(L29)+LEN(M29)+LEN(N29)</f>
        <v>49</v>
      </c>
    </row>
    <row r="30" customFormat="false" ht="15" hidden="false" customHeight="false" outlineLevel="0" collapsed="false">
      <c r="A30" s="0" t="s">
        <v>139</v>
      </c>
      <c r="B30" s="0" t="n">
        <v>1889</v>
      </c>
      <c r="C30" s="0" t="s">
        <v>140</v>
      </c>
      <c r="I30" s="0" t="s">
        <v>141</v>
      </c>
      <c r="J30" s="0" t="s">
        <v>142</v>
      </c>
      <c r="AA30" s="0" t="n">
        <f aca="false">LEN(C30)+LEN(D30)+LEN(E30)+LEN(F30)+LEN(G30)+LEN(H30)+LEN(I30)+LEN(K30)+LEN(L30)+LEN(M30)+LEN(N30)</f>
        <v>43</v>
      </c>
    </row>
    <row r="31" s="3" customFormat="true" ht="15" hidden="false" customHeight="false" outlineLevel="0" collapsed="false">
      <c r="A31" s="3" t="s">
        <v>143</v>
      </c>
      <c r="B31" s="3" t="n">
        <v>1889</v>
      </c>
      <c r="C31" s="3" t="s">
        <v>144</v>
      </c>
      <c r="I31" s="3" t="s">
        <v>145</v>
      </c>
      <c r="J31" s="3" t="s">
        <v>146</v>
      </c>
      <c r="AA31" s="3" t="n">
        <f aca="false">LEN(C31)+LEN(D31)+LEN(E31)+LEN(F31)+LEN(G31)+LEN(H31)+LEN(I31)+LEN(K31)+LEN(L31)+LEN(M31)+LEN(N31)</f>
        <v>38</v>
      </c>
    </row>
    <row r="32" customFormat="false" ht="15" hidden="false" customHeight="false" outlineLevel="0" collapsed="false">
      <c r="A32" s="0" t="s">
        <v>147</v>
      </c>
      <c r="B32" s="0" t="n">
        <v>1889</v>
      </c>
      <c r="C32" s="0" t="s">
        <v>148</v>
      </c>
      <c r="I32" s="0" t="s">
        <v>32</v>
      </c>
      <c r="J32" s="0" t="s">
        <v>149</v>
      </c>
      <c r="AA32" s="0" t="n">
        <f aca="false">LEN(C32)+LEN(D32)+LEN(E32)+LEN(F32)+LEN(G32)+LEN(H32)+LEN(I32)+LEN(K32)+LEN(L32)+LEN(M32)+LEN(N32)</f>
        <v>41</v>
      </c>
    </row>
    <row r="33" customFormat="false" ht="15" hidden="false" customHeight="false" outlineLevel="0" collapsed="false">
      <c r="A33" s="0" t="s">
        <v>150</v>
      </c>
      <c r="B33" s="0" t="n">
        <v>1891</v>
      </c>
      <c r="C33" s="0" t="s">
        <v>151</v>
      </c>
      <c r="D33" s="0" t="s">
        <v>152</v>
      </c>
      <c r="E33" s="0" t="s">
        <v>152</v>
      </c>
      <c r="F33" s="0" t="s">
        <v>152</v>
      </c>
      <c r="G33" s="0" t="s">
        <v>152</v>
      </c>
      <c r="H33" s="0" t="s">
        <v>152</v>
      </c>
      <c r="I33" s="0" t="s">
        <v>152</v>
      </c>
      <c r="J33" s="0" t="s">
        <v>153</v>
      </c>
      <c r="K33" s="0" t="s">
        <v>152</v>
      </c>
      <c r="L33" s="0" t="s">
        <v>152</v>
      </c>
      <c r="M33" s="0" t="s">
        <v>152</v>
      </c>
      <c r="N33" s="0" t="s">
        <v>152</v>
      </c>
      <c r="O33" s="0" t="s">
        <v>69</v>
      </c>
      <c r="Z33" s="0" t="n">
        <v>2</v>
      </c>
      <c r="AA33" s="0" t="n">
        <f aca="false">LEN(C33)</f>
        <v>17</v>
      </c>
    </row>
    <row r="34" customFormat="false" ht="15" hidden="false" customHeight="false" outlineLevel="0" collapsed="false">
      <c r="A34" s="0" t="s">
        <v>154</v>
      </c>
      <c r="B34" s="0" t="n">
        <v>1891</v>
      </c>
      <c r="C34" s="0" t="s">
        <v>155</v>
      </c>
      <c r="I34" s="0" t="s">
        <v>156</v>
      </c>
      <c r="J34" s="0" t="s">
        <v>157</v>
      </c>
      <c r="O34" s="0" t="s">
        <v>29</v>
      </c>
      <c r="U34" s="0" t="s">
        <v>29</v>
      </c>
      <c r="AA34" s="0" t="n">
        <f aca="false">LEN(C34)+LEN(D34)+LEN(E34)+LEN(F34)+LEN(G34)+LEN(H34)+LEN(I34)+LEN(K34)+LEN(L34)+LEN(M34)+LEN(N34)</f>
        <v>45</v>
      </c>
    </row>
    <row r="35" customFormat="false" ht="15" hidden="false" customHeight="false" outlineLevel="0" collapsed="false">
      <c r="A35" s="0" t="s">
        <v>158</v>
      </c>
      <c r="B35" s="0" t="n">
        <v>1891</v>
      </c>
      <c r="C35" s="0" t="s">
        <v>159</v>
      </c>
      <c r="I35" s="0" t="s">
        <v>160</v>
      </c>
      <c r="J35" s="0" t="s">
        <v>161</v>
      </c>
      <c r="O35" s="0" t="s">
        <v>29</v>
      </c>
      <c r="U35" s="0" t="s">
        <v>29</v>
      </c>
      <c r="AA35" s="0" t="n">
        <f aca="false">LEN(C35)+LEN(D35)+LEN(E35)+LEN(F35)+LEN(G35)+LEN(H35)+LEN(I35)+LEN(K35)+LEN(L35)+LEN(M35)+LEN(N35)</f>
        <v>29</v>
      </c>
    </row>
    <row r="36" customFormat="false" ht="15" hidden="false" customHeight="false" outlineLevel="0" collapsed="false">
      <c r="A36" s="0" t="s">
        <v>162</v>
      </c>
      <c r="B36" s="0" t="n">
        <v>1891</v>
      </c>
      <c r="C36" s="0" t="s">
        <v>163</v>
      </c>
      <c r="I36" s="0" t="s">
        <v>164</v>
      </c>
      <c r="J36" s="0" t="s">
        <v>165</v>
      </c>
      <c r="AA36" s="0" t="n">
        <f aca="false">LEN(C36)+LEN(D36)+LEN(E36)+LEN(F36)+LEN(G36)+LEN(H36)+LEN(I36)+LEN(K36)+LEN(L36)+LEN(M36)+LEN(N36)</f>
        <v>44</v>
      </c>
    </row>
    <row r="37" customFormat="false" ht="15" hidden="false" customHeight="false" outlineLevel="0" collapsed="false">
      <c r="A37" s="0" t="s">
        <v>166</v>
      </c>
      <c r="B37" s="0" t="n">
        <v>1891</v>
      </c>
      <c r="C37" s="0" t="s">
        <v>167</v>
      </c>
      <c r="J37" s="0" t="s">
        <v>168</v>
      </c>
      <c r="AA37" s="0" t="n">
        <f aca="false">LEN(C37)+LEN(D37)+LEN(E37)+LEN(F37)+LEN(G37)+LEN(H37)+LEN(I37)+LEN(K37)+LEN(L37)+LEN(M37)+LEN(N37)</f>
        <v>34</v>
      </c>
    </row>
    <row r="38" customFormat="false" ht="15" hidden="false" customHeight="false" outlineLevel="0" collapsed="false">
      <c r="A38" s="0" t="s">
        <v>169</v>
      </c>
      <c r="B38" s="0" t="n">
        <v>1891</v>
      </c>
      <c r="C38" s="0" t="s">
        <v>170</v>
      </c>
      <c r="D38" s="0" t="s">
        <v>152</v>
      </c>
      <c r="E38" s="0" t="s">
        <v>152</v>
      </c>
      <c r="F38" s="0" t="s">
        <v>152</v>
      </c>
      <c r="G38" s="0" t="s">
        <v>152</v>
      </c>
      <c r="H38" s="0" t="s">
        <v>152</v>
      </c>
      <c r="I38" s="0" t="s">
        <v>171</v>
      </c>
      <c r="J38" s="0" t="s">
        <v>172</v>
      </c>
      <c r="K38" s="0" t="s">
        <v>152</v>
      </c>
      <c r="L38" s="0" t="s">
        <v>152</v>
      </c>
      <c r="M38" s="0" t="s">
        <v>152</v>
      </c>
      <c r="N38" s="0" t="s">
        <v>152</v>
      </c>
      <c r="O38" s="0" t="s">
        <v>69</v>
      </c>
      <c r="U38" s="0" t="s">
        <v>29</v>
      </c>
      <c r="Z38" s="0" t="n">
        <v>2</v>
      </c>
      <c r="AA38" s="0" t="n">
        <f aca="false">LEN(C38)</f>
        <v>18</v>
      </c>
    </row>
    <row r="39" s="3" customFormat="true" ht="15" hidden="false" customHeight="false" outlineLevel="0" collapsed="false">
      <c r="A39" s="3" t="s">
        <v>173</v>
      </c>
      <c r="B39" s="3" t="n">
        <v>1891</v>
      </c>
      <c r="C39" s="3" t="s">
        <v>174</v>
      </c>
      <c r="I39" s="3" t="s">
        <v>32</v>
      </c>
      <c r="J39" s="3" t="s">
        <v>149</v>
      </c>
      <c r="AA39" s="3" t="n">
        <f aca="false">LEN(C39)+LEN(D39)+LEN(E39)+LEN(F39)+LEN(G39)+LEN(H39)+LEN(I39)+LEN(K39)+LEN(L39)+LEN(M39)+LEN(N39)</f>
        <v>23</v>
      </c>
    </row>
    <row r="40" customFormat="false" ht="15" hidden="false" customHeight="false" outlineLevel="0" collapsed="false">
      <c r="A40" s="0" t="s">
        <v>175</v>
      </c>
      <c r="B40" s="0" t="n">
        <v>1891</v>
      </c>
      <c r="C40" s="0" t="s">
        <v>176</v>
      </c>
      <c r="I40" s="0" t="s">
        <v>177</v>
      </c>
      <c r="J40" s="0" t="s">
        <v>178</v>
      </c>
      <c r="U40" s="0" t="s">
        <v>29</v>
      </c>
      <c r="AA40" s="0" t="n">
        <f aca="false">LEN(C40)+LEN(D40)+LEN(E40)+LEN(F40)+LEN(G40)+LEN(H40)+LEN(I40)+LEN(K40)+LEN(L40)+LEN(M40)+LEN(N40)</f>
        <v>44</v>
      </c>
    </row>
    <row r="41" customFormat="false" ht="15" hidden="false" customHeight="false" outlineLevel="0" collapsed="false">
      <c r="A41" s="0" t="s">
        <v>179</v>
      </c>
      <c r="B41" s="0" t="n">
        <v>1891</v>
      </c>
      <c r="C41" s="0" t="s">
        <v>180</v>
      </c>
      <c r="I41" s="0" t="s">
        <v>177</v>
      </c>
      <c r="J41" s="0" t="s">
        <v>181</v>
      </c>
      <c r="AA41" s="0" t="n">
        <f aca="false">LEN(C41)+LEN(D41)+LEN(E41)+LEN(F41)+LEN(G41)+LEN(H41)+LEN(I41)+LEN(K41)+LEN(L41)+LEN(M41)+LEN(N41)</f>
        <v>42</v>
      </c>
    </row>
    <row r="42" customFormat="false" ht="15" hidden="false" customHeight="false" outlineLevel="0" collapsed="false">
      <c r="A42" s="0" t="s">
        <v>182</v>
      </c>
      <c r="B42" s="0" t="n">
        <v>1891</v>
      </c>
      <c r="C42" s="0" t="s">
        <v>183</v>
      </c>
      <c r="I42" s="0" t="s">
        <v>184</v>
      </c>
      <c r="J42" s="0" t="s">
        <v>185</v>
      </c>
      <c r="U42" s="0" t="s">
        <v>29</v>
      </c>
      <c r="AA42" s="0" t="n">
        <f aca="false">LEN(C42)+LEN(D42)+LEN(E42)+LEN(F42)+LEN(G42)+LEN(H42)+LEN(I42)+LEN(K42)+LEN(L42)+LEN(M42)+LEN(N42)</f>
        <v>41</v>
      </c>
    </row>
    <row r="43" customFormat="false" ht="15" hidden="false" customHeight="false" outlineLevel="0" collapsed="false">
      <c r="A43" s="0" t="s">
        <v>186</v>
      </c>
      <c r="B43" s="0" t="n">
        <v>1893</v>
      </c>
      <c r="C43" s="0" t="s">
        <v>187</v>
      </c>
      <c r="I43" s="0" t="s">
        <v>32</v>
      </c>
      <c r="J43" s="0" t="s">
        <v>188</v>
      </c>
      <c r="AA43" s="0" t="n">
        <f aca="false">LEN(C43)+LEN(D43)+LEN(E43)+LEN(F43)+LEN(G43)+LEN(H43)+LEN(I43)+LEN(K43)+LEN(L43)+LEN(M43)+LEN(N43)</f>
        <v>37</v>
      </c>
    </row>
    <row r="44" customFormat="false" ht="15" hidden="false" customHeight="false" outlineLevel="0" collapsed="false">
      <c r="A44" s="0" t="s">
        <v>189</v>
      </c>
      <c r="B44" s="0" t="n">
        <v>1893</v>
      </c>
      <c r="C44" s="0" t="s">
        <v>190</v>
      </c>
      <c r="I44" s="0" t="s">
        <v>191</v>
      </c>
      <c r="J44" s="0" t="s">
        <v>192</v>
      </c>
      <c r="AA44" s="0" t="n">
        <f aca="false">LEN(C44)+LEN(D44)+LEN(E44)+LEN(F44)+LEN(G44)+LEN(H44)+LEN(I44)+LEN(K44)+LEN(L44)+LEN(M44)+LEN(N44)</f>
        <v>44</v>
      </c>
    </row>
    <row r="45" customFormat="false" ht="15" hidden="false" customHeight="false" outlineLevel="0" collapsed="false">
      <c r="A45" s="0" t="s">
        <v>193</v>
      </c>
      <c r="B45" s="0" t="n">
        <v>1893</v>
      </c>
      <c r="C45" s="0" t="s">
        <v>194</v>
      </c>
      <c r="I45" s="0" t="s">
        <v>195</v>
      </c>
      <c r="J45" s="0" t="s">
        <v>196</v>
      </c>
      <c r="AA45" s="0" t="n">
        <f aca="false">LEN(C45)+LEN(D45)+LEN(E45)+LEN(F45)+LEN(G45)+LEN(H45)+LEN(I45)+LEN(K45)+LEN(L45)+LEN(M45)+LEN(N45)</f>
        <v>41</v>
      </c>
    </row>
    <row r="46" customFormat="false" ht="15" hidden="false" customHeight="false" outlineLevel="0" collapsed="false">
      <c r="A46" s="0" t="s">
        <v>197</v>
      </c>
      <c r="B46" s="0" t="n">
        <v>1893</v>
      </c>
      <c r="C46" s="0" t="s">
        <v>84</v>
      </c>
      <c r="J46" s="0" t="s">
        <v>198</v>
      </c>
      <c r="O46" s="0" t="s">
        <v>29</v>
      </c>
      <c r="AA46" s="0" t="n">
        <f aca="false">LEN(C46)+LEN(D46)+LEN(E46)+LEN(F46)+LEN(G46)+LEN(H46)+LEN(I46)+LEN(K46)+LEN(L46)+LEN(M46)+LEN(N46)</f>
        <v>9</v>
      </c>
    </row>
    <row r="47" customFormat="false" ht="15" hidden="false" customHeight="false" outlineLevel="0" collapsed="false">
      <c r="A47" s="0" t="s">
        <v>199</v>
      </c>
      <c r="B47" s="0" t="n">
        <v>1893</v>
      </c>
      <c r="C47" s="0" t="s">
        <v>200</v>
      </c>
      <c r="F47" s="0" t="n">
        <v>1888</v>
      </c>
      <c r="I47" s="0" t="s">
        <v>32</v>
      </c>
      <c r="J47" s="0" t="s">
        <v>201</v>
      </c>
      <c r="K47" s="0" t="s">
        <v>202</v>
      </c>
      <c r="L47" s="0" t="s">
        <v>203</v>
      </c>
      <c r="M47" s="0" t="s">
        <v>204</v>
      </c>
      <c r="N47" s="0" t="s">
        <v>110</v>
      </c>
      <c r="O47" s="0" t="s">
        <v>29</v>
      </c>
      <c r="V47" s="0" t="s">
        <v>29</v>
      </c>
      <c r="W47" s="0" t="s">
        <v>29</v>
      </c>
      <c r="X47" s="0" t="s">
        <v>29</v>
      </c>
      <c r="Y47" s="0" t="s">
        <v>29</v>
      </c>
      <c r="AA47" s="0" t="n">
        <f aca="false">LEN(C47)+LEN(D47)+LEN(E47)+LEN(F47)+LEN(G47)+LEN(H47)+LEN(I47)+LEN(K47)+LEN(L47)+LEN(M47)+LEN(N47)</f>
        <v>77</v>
      </c>
    </row>
    <row r="48" customFormat="false" ht="15" hidden="false" customHeight="false" outlineLevel="0" collapsed="false">
      <c r="A48" s="0" t="s">
        <v>205</v>
      </c>
      <c r="B48" s="0" t="n">
        <v>1893</v>
      </c>
      <c r="C48" s="0" t="s">
        <v>206</v>
      </c>
      <c r="I48" s="0" t="s">
        <v>177</v>
      </c>
      <c r="J48" s="0" t="s">
        <v>207</v>
      </c>
      <c r="AA48" s="0" t="n">
        <f aca="false">LEN(C48)+LEN(D48)+LEN(E48)+LEN(F48)+LEN(G48)+LEN(H48)+LEN(I48)+LEN(K48)+LEN(L48)+LEN(M48)+LEN(N48)</f>
        <v>41</v>
      </c>
    </row>
    <row r="49" customFormat="false" ht="15" hidden="false" customHeight="false" outlineLevel="0" collapsed="false">
      <c r="A49" s="0" t="s">
        <v>208</v>
      </c>
      <c r="B49" s="0" t="n">
        <v>1894</v>
      </c>
      <c r="C49" s="0" t="s">
        <v>209</v>
      </c>
      <c r="I49" s="0" t="s">
        <v>32</v>
      </c>
      <c r="J49" s="0" t="s">
        <v>210</v>
      </c>
      <c r="K49" s="0" t="s">
        <v>211</v>
      </c>
      <c r="L49" s="0" t="s">
        <v>212</v>
      </c>
      <c r="M49" s="0" t="s">
        <v>213</v>
      </c>
      <c r="N49" s="0" t="s">
        <v>214</v>
      </c>
      <c r="V49" s="0" t="s">
        <v>29</v>
      </c>
      <c r="W49" s="0" t="s">
        <v>29</v>
      </c>
      <c r="X49" s="0" t="s">
        <v>29</v>
      </c>
      <c r="AA49" s="0" t="n">
        <f aca="false">LEN(C49)+LEN(D49)+LEN(E49)+LEN(F49)+LEN(G49)+LEN(H49)+LEN(I49)+LEN(K49)+LEN(L49)+LEN(M49)+LEN(N49)</f>
        <v>57</v>
      </c>
    </row>
    <row r="50" customFormat="false" ht="15" hidden="false" customHeight="false" outlineLevel="0" collapsed="false">
      <c r="A50" s="0" t="s">
        <v>215</v>
      </c>
      <c r="B50" s="0" t="n">
        <v>1894</v>
      </c>
      <c r="C50" s="0" t="s">
        <v>216</v>
      </c>
      <c r="I50" s="0" t="s">
        <v>88</v>
      </c>
      <c r="J50" s="0" t="s">
        <v>217</v>
      </c>
      <c r="AA50" s="0" t="n">
        <f aca="false">LEN(C50)+LEN(D50)+LEN(E50)+LEN(F50)+LEN(G50)+LEN(H50)+LEN(I50)+LEN(K50)+LEN(L50)+LEN(M50)+LEN(N50)</f>
        <v>47</v>
      </c>
    </row>
    <row r="51" customFormat="false" ht="15" hidden="false" customHeight="false" outlineLevel="0" collapsed="false">
      <c r="A51" s="0" t="s">
        <v>218</v>
      </c>
      <c r="B51" s="0" t="n">
        <v>1894</v>
      </c>
      <c r="C51" s="0" t="s">
        <v>219</v>
      </c>
      <c r="I51" s="0" t="s">
        <v>145</v>
      </c>
      <c r="J51" s="0" t="s">
        <v>220</v>
      </c>
      <c r="R51" s="0" t="s">
        <v>29</v>
      </c>
      <c r="AA51" s="0" t="n">
        <f aca="false">LEN(C51)+LEN(D51)+LEN(E51)+LEN(F51)+LEN(G51)+LEN(H51)+LEN(I51)+LEN(K51)+LEN(L51)+LEN(M51)+LEN(N51)</f>
        <v>39</v>
      </c>
    </row>
    <row r="52" customFormat="false" ht="15" hidden="false" customHeight="false" outlineLevel="0" collapsed="false">
      <c r="A52" s="0" t="s">
        <v>221</v>
      </c>
      <c r="B52" s="0" t="n">
        <v>1894</v>
      </c>
      <c r="C52" s="0" t="s">
        <v>222</v>
      </c>
      <c r="I52" s="0" t="s">
        <v>223</v>
      </c>
      <c r="J52" s="0" t="s">
        <v>224</v>
      </c>
      <c r="O52" s="0" t="s">
        <v>29</v>
      </c>
      <c r="AA52" s="0" t="n">
        <f aca="false">LEN(C52)+LEN(D52)+LEN(E52)+LEN(F52)+LEN(G52)+LEN(H52)+LEN(I52)+LEN(K52)+LEN(L52)+LEN(M52)+LEN(N52)</f>
        <v>30</v>
      </c>
    </row>
    <row r="53" customFormat="false" ht="15" hidden="false" customHeight="false" outlineLevel="0" collapsed="false">
      <c r="A53" s="0" t="s">
        <v>225</v>
      </c>
      <c r="B53" s="0" t="n">
        <v>1894</v>
      </c>
      <c r="C53" s="0" t="s">
        <v>226</v>
      </c>
      <c r="I53" s="0" t="s">
        <v>227</v>
      </c>
      <c r="J53" s="0" t="s">
        <v>228</v>
      </c>
      <c r="AA53" s="0" t="n">
        <f aca="false">LEN(C53)+LEN(D53)+LEN(E53)+LEN(F53)+LEN(G53)+LEN(H53)+LEN(I53)+LEN(K53)+LEN(L53)+LEN(M53)+LEN(N53)</f>
        <v>46</v>
      </c>
    </row>
    <row r="54" customFormat="false" ht="15" hidden="false" customHeight="false" outlineLevel="0" collapsed="false">
      <c r="A54" s="0" t="s">
        <v>229</v>
      </c>
      <c r="B54" s="0" t="n">
        <v>1894</v>
      </c>
      <c r="C54" s="0" t="s">
        <v>230</v>
      </c>
      <c r="I54" s="0" t="s">
        <v>32</v>
      </c>
      <c r="J54" s="0" t="s">
        <v>231</v>
      </c>
      <c r="Q54" s="0" t="s">
        <v>29</v>
      </c>
      <c r="V54" s="0" t="s">
        <v>29</v>
      </c>
      <c r="W54" s="0" t="s">
        <v>29</v>
      </c>
      <c r="AA54" s="0" t="n">
        <f aca="false">LEN(C54)+LEN(D54)+LEN(E54)+LEN(F54)+LEN(G54)+LEN(H54)+LEN(I54)+LEN(K54)+LEN(L54)+LEN(M54)+LEN(N54)</f>
        <v>36</v>
      </c>
    </row>
    <row r="55" customFormat="false" ht="15" hidden="false" customHeight="false" outlineLevel="0" collapsed="false">
      <c r="A55" s="0" t="s">
        <v>232</v>
      </c>
      <c r="B55" s="0" t="n">
        <v>1894</v>
      </c>
      <c r="C55" s="0" t="s">
        <v>233</v>
      </c>
      <c r="I55" s="0" t="s">
        <v>213</v>
      </c>
      <c r="J55" s="0" t="s">
        <v>234</v>
      </c>
      <c r="U55" s="0" t="s">
        <v>29</v>
      </c>
      <c r="AA55" s="0" t="n">
        <f aca="false">LEN(C55)+LEN(D55)+LEN(E55)+LEN(F55)+LEN(G55)+LEN(H55)+LEN(I55)+LEN(K55)+LEN(L55)+LEN(M55)+LEN(N55)</f>
        <v>27</v>
      </c>
    </row>
    <row r="56" customFormat="false" ht="15" hidden="false" customHeight="false" outlineLevel="0" collapsed="false">
      <c r="A56" s="0" t="s">
        <v>235</v>
      </c>
      <c r="B56" s="0" t="n">
        <v>1894</v>
      </c>
      <c r="C56" s="0" t="s">
        <v>236</v>
      </c>
      <c r="D56" s="0" t="n">
        <v>463414.6</v>
      </c>
      <c r="I56" s="0" t="s">
        <v>184</v>
      </c>
      <c r="J56" s="0" t="s">
        <v>237</v>
      </c>
      <c r="U56" s="0" t="s">
        <v>29</v>
      </c>
      <c r="AA56" s="0" t="n">
        <f aca="false">LEN(C56)+LEN(D56)+LEN(E56)+LEN(F56)+LEN(G56)+LEN(H56)+LEN(I56)+LEN(K56)+LEN(L56)+LEN(M56)+LEN(N56)</f>
        <v>47</v>
      </c>
    </row>
    <row r="57" customFormat="false" ht="15" hidden="false" customHeight="false" outlineLevel="0" collapsed="false">
      <c r="A57" s="0" t="s">
        <v>238</v>
      </c>
      <c r="B57" s="0" t="n">
        <v>1894</v>
      </c>
      <c r="C57" s="0" t="s">
        <v>239</v>
      </c>
      <c r="I57" s="0" t="s">
        <v>240</v>
      </c>
      <c r="J57" s="0" t="s">
        <v>241</v>
      </c>
      <c r="U57" s="0" t="s">
        <v>29</v>
      </c>
      <c r="AA57" s="0" t="n">
        <f aca="false">LEN(C57)+LEN(D57)+LEN(E57)+LEN(F57)+LEN(G57)+LEN(H57)+LEN(I57)+LEN(K57)+LEN(L57)+LEN(M57)+LEN(N57)</f>
        <v>26</v>
      </c>
    </row>
    <row r="58" customFormat="false" ht="15" hidden="false" customHeight="false" outlineLevel="0" collapsed="false">
      <c r="A58" s="0" t="s">
        <v>242</v>
      </c>
      <c r="B58" s="0" t="n">
        <v>1895</v>
      </c>
      <c r="C58" s="0" t="s">
        <v>243</v>
      </c>
      <c r="I58" s="0" t="s">
        <v>244</v>
      </c>
      <c r="J58" s="0" t="s">
        <v>245</v>
      </c>
      <c r="AA58" s="0" t="n">
        <f aca="false">LEN(C58)+LEN(D58)+LEN(E58)+LEN(F58)+LEN(G58)+LEN(H58)+LEN(I58)+LEN(K58)+LEN(L58)+LEN(M58)+LEN(N58)</f>
        <v>38</v>
      </c>
    </row>
    <row r="59" customFormat="false" ht="15" hidden="false" customHeight="false" outlineLevel="0" collapsed="false">
      <c r="A59" s="0" t="s">
        <v>246</v>
      </c>
      <c r="B59" s="0" t="n">
        <v>1895</v>
      </c>
      <c r="C59" s="0" t="s">
        <v>247</v>
      </c>
      <c r="I59" s="0" t="s">
        <v>248</v>
      </c>
      <c r="J59" s="0" t="s">
        <v>249</v>
      </c>
      <c r="U59" s="0" t="s">
        <v>29</v>
      </c>
      <c r="AA59" s="0" t="n">
        <f aca="false">LEN(C59)+LEN(D59)+LEN(E59)+LEN(F59)+LEN(G59)+LEN(H59)+LEN(I59)+LEN(K59)+LEN(L59)+LEN(M59)+LEN(N59)</f>
        <v>34</v>
      </c>
    </row>
    <row r="60" customFormat="false" ht="15" hidden="false" customHeight="false" outlineLevel="0" collapsed="false">
      <c r="A60" s="0" t="s">
        <v>250</v>
      </c>
      <c r="B60" s="0" t="n">
        <v>1895</v>
      </c>
      <c r="C60" s="0" t="s">
        <v>251</v>
      </c>
      <c r="J60" s="0" t="s">
        <v>252</v>
      </c>
      <c r="U60" s="0" t="s">
        <v>29</v>
      </c>
      <c r="AA60" s="0" t="n">
        <f aca="false">LEN(C60)+LEN(D60)+LEN(E60)+LEN(F60)+LEN(G60)+LEN(H60)+LEN(I60)+LEN(K60)+LEN(L60)+LEN(M60)+LEN(N60)</f>
        <v>12</v>
      </c>
    </row>
    <row r="61" customFormat="false" ht="15" hidden="false" customHeight="false" outlineLevel="0" collapsed="false">
      <c r="A61" s="0" t="s">
        <v>253</v>
      </c>
      <c r="B61" s="0" t="n">
        <v>1895</v>
      </c>
      <c r="C61" s="0" t="s">
        <v>254</v>
      </c>
      <c r="I61" s="0" t="s">
        <v>255</v>
      </c>
      <c r="J61" s="0" t="s">
        <v>256</v>
      </c>
      <c r="AA61" s="0" t="n">
        <f aca="false">LEN(C61)+LEN(D61)+LEN(E61)+LEN(F61)+LEN(G61)+LEN(H61)+LEN(I61)+LEN(K61)+LEN(L61)+LEN(M61)+LEN(N61)</f>
        <v>46</v>
      </c>
    </row>
    <row r="62" customFormat="false" ht="15" hidden="false" customHeight="false" outlineLevel="0" collapsed="false">
      <c r="A62" s="0" t="s">
        <v>257</v>
      </c>
      <c r="B62" s="0" t="n">
        <v>1895</v>
      </c>
      <c r="C62" s="0" t="s">
        <v>258</v>
      </c>
      <c r="I62" s="0" t="s">
        <v>184</v>
      </c>
      <c r="J62" s="0" t="s">
        <v>259</v>
      </c>
      <c r="AA62" s="0" t="n">
        <f aca="false">LEN(C62)+LEN(D62)+LEN(E62)+LEN(F62)+LEN(G62)+LEN(H62)+LEN(I62)+LEN(K62)+LEN(L62)+LEN(M62)+LEN(N62)</f>
        <v>41</v>
      </c>
    </row>
    <row r="63" customFormat="false" ht="15" hidden="false" customHeight="false" outlineLevel="0" collapsed="false">
      <c r="A63" s="0" t="s">
        <v>260</v>
      </c>
      <c r="B63" s="0" t="n">
        <v>1895</v>
      </c>
      <c r="C63" s="0" t="s">
        <v>261</v>
      </c>
      <c r="I63" s="0" t="s">
        <v>32</v>
      </c>
      <c r="J63" s="0" t="s">
        <v>262</v>
      </c>
      <c r="AA63" s="0" t="n">
        <f aca="false">LEN(C63)+LEN(D63)+LEN(E63)+LEN(F63)+LEN(G63)+LEN(H63)+LEN(I63)+LEN(K63)+LEN(L63)+LEN(M63)+LEN(N63)</f>
        <v>28</v>
      </c>
    </row>
    <row r="64" customFormat="false" ht="15" hidden="false" customHeight="false" outlineLevel="0" collapsed="false">
      <c r="A64" s="0" t="s">
        <v>263</v>
      </c>
      <c r="B64" s="0" t="n">
        <v>1895</v>
      </c>
      <c r="C64" s="0" t="s">
        <v>26</v>
      </c>
      <c r="I64" s="0" t="s">
        <v>264</v>
      </c>
      <c r="J64" s="0" t="s">
        <v>265</v>
      </c>
      <c r="O64" s="0" t="s">
        <v>29</v>
      </c>
      <c r="AA64" s="0" t="n">
        <f aca="false">LEN(C64)+LEN(D64)+LEN(E64)+LEN(F64)+LEN(G64)+LEN(H64)+LEN(I64)+LEN(K64)+LEN(L64)+LEN(M64)+LEN(N64)</f>
        <v>21</v>
      </c>
    </row>
    <row r="65" customFormat="false" ht="15" hidden="false" customHeight="false" outlineLevel="0" collapsed="false">
      <c r="A65" s="0" t="s">
        <v>266</v>
      </c>
      <c r="B65" s="0" t="n">
        <v>1895</v>
      </c>
      <c r="C65" s="0" t="s">
        <v>47</v>
      </c>
      <c r="I65" s="0" t="s">
        <v>48</v>
      </c>
      <c r="J65" s="0" t="s">
        <v>267</v>
      </c>
      <c r="V65" s="0" t="s">
        <v>24</v>
      </c>
      <c r="W65" s="0" t="s">
        <v>24</v>
      </c>
      <c r="X65" s="0" t="s">
        <v>24</v>
      </c>
      <c r="AA65" s="0" t="n">
        <f aca="false">LEN(C65)+LEN(D65)+LEN(E65)+LEN(F65)+LEN(G65)+LEN(H65)+LEN(I65)+LEN(K65)+LEN(L65)+LEN(M65)+LEN(N65)</f>
        <v>45</v>
      </c>
    </row>
    <row r="66" customFormat="false" ht="15" hidden="false" customHeight="false" outlineLevel="0" collapsed="false">
      <c r="A66" s="0" t="s">
        <v>268</v>
      </c>
      <c r="B66" s="0" t="n">
        <v>1895</v>
      </c>
      <c r="C66" s="0" t="s">
        <v>269</v>
      </c>
      <c r="D66" s="0" t="s">
        <v>152</v>
      </c>
      <c r="E66" s="0" t="s">
        <v>152</v>
      </c>
      <c r="F66" s="0" t="s">
        <v>152</v>
      </c>
      <c r="G66" s="0" t="s">
        <v>152</v>
      </c>
      <c r="H66" s="0" t="s">
        <v>152</v>
      </c>
      <c r="I66" s="0" t="s">
        <v>270</v>
      </c>
      <c r="J66" s="0" t="s">
        <v>271</v>
      </c>
      <c r="K66" s="0" t="s">
        <v>152</v>
      </c>
      <c r="L66" s="0" t="s">
        <v>152</v>
      </c>
      <c r="M66" s="0" t="s">
        <v>152</v>
      </c>
      <c r="N66" s="0" t="s">
        <v>152</v>
      </c>
      <c r="O66" s="0" t="s">
        <v>29</v>
      </c>
      <c r="U66" s="0" t="s">
        <v>29</v>
      </c>
      <c r="Z66" s="0" t="n">
        <v>1</v>
      </c>
      <c r="AA66" s="0" t="n">
        <f aca="false">LEN(C66)</f>
        <v>13</v>
      </c>
    </row>
    <row r="67" customFormat="false" ht="15" hidden="false" customHeight="false" outlineLevel="0" collapsed="false">
      <c r="A67" s="0" t="s">
        <v>272</v>
      </c>
      <c r="B67" s="0" t="n">
        <v>1895</v>
      </c>
      <c r="C67" s="0" t="s">
        <v>273</v>
      </c>
      <c r="I67" s="0" t="s">
        <v>32</v>
      </c>
      <c r="J67" s="0" t="s">
        <v>274</v>
      </c>
      <c r="O67" s="0" t="s">
        <v>29</v>
      </c>
      <c r="R67" s="0" t="s">
        <v>29</v>
      </c>
      <c r="AA67" s="0" t="n">
        <f aca="false">LEN(C67)+LEN(D67)+LEN(E67)+LEN(F67)+LEN(G67)+LEN(H67)+LEN(I67)+LEN(K67)+LEN(L67)+LEN(M67)+LEN(N67)</f>
        <v>40</v>
      </c>
    </row>
    <row r="68" customFormat="false" ht="15" hidden="false" customHeight="false" outlineLevel="0" collapsed="false">
      <c r="A68" s="0" t="s">
        <v>275</v>
      </c>
      <c r="B68" s="0" t="n">
        <v>1895</v>
      </c>
      <c r="C68" s="0" t="s">
        <v>276</v>
      </c>
      <c r="I68" s="0" t="s">
        <v>32</v>
      </c>
      <c r="J68" s="0" t="s">
        <v>277</v>
      </c>
      <c r="AA68" s="0" t="n">
        <f aca="false">LEN(C68)+LEN(D68)+LEN(E68)+LEN(F68)+LEN(G68)+LEN(H68)+LEN(I68)+LEN(K68)+LEN(L68)+LEN(M68)+LEN(N68)</f>
        <v>41</v>
      </c>
    </row>
    <row r="69" customFormat="false" ht="15" hidden="false" customHeight="false" outlineLevel="0" collapsed="false">
      <c r="A69" s="0" t="s">
        <v>278</v>
      </c>
      <c r="B69" s="0" t="n">
        <v>1895</v>
      </c>
      <c r="C69" s="0" t="s">
        <v>279</v>
      </c>
      <c r="I69" s="0" t="s">
        <v>32</v>
      </c>
      <c r="J69" s="0" t="s">
        <v>280</v>
      </c>
      <c r="O69" s="0" t="s">
        <v>29</v>
      </c>
      <c r="AA69" s="0" t="n">
        <f aca="false">LEN(C69)+LEN(D69)+LEN(E69)+LEN(F69)+LEN(G69)+LEN(H69)+LEN(I69)+LEN(K69)+LEN(L69)+LEN(M69)+LEN(N69)</f>
        <v>18</v>
      </c>
    </row>
    <row r="70" customFormat="false" ht="15" hidden="false" customHeight="false" outlineLevel="0" collapsed="false">
      <c r="A70" s="0" t="s">
        <v>281</v>
      </c>
      <c r="B70" s="0" t="n">
        <v>1895</v>
      </c>
      <c r="C70" s="0" t="s">
        <v>282</v>
      </c>
      <c r="I70" s="0" t="s">
        <v>177</v>
      </c>
      <c r="J70" s="0" t="s">
        <v>283</v>
      </c>
      <c r="AA70" s="0" t="n">
        <f aca="false">LEN(C70)+LEN(D70)+LEN(E70)+LEN(F70)+LEN(G70)+LEN(H70)+LEN(I70)+LEN(K70)+LEN(L70)+LEN(M70)+LEN(N70)</f>
        <v>45</v>
      </c>
    </row>
    <row r="71" customFormat="false" ht="15" hidden="false" customHeight="false" outlineLevel="0" collapsed="false">
      <c r="A71" s="0" t="s">
        <v>284</v>
      </c>
      <c r="B71" s="0" t="n">
        <v>1895</v>
      </c>
      <c r="C71" s="0" t="s">
        <v>285</v>
      </c>
      <c r="I71" s="0" t="s">
        <v>32</v>
      </c>
      <c r="J71" s="0" t="s">
        <v>286</v>
      </c>
      <c r="AA71" s="0" t="n">
        <f aca="false">LEN(C71)+LEN(D71)+LEN(E71)+LEN(F71)+LEN(G71)+LEN(H71)+LEN(I71)+LEN(K71)+LEN(L71)+LEN(M71)+LEN(N71)</f>
        <v>42</v>
      </c>
    </row>
    <row r="72" customFormat="false" ht="15" hidden="false" customHeight="false" outlineLevel="0" collapsed="false">
      <c r="A72" s="0" t="s">
        <v>287</v>
      </c>
      <c r="B72" s="0" t="n">
        <v>1895</v>
      </c>
      <c r="C72" s="0" t="s">
        <v>288</v>
      </c>
      <c r="E72" s="0" t="s">
        <v>289</v>
      </c>
      <c r="I72" s="0" t="s">
        <v>177</v>
      </c>
      <c r="J72" s="0" t="s">
        <v>290</v>
      </c>
      <c r="O72" s="0" t="s">
        <v>29</v>
      </c>
      <c r="Q72" s="0" t="s">
        <v>29</v>
      </c>
      <c r="U72" s="0" t="s">
        <v>29</v>
      </c>
      <c r="AA72" s="0" t="n">
        <f aca="false">LEN(C72)+LEN(D72)+LEN(E72)+LEN(F72)+LEN(G72)+LEN(H72)+LEN(I72)+LEN(K72)+LEN(L72)+LEN(M72)+LEN(N72)</f>
        <v>52</v>
      </c>
    </row>
    <row r="73" customFormat="false" ht="15" hidden="false" customHeight="false" outlineLevel="0" collapsed="false">
      <c r="A73" s="0" t="s">
        <v>291</v>
      </c>
      <c r="B73" s="0" t="n">
        <v>1895</v>
      </c>
      <c r="C73" s="0" t="s">
        <v>292</v>
      </c>
      <c r="I73" s="0" t="s">
        <v>293</v>
      </c>
      <c r="J73" s="0" t="s">
        <v>294</v>
      </c>
      <c r="O73" s="0" t="s">
        <v>29</v>
      </c>
      <c r="U73" s="0" t="s">
        <v>29</v>
      </c>
      <c r="AA73" s="0" t="n">
        <f aca="false">LEN(C73)+LEN(D73)+LEN(E73)+LEN(F73)+LEN(G73)+LEN(H73)+LEN(I73)+LEN(K73)+LEN(L73)+LEN(M73)+LEN(N73)</f>
        <v>17</v>
      </c>
    </row>
    <row r="74" customFormat="false" ht="15" hidden="false" customHeight="false" outlineLevel="0" collapsed="false">
      <c r="A74" s="0" t="s">
        <v>295</v>
      </c>
      <c r="B74" s="0" t="n">
        <v>1895</v>
      </c>
      <c r="C74" s="0" t="s">
        <v>296</v>
      </c>
      <c r="I74" s="0" t="s">
        <v>137</v>
      </c>
      <c r="J74" s="0" t="s">
        <v>297</v>
      </c>
      <c r="AA74" s="0" t="n">
        <f aca="false">LEN(C74)+LEN(D74)+LEN(E74)+LEN(F74)+LEN(G74)+LEN(H74)+LEN(I74)+LEN(K74)+LEN(L74)+LEN(M74)+LEN(N74)</f>
        <v>49</v>
      </c>
    </row>
    <row r="75" customFormat="false" ht="15" hidden="false" customHeight="false" outlineLevel="0" collapsed="false">
      <c r="A75" s="0" t="s">
        <v>298</v>
      </c>
      <c r="B75" s="0" t="n">
        <v>1895</v>
      </c>
      <c r="C75" s="0" t="s">
        <v>273</v>
      </c>
      <c r="I75" s="0" t="s">
        <v>32</v>
      </c>
      <c r="J75" s="3" t="s">
        <v>274</v>
      </c>
      <c r="AA75" s="0" t="n">
        <f aca="false">LEN(C75)+LEN(D75)+LEN(E75)+LEN(F75)+LEN(G75)+LEN(H75)+LEN(I75)+LEN(K75)+LEN(L75)+LEN(M75)+LEN(N75)</f>
        <v>40</v>
      </c>
    </row>
    <row r="76" customFormat="false" ht="15" hidden="false" customHeight="false" outlineLevel="0" collapsed="false">
      <c r="A76" s="0" t="s">
        <v>299</v>
      </c>
      <c r="B76" s="0" t="n">
        <v>1895</v>
      </c>
      <c r="C76" s="0" t="s">
        <v>300</v>
      </c>
      <c r="I76" s="0" t="s">
        <v>32</v>
      </c>
      <c r="J76" s="0" t="s">
        <v>301</v>
      </c>
      <c r="O76" s="0" t="s">
        <v>29</v>
      </c>
      <c r="AA76" s="0" t="n">
        <f aca="false">LEN(C76)+LEN(D76)+LEN(E76)+LEN(F76)+LEN(G76)+LEN(H76)+LEN(I76)+LEN(K76)+LEN(L76)+LEN(M76)+LEN(N76)</f>
        <v>29</v>
      </c>
    </row>
    <row r="77" customFormat="false" ht="15" hidden="false" customHeight="false" outlineLevel="0" collapsed="false">
      <c r="A77" s="0" t="s">
        <v>302</v>
      </c>
      <c r="B77" s="0" t="n">
        <v>1895</v>
      </c>
      <c r="C77" s="0" t="s">
        <v>174</v>
      </c>
      <c r="I77" s="0" t="s">
        <v>303</v>
      </c>
      <c r="J77" s="0" t="s">
        <v>304</v>
      </c>
      <c r="O77" s="0" t="s">
        <v>29</v>
      </c>
      <c r="AA77" s="0" t="n">
        <f aca="false">LEN(C77)+LEN(D77)+LEN(E77)+LEN(F77)+LEN(G77)+LEN(H77)+LEN(I77)+LEN(K77)+LEN(L77)+LEN(M77)+LEN(N77)</f>
        <v>34</v>
      </c>
    </row>
    <row r="78" customFormat="false" ht="15" hidden="false" customHeight="false" outlineLevel="0" collapsed="false">
      <c r="A78" s="0" t="s">
        <v>305</v>
      </c>
      <c r="B78" s="0" t="n">
        <v>1903</v>
      </c>
      <c r="C78" s="0" t="s">
        <v>306</v>
      </c>
      <c r="F78" s="0" t="n">
        <v>1809</v>
      </c>
      <c r="I78" s="0" t="s">
        <v>32</v>
      </c>
      <c r="J78" s="0" t="s">
        <v>307</v>
      </c>
      <c r="AA78" s="0" t="n">
        <f aca="false">LEN(C78)+LEN(D78)+LEN(E78)+LEN(F78)+LEN(G78)+LEN(H78)+LEN(I78)+LEN(K78)+LEN(L78)+LEN(M78)+LEN(N78)</f>
        <v>41</v>
      </c>
    </row>
    <row r="79" customFormat="false" ht="15" hidden="false" customHeight="false" outlineLevel="0" collapsed="false">
      <c r="A79" s="0" t="s">
        <v>308</v>
      </c>
      <c r="B79" s="0" t="n">
        <v>1903</v>
      </c>
      <c r="C79" s="0" t="s">
        <v>309</v>
      </c>
      <c r="I79" s="0" t="s">
        <v>160</v>
      </c>
      <c r="J79" s="0" t="s">
        <v>310</v>
      </c>
      <c r="U79" s="0" t="s">
        <v>29</v>
      </c>
      <c r="AA79" s="0" t="n">
        <f aca="false">LEN(C79)+LEN(D79)+LEN(E79)+LEN(F79)+LEN(G79)+LEN(H79)+LEN(I79)+LEN(K79)+LEN(L79)+LEN(M79)+LEN(N79)</f>
        <v>38</v>
      </c>
    </row>
    <row r="80" customFormat="false" ht="15" hidden="false" customHeight="false" outlineLevel="0" collapsed="false">
      <c r="A80" s="0" t="s">
        <v>311</v>
      </c>
      <c r="B80" s="0" t="n">
        <v>1903</v>
      </c>
      <c r="C80" s="0" t="s">
        <v>312</v>
      </c>
      <c r="I80" s="0" t="s">
        <v>313</v>
      </c>
      <c r="J80" s="0" t="s">
        <v>314</v>
      </c>
      <c r="U80" s="0" t="s">
        <v>29</v>
      </c>
      <c r="AA80" s="0" t="n">
        <f aca="false">LEN(C80)+LEN(D80)+LEN(E80)+LEN(F80)+LEN(G80)+LEN(H80)+LEN(I80)+LEN(K80)+LEN(L80)+LEN(M80)+LEN(N80)</f>
        <v>34</v>
      </c>
    </row>
    <row r="81" customFormat="false" ht="15" hidden="false" customHeight="false" outlineLevel="0" collapsed="false">
      <c r="A81" s="0" t="s">
        <v>315</v>
      </c>
      <c r="B81" s="0" t="n">
        <v>1903</v>
      </c>
      <c r="C81" s="0" t="s">
        <v>316</v>
      </c>
      <c r="I81" s="0" t="s">
        <v>317</v>
      </c>
      <c r="J81" s="0" t="s">
        <v>318</v>
      </c>
      <c r="U81" s="0" t="s">
        <v>29</v>
      </c>
      <c r="AA81" s="0" t="n">
        <f aca="false">LEN(C81)+LEN(D81)+LEN(E81)+LEN(F81)+LEN(G81)+LEN(H81)+LEN(I81)+LEN(K81)+LEN(L81)+LEN(M81)+LEN(N81)</f>
        <v>47</v>
      </c>
    </row>
    <row r="82" customFormat="false" ht="15" hidden="false" customHeight="false" outlineLevel="0" collapsed="false">
      <c r="A82" s="0" t="s">
        <v>319</v>
      </c>
      <c r="B82" s="0" t="n">
        <v>1903</v>
      </c>
      <c r="C82" s="0" t="s">
        <v>320</v>
      </c>
      <c r="J82" s="0" t="s">
        <v>321</v>
      </c>
      <c r="K82" s="0" t="s">
        <v>322</v>
      </c>
      <c r="L82" s="0" t="s">
        <v>323</v>
      </c>
      <c r="M82" s="0" t="s">
        <v>324</v>
      </c>
      <c r="N82" s="0" t="s">
        <v>110</v>
      </c>
      <c r="U82" s="0" t="s">
        <v>29</v>
      </c>
      <c r="AA82" s="0" t="n">
        <f aca="false">LEN(C82)+LEN(D82)+LEN(E82)+LEN(F82)+LEN(G82)+LEN(H82)+LEN(I82)+LEN(K82)+LEN(L82)+LEN(M82)+LEN(N82)</f>
        <v>49</v>
      </c>
    </row>
    <row r="83" customFormat="false" ht="15" hidden="false" customHeight="false" outlineLevel="0" collapsed="false">
      <c r="A83" s="0" t="s">
        <v>319</v>
      </c>
      <c r="B83" s="0" t="n">
        <v>1903</v>
      </c>
      <c r="C83" s="0" t="s">
        <v>320</v>
      </c>
      <c r="J83" s="0" t="s">
        <v>321</v>
      </c>
      <c r="K83" s="0" t="s">
        <v>325</v>
      </c>
      <c r="L83" s="0" t="s">
        <v>326</v>
      </c>
      <c r="N83" s="0" t="s">
        <v>110</v>
      </c>
      <c r="U83" s="0" t="s">
        <v>29</v>
      </c>
      <c r="V83" s="0" t="s">
        <v>29</v>
      </c>
      <c r="X83" s="0" t="s">
        <v>29</v>
      </c>
      <c r="AA83" s="0" t="n">
        <f aca="false">LEN(C83)+LEN(D83)+LEN(E83)+LEN(F83)+LEN(G83)+LEN(H83)+LEN(I83)+LEN(K83)+LEN(L83)+LEN(M83)+LEN(N83)</f>
        <v>45</v>
      </c>
    </row>
    <row r="84" customFormat="false" ht="15" hidden="false" customHeight="false" outlineLevel="0" collapsed="false">
      <c r="A84" s="0" t="s">
        <v>327</v>
      </c>
      <c r="B84" s="0" t="n">
        <v>1903</v>
      </c>
      <c r="C84" s="0" t="s">
        <v>328</v>
      </c>
      <c r="J84" s="0" t="s">
        <v>329</v>
      </c>
      <c r="U84" s="0" t="s">
        <v>29</v>
      </c>
      <c r="AA84" s="0" t="n">
        <f aca="false">LEN(C84)+LEN(D84)+LEN(E84)+LEN(F84)+LEN(G84)+LEN(H84)+LEN(I84)+LEN(K84)+LEN(L84)+LEN(M84)+LEN(N84)</f>
        <v>36</v>
      </c>
    </row>
    <row r="85" customFormat="false" ht="15" hidden="false" customHeight="false" outlineLevel="0" collapsed="false">
      <c r="A85" s="0" t="s">
        <v>330</v>
      </c>
      <c r="B85" s="0" t="n">
        <v>1903</v>
      </c>
      <c r="C85" s="0" t="s">
        <v>331</v>
      </c>
      <c r="I85" s="0" t="s">
        <v>332</v>
      </c>
      <c r="J85" s="0" t="s">
        <v>333</v>
      </c>
      <c r="AA85" s="0" t="n">
        <f aca="false">LEN(C85)+LEN(D85)+LEN(E85)+LEN(F85)+LEN(G85)+LEN(H85)+LEN(I85)+LEN(K85)+LEN(L85)+LEN(M85)+LEN(N85)</f>
        <v>44</v>
      </c>
    </row>
    <row r="86" customFormat="false" ht="15" hidden="false" customHeight="false" outlineLevel="0" collapsed="false">
      <c r="A86" s="0" t="s">
        <v>334</v>
      </c>
      <c r="B86" s="0" t="n">
        <v>1903</v>
      </c>
      <c r="C86" s="0" t="s">
        <v>335</v>
      </c>
      <c r="I86" s="0" t="s">
        <v>336</v>
      </c>
      <c r="J86" s="0" t="s">
        <v>337</v>
      </c>
      <c r="U86" s="0" t="s">
        <v>29</v>
      </c>
      <c r="AA86" s="0" t="n">
        <f aca="false">LEN(C86)+LEN(D86)+LEN(E86)+LEN(F86)+LEN(G86)+LEN(H86)+LEN(I86)+LEN(K86)+LEN(L86)+LEN(M86)+LEN(N86)</f>
        <v>39</v>
      </c>
    </row>
    <row r="87" customFormat="false" ht="15" hidden="false" customHeight="false" outlineLevel="0" collapsed="false">
      <c r="A87" s="0" t="s">
        <v>338</v>
      </c>
      <c r="B87" s="0" t="n">
        <v>1903</v>
      </c>
      <c r="C87" s="0" t="s">
        <v>339</v>
      </c>
      <c r="I87" s="0" t="s">
        <v>340</v>
      </c>
      <c r="J87" s="0" t="s">
        <v>341</v>
      </c>
      <c r="O87" s="0" t="s">
        <v>29</v>
      </c>
      <c r="AA87" s="0" t="n">
        <f aca="false">LEN(C87)+LEN(D87)+LEN(E87)+LEN(F87)+LEN(G87)+LEN(H87)+LEN(I87)+LEN(K87)+LEN(L87)+LEN(M87)+LEN(N87)</f>
        <v>28</v>
      </c>
    </row>
    <row r="88" customFormat="false" ht="15" hidden="false" customHeight="false" outlineLevel="0" collapsed="false">
      <c r="A88" s="0" t="s">
        <v>342</v>
      </c>
      <c r="B88" s="0" t="n">
        <v>1903</v>
      </c>
      <c r="C88" s="0" t="s">
        <v>343</v>
      </c>
      <c r="I88" s="0" t="s">
        <v>88</v>
      </c>
      <c r="J88" s="0" t="s">
        <v>344</v>
      </c>
      <c r="AA88" s="0" t="n">
        <f aca="false">LEN(C88)+LEN(D88)+LEN(E88)+LEN(F88)+LEN(G88)+LEN(H88)+LEN(I88)+LEN(K88)+LEN(L88)+LEN(M88)+LEN(N88)</f>
        <v>38</v>
      </c>
    </row>
    <row r="89" customFormat="false" ht="15" hidden="false" customHeight="false" outlineLevel="0" collapsed="false">
      <c r="A89" s="0" t="s">
        <v>345</v>
      </c>
      <c r="B89" s="0" t="n">
        <v>1908</v>
      </c>
      <c r="C89" s="0" t="s">
        <v>346</v>
      </c>
      <c r="I89" s="0" t="s">
        <v>347</v>
      </c>
      <c r="J89" s="0" t="s">
        <v>348</v>
      </c>
      <c r="AA89" s="0" t="n">
        <f aca="false">LEN(C89)+LEN(D89)+LEN(E89)+LEN(F89)+LEN(G89)+LEN(H89)+LEN(I89)+LEN(K89)+LEN(L89)+LEN(M89)+LEN(N89)</f>
        <v>30</v>
      </c>
    </row>
    <row r="90" customFormat="false" ht="15" hidden="false" customHeight="false" outlineLevel="0" collapsed="false">
      <c r="A90" s="0" t="s">
        <v>349</v>
      </c>
      <c r="B90" s="0" t="n">
        <v>1908</v>
      </c>
      <c r="C90" s="0" t="s">
        <v>350</v>
      </c>
      <c r="D90" s="0" t="n">
        <v>632603.4</v>
      </c>
      <c r="I90" s="0" t="s">
        <v>88</v>
      </c>
      <c r="J90" s="0" t="s">
        <v>351</v>
      </c>
      <c r="O90" s="0" t="s">
        <v>29</v>
      </c>
      <c r="AA90" s="0" t="n">
        <f aca="false">LEN(C90)+LEN(D90)+LEN(E90)+LEN(F90)+LEN(G90)+LEN(H90)+LEN(I90)+LEN(K90)+LEN(L90)+LEN(M90)+LEN(N90)</f>
        <v>49</v>
      </c>
    </row>
    <row r="91" customFormat="false" ht="15" hidden="false" customHeight="false" outlineLevel="0" collapsed="false">
      <c r="A91" s="0" t="s">
        <v>352</v>
      </c>
      <c r="B91" s="0" t="n">
        <v>1908</v>
      </c>
      <c r="C91" s="0" t="s">
        <v>353</v>
      </c>
      <c r="I91" s="0" t="s">
        <v>32</v>
      </c>
      <c r="J91" s="0" t="s">
        <v>354</v>
      </c>
      <c r="AA91" s="0" t="n">
        <f aca="false">LEN(C91)+LEN(D91)+LEN(E91)+LEN(F91)+LEN(G91)+LEN(H91)+LEN(I91)+LEN(K91)+LEN(L91)+LEN(M91)+LEN(N91)</f>
        <v>42</v>
      </c>
    </row>
    <row r="92" customFormat="false" ht="15" hidden="false" customHeight="false" outlineLevel="0" collapsed="false">
      <c r="A92" s="0" t="s">
        <v>355</v>
      </c>
      <c r="B92" s="0" t="n">
        <v>1908</v>
      </c>
      <c r="C92" s="0" t="s">
        <v>356</v>
      </c>
      <c r="I92" s="0" t="s">
        <v>32</v>
      </c>
      <c r="J92" s="0" t="s">
        <v>357</v>
      </c>
      <c r="AA92" s="0" t="n">
        <f aca="false">LEN(C92)+LEN(D92)+LEN(E92)+LEN(F92)+LEN(G92)+LEN(H92)+LEN(I92)+LEN(K92)+LEN(L92)+LEN(M92)+LEN(N92)</f>
        <v>20</v>
      </c>
    </row>
    <row r="93" customFormat="false" ht="15" hidden="false" customHeight="false" outlineLevel="0" collapsed="false">
      <c r="A93" s="0" t="s">
        <v>358</v>
      </c>
      <c r="B93" s="0" t="n">
        <v>1908</v>
      </c>
      <c r="C93" s="0" t="s">
        <v>359</v>
      </c>
      <c r="D93" s="0" t="s">
        <v>152</v>
      </c>
      <c r="E93" s="0" t="s">
        <v>360</v>
      </c>
      <c r="F93" s="0" t="s">
        <v>152</v>
      </c>
      <c r="G93" s="0" t="s">
        <v>152</v>
      </c>
      <c r="H93" s="0" t="s">
        <v>152</v>
      </c>
      <c r="I93" s="0" t="s">
        <v>361</v>
      </c>
      <c r="J93" s="0" t="s">
        <v>362</v>
      </c>
      <c r="K93" s="0" t="s">
        <v>152</v>
      </c>
      <c r="L93" s="0" t="s">
        <v>152</v>
      </c>
      <c r="M93" s="0" t="s">
        <v>152</v>
      </c>
      <c r="N93" s="0" t="s">
        <v>152</v>
      </c>
      <c r="O93" s="0" t="s">
        <v>69</v>
      </c>
      <c r="Q93" s="0" t="s">
        <v>29</v>
      </c>
      <c r="U93" s="0" t="s">
        <v>29</v>
      </c>
      <c r="Z93" s="0" t="n">
        <v>1</v>
      </c>
      <c r="AA93" s="0" t="n">
        <f aca="false">LEN(C93)</f>
        <v>32</v>
      </c>
    </row>
    <row r="94" customFormat="false" ht="15" hidden="false" customHeight="false" outlineLevel="0" collapsed="false">
      <c r="A94" s="0" t="s">
        <v>363</v>
      </c>
      <c r="B94" s="0" t="n">
        <v>1908</v>
      </c>
      <c r="C94" s="0" t="s">
        <v>364</v>
      </c>
      <c r="D94" s="0" t="s">
        <v>152</v>
      </c>
      <c r="E94" s="0" t="s">
        <v>152</v>
      </c>
      <c r="F94" s="0" t="s">
        <v>152</v>
      </c>
      <c r="G94" s="0" t="s">
        <v>152</v>
      </c>
      <c r="H94" s="0" t="s">
        <v>152</v>
      </c>
      <c r="I94" s="0" t="s">
        <v>32</v>
      </c>
      <c r="J94" s="0" t="s">
        <v>365</v>
      </c>
      <c r="K94" s="0" t="s">
        <v>152</v>
      </c>
      <c r="L94" s="0" t="s">
        <v>152</v>
      </c>
      <c r="M94" s="0" t="s">
        <v>152</v>
      </c>
      <c r="N94" s="0" t="s">
        <v>152</v>
      </c>
      <c r="O94" s="0" t="s">
        <v>69</v>
      </c>
      <c r="Z94" s="0" t="n">
        <v>1</v>
      </c>
      <c r="AA94" s="0" t="n">
        <f aca="false">LEN(C94)</f>
        <v>23</v>
      </c>
    </row>
    <row r="95" customFormat="false" ht="15" hidden="false" customHeight="false" outlineLevel="0" collapsed="false">
      <c r="A95" s="0" t="s">
        <v>366</v>
      </c>
      <c r="B95" s="0" t="n">
        <v>1908</v>
      </c>
      <c r="C95" s="0" t="s">
        <v>367</v>
      </c>
      <c r="D95" s="0" t="s">
        <v>152</v>
      </c>
      <c r="E95" s="0" t="s">
        <v>152</v>
      </c>
      <c r="F95" s="0" t="s">
        <v>152</v>
      </c>
      <c r="G95" s="0" t="s">
        <v>152</v>
      </c>
      <c r="H95" s="0" t="s">
        <v>152</v>
      </c>
      <c r="I95" s="0" t="s">
        <v>177</v>
      </c>
      <c r="J95" s="0" t="s">
        <v>368</v>
      </c>
      <c r="K95" s="0" t="s">
        <v>152</v>
      </c>
      <c r="L95" s="0" t="s">
        <v>152</v>
      </c>
      <c r="M95" s="0" t="s">
        <v>152</v>
      </c>
      <c r="N95" s="0" t="s">
        <v>152</v>
      </c>
      <c r="O95" s="0" t="s">
        <v>69</v>
      </c>
      <c r="Z95" s="0" t="n">
        <v>1</v>
      </c>
      <c r="AA95" s="0" t="n">
        <f aca="false">LEN(C95)</f>
        <v>21</v>
      </c>
    </row>
    <row r="96" customFormat="false" ht="15" hidden="false" customHeight="false" outlineLevel="0" collapsed="false">
      <c r="A96" s="0" t="s">
        <v>369</v>
      </c>
      <c r="B96" s="0" t="n">
        <v>1908</v>
      </c>
      <c r="C96" s="0" t="s">
        <v>370</v>
      </c>
      <c r="I96" s="0" t="s">
        <v>371</v>
      </c>
      <c r="J96" s="0" t="s">
        <v>372</v>
      </c>
      <c r="O96" s="0" t="s">
        <v>29</v>
      </c>
      <c r="AA96" s="0" t="n">
        <f aca="false">LEN(C96)+LEN(D96)+LEN(E96)+LEN(F96)+LEN(G96)+LEN(H96)+LEN(I96)+LEN(K96)+LEN(L96)+LEN(M96)+LEN(N96)</f>
        <v>44</v>
      </c>
    </row>
    <row r="97" customFormat="false" ht="15" hidden="false" customHeight="false" outlineLevel="0" collapsed="false">
      <c r="A97" s="0" t="s">
        <v>373</v>
      </c>
      <c r="B97" s="0" t="n">
        <v>1908</v>
      </c>
      <c r="C97" s="0" t="s">
        <v>374</v>
      </c>
      <c r="I97" s="0" t="s">
        <v>32</v>
      </c>
      <c r="J97" s="0" t="s">
        <v>375</v>
      </c>
      <c r="O97" s="0" t="s">
        <v>29</v>
      </c>
      <c r="AA97" s="0" t="n">
        <f aca="false">LEN(C97)+LEN(D97)+LEN(E97)+LEN(F97)+LEN(G97)+LEN(H97)+LEN(I97)+LEN(K97)+LEN(L97)+LEN(M97)+LEN(N97)</f>
        <v>47</v>
      </c>
    </row>
    <row r="98" customFormat="false" ht="15" hidden="false" customHeight="false" outlineLevel="0" collapsed="false">
      <c r="A98" s="0" t="s">
        <v>376</v>
      </c>
      <c r="B98" s="0" t="n">
        <v>1908</v>
      </c>
      <c r="C98" s="0" t="s">
        <v>377</v>
      </c>
      <c r="D98" s="0" t="s">
        <v>152</v>
      </c>
      <c r="E98" s="0" t="s">
        <v>152</v>
      </c>
      <c r="F98" s="0" t="s">
        <v>152</v>
      </c>
      <c r="G98" s="0" t="s">
        <v>152</v>
      </c>
      <c r="H98" s="0" t="s">
        <v>152</v>
      </c>
      <c r="I98" s="0" t="s">
        <v>378</v>
      </c>
      <c r="J98" s="0" t="s">
        <v>379</v>
      </c>
      <c r="K98" s="0" t="s">
        <v>152</v>
      </c>
      <c r="L98" s="0" t="s">
        <v>152</v>
      </c>
      <c r="M98" s="0" t="s">
        <v>152</v>
      </c>
      <c r="N98" s="0" t="s">
        <v>152</v>
      </c>
      <c r="O98" s="0" t="s">
        <v>69</v>
      </c>
      <c r="Z98" s="0" t="n">
        <v>2</v>
      </c>
      <c r="AA98" s="0" t="n">
        <f aca="false">LEN(C98)</f>
        <v>41</v>
      </c>
    </row>
    <row r="99" customFormat="false" ht="15" hidden="false" customHeight="false" outlineLevel="0" collapsed="false">
      <c r="A99" s="0" t="s">
        <v>380</v>
      </c>
      <c r="B99" s="0" t="n">
        <v>1908</v>
      </c>
      <c r="C99" s="0" t="s">
        <v>381</v>
      </c>
      <c r="I99" s="0" t="s">
        <v>382</v>
      </c>
      <c r="J99" s="0" t="s">
        <v>383</v>
      </c>
      <c r="K99" s="0" t="s">
        <v>384</v>
      </c>
      <c r="L99" s="0" t="s">
        <v>385</v>
      </c>
      <c r="M99" s="0" t="s">
        <v>386</v>
      </c>
      <c r="N99" s="0" t="s">
        <v>110</v>
      </c>
      <c r="U99" s="0" t="s">
        <v>29</v>
      </c>
      <c r="V99" s="0" t="s">
        <v>29</v>
      </c>
      <c r="X99" s="0" t="s">
        <v>29</v>
      </c>
      <c r="AA99" s="0" t="n">
        <f aca="false">LEN(C99)+LEN(D99)+LEN(E99)+LEN(F99)+LEN(G99)+LEN(H99)+LEN(I99)+LEN(K99)+LEN(L99)+LEN(M99)+LEN(N99)</f>
        <v>67</v>
      </c>
    </row>
    <row r="100" customFormat="false" ht="15" hidden="false" customHeight="false" outlineLevel="0" collapsed="false">
      <c r="A100" s="0" t="s">
        <v>380</v>
      </c>
      <c r="B100" s="0" t="n">
        <v>1908</v>
      </c>
      <c r="C100" s="0" t="s">
        <v>381</v>
      </c>
      <c r="I100" s="0" t="s">
        <v>382</v>
      </c>
      <c r="J100" s="0" t="s">
        <v>383</v>
      </c>
      <c r="K100" s="0" t="s">
        <v>387</v>
      </c>
      <c r="L100" s="0" t="s">
        <v>388</v>
      </c>
      <c r="N100" s="0" t="s">
        <v>214</v>
      </c>
      <c r="U100" s="0" t="s">
        <v>29</v>
      </c>
      <c r="V100" s="0" t="s">
        <v>29</v>
      </c>
      <c r="W100" s="0" t="s">
        <v>29</v>
      </c>
      <c r="Y100" s="0" t="s">
        <v>29</v>
      </c>
      <c r="AA100" s="0" t="n">
        <f aca="false">LEN(C100)+LEN(D100)+LEN(E100)+LEN(F100)+LEN(G100)+LEN(H100)+LEN(I100)+LEN(K100)+LEN(L100)+LEN(M100)+LEN(N100)</f>
        <v>60</v>
      </c>
    </row>
    <row r="101" customFormat="false" ht="15" hidden="false" customHeight="false" outlineLevel="0" collapsed="false">
      <c r="A101" s="0" t="s">
        <v>380</v>
      </c>
      <c r="B101" s="0" t="n">
        <v>1908</v>
      </c>
      <c r="C101" s="0" t="s">
        <v>381</v>
      </c>
      <c r="I101" s="0" t="s">
        <v>382</v>
      </c>
      <c r="J101" s="0" t="s">
        <v>383</v>
      </c>
      <c r="K101" s="0" t="s">
        <v>389</v>
      </c>
      <c r="L101" s="0" t="s">
        <v>390</v>
      </c>
      <c r="M101" s="0" t="s">
        <v>391</v>
      </c>
      <c r="N101" s="0" t="s">
        <v>110</v>
      </c>
      <c r="U101" s="0" t="s">
        <v>29</v>
      </c>
      <c r="V101" s="0" t="s">
        <v>29</v>
      </c>
      <c r="W101" s="0" t="s">
        <v>29</v>
      </c>
      <c r="X101" s="0" t="s">
        <v>29</v>
      </c>
      <c r="Y101" s="0" t="s">
        <v>29</v>
      </c>
      <c r="AA101" s="0" t="n">
        <f aca="false">LEN(C101)+LEN(D101)+LEN(E101)+LEN(F101)+LEN(G101)+LEN(H101)+LEN(I101)+LEN(K101)+LEN(L101)+LEN(M101)+LEN(N101)</f>
        <v>64</v>
      </c>
    </row>
    <row r="102" customFormat="false" ht="15" hidden="false" customHeight="false" outlineLevel="0" collapsed="false">
      <c r="A102" s="0" t="s">
        <v>380</v>
      </c>
      <c r="B102" s="0" t="n">
        <v>1908</v>
      </c>
      <c r="C102" s="0" t="s">
        <v>381</v>
      </c>
      <c r="I102" s="0" t="s">
        <v>382</v>
      </c>
      <c r="J102" s="0" t="s">
        <v>383</v>
      </c>
      <c r="K102" s="0" t="s">
        <v>392</v>
      </c>
      <c r="L102" s="0" t="s">
        <v>393</v>
      </c>
      <c r="M102" s="0" t="s">
        <v>394</v>
      </c>
      <c r="N102" s="0" t="s">
        <v>110</v>
      </c>
      <c r="U102" s="0" t="s">
        <v>29</v>
      </c>
      <c r="V102" s="0" t="s">
        <v>29</v>
      </c>
      <c r="AA102" s="0" t="n">
        <f aca="false">LEN(C102)+LEN(D102)+LEN(E102)+LEN(F102)+LEN(G102)+LEN(H102)+LEN(I102)+LEN(K102)+LEN(L102)+LEN(M102)+LEN(N102)</f>
        <v>59</v>
      </c>
    </row>
    <row r="103" customFormat="false" ht="15" hidden="false" customHeight="false" outlineLevel="0" collapsed="false">
      <c r="A103" s="0" t="s">
        <v>395</v>
      </c>
      <c r="B103" s="0" t="n">
        <v>1908</v>
      </c>
      <c r="C103" s="0" t="s">
        <v>396</v>
      </c>
      <c r="I103" s="0" t="s">
        <v>397</v>
      </c>
      <c r="J103" s="0" t="s">
        <v>398</v>
      </c>
      <c r="AA103" s="0" t="n">
        <f aca="false">LEN(C103)+LEN(D103)+LEN(E103)+LEN(F103)+LEN(G103)+LEN(H103)+LEN(I103)+LEN(K103)+LEN(L103)+LEN(M103)+LEN(N103)</f>
        <v>33</v>
      </c>
    </row>
    <row r="104" customFormat="false" ht="15" hidden="false" customHeight="false" outlineLevel="0" collapsed="false">
      <c r="A104" s="0" t="s">
        <v>399</v>
      </c>
      <c r="B104" s="0" t="n">
        <v>1909</v>
      </c>
      <c r="C104" s="0" t="s">
        <v>400</v>
      </c>
      <c r="D104" s="0" t="n">
        <v>19493.18</v>
      </c>
      <c r="I104" s="0" t="s">
        <v>40</v>
      </c>
      <c r="J104" s="0" t="s">
        <v>401</v>
      </c>
      <c r="O104" s="0" t="s">
        <v>29</v>
      </c>
      <c r="AA104" s="0" t="n">
        <f aca="false">LEN(C104)+LEN(D104)+LEN(E104)+LEN(F104)+LEN(G104)+LEN(H104)+LEN(I104)+LEN(K104)+LEN(L104)+LEN(M104)+LEN(N104)</f>
        <v>53</v>
      </c>
    </row>
    <row r="105" customFormat="false" ht="15" hidden="false" customHeight="false" outlineLevel="0" collapsed="false">
      <c r="A105" s="0" t="s">
        <v>402</v>
      </c>
      <c r="B105" s="0" t="n">
        <v>1909</v>
      </c>
      <c r="C105" s="0" t="s">
        <v>403</v>
      </c>
      <c r="I105" s="0" t="s">
        <v>32</v>
      </c>
      <c r="J105" s="0" t="s">
        <v>404</v>
      </c>
      <c r="AA105" s="0" t="n">
        <f aca="false">LEN(C105)+LEN(D105)+LEN(E105)+LEN(F105)+LEN(G105)+LEN(H105)+LEN(I105)+LEN(K105)+LEN(L105)+LEN(M105)+LEN(N105)</f>
        <v>44</v>
      </c>
    </row>
    <row r="106" customFormat="false" ht="15" hidden="false" customHeight="false" outlineLevel="0" collapsed="false">
      <c r="A106" s="0" t="s">
        <v>405</v>
      </c>
      <c r="B106" s="0" t="n">
        <v>1909</v>
      </c>
      <c r="C106" s="0" t="s">
        <v>406</v>
      </c>
      <c r="I106" s="0" t="s">
        <v>40</v>
      </c>
      <c r="J106" s="0" t="s">
        <v>407</v>
      </c>
      <c r="O106" s="0" t="s">
        <v>29</v>
      </c>
      <c r="AA106" s="0" t="n">
        <f aca="false">LEN(C106)+LEN(D106)+LEN(E106)+LEN(F106)+LEN(G106)+LEN(H106)+LEN(I106)+LEN(K106)+LEN(L106)+LEN(M106)+LEN(N106)</f>
        <v>44</v>
      </c>
    </row>
    <row r="107" customFormat="false" ht="15" hidden="false" customHeight="false" outlineLevel="0" collapsed="false">
      <c r="A107" s="0" t="s">
        <v>408</v>
      </c>
      <c r="B107" s="0" t="n">
        <v>1909</v>
      </c>
      <c r="C107" s="0" t="s">
        <v>409</v>
      </c>
      <c r="D107" s="0" t="s">
        <v>152</v>
      </c>
      <c r="E107" s="0" t="s">
        <v>152</v>
      </c>
      <c r="F107" s="0" t="s">
        <v>152</v>
      </c>
      <c r="G107" s="0" t="s">
        <v>152</v>
      </c>
      <c r="H107" s="0" t="s">
        <v>152</v>
      </c>
      <c r="I107" s="0" t="s">
        <v>347</v>
      </c>
      <c r="J107" s="0" t="s">
        <v>410</v>
      </c>
      <c r="K107" s="0" t="s">
        <v>152</v>
      </c>
      <c r="L107" s="0" t="s">
        <v>152</v>
      </c>
      <c r="M107" s="0" t="s">
        <v>152</v>
      </c>
      <c r="N107" s="0" t="s">
        <v>152</v>
      </c>
      <c r="O107" s="0" t="s">
        <v>69</v>
      </c>
      <c r="Z107" s="0" t="n">
        <v>1</v>
      </c>
      <c r="AA107" s="0" t="n">
        <f aca="false">LEN(C107)</f>
        <v>24</v>
      </c>
    </row>
    <row r="108" customFormat="false" ht="15" hidden="false" customHeight="false" outlineLevel="0" collapsed="false">
      <c r="A108" s="0" t="s">
        <v>411</v>
      </c>
      <c r="B108" s="0" t="n">
        <v>1909</v>
      </c>
      <c r="C108" s="0" t="s">
        <v>412</v>
      </c>
      <c r="I108" s="0" t="s">
        <v>413</v>
      </c>
      <c r="J108" s="0" t="s">
        <v>414</v>
      </c>
      <c r="O108" s="0" t="s">
        <v>29</v>
      </c>
      <c r="AA108" s="0" t="n">
        <f aca="false">LEN(C108)+LEN(D108)+LEN(E108)+LEN(F108)+LEN(G108)+LEN(H108)+LEN(I108)+LEN(K108)+LEN(L108)+LEN(M108)+LEN(N108)</f>
        <v>28</v>
      </c>
    </row>
    <row r="109" customFormat="false" ht="15" hidden="false" customHeight="false" outlineLevel="0" collapsed="false">
      <c r="A109" s="0" t="s">
        <v>415</v>
      </c>
      <c r="B109" s="0" t="n">
        <v>1909</v>
      </c>
      <c r="C109" s="0" t="s">
        <v>416</v>
      </c>
      <c r="I109" s="0" t="s">
        <v>137</v>
      </c>
      <c r="J109" s="0" t="s">
        <v>417</v>
      </c>
      <c r="AA109" s="0" t="n">
        <f aca="false">LEN(C109)+LEN(D109)+LEN(E109)+LEN(F109)+LEN(G109)+LEN(H109)+LEN(I109)+LEN(K109)+LEN(L109)+LEN(M109)+LEN(N109)</f>
        <v>35</v>
      </c>
    </row>
    <row r="110" customFormat="false" ht="15" hidden="false" customHeight="false" outlineLevel="0" collapsed="false">
      <c r="A110" s="0" t="s">
        <v>418</v>
      </c>
      <c r="B110" s="0" t="n">
        <v>1909</v>
      </c>
      <c r="C110" s="0" t="s">
        <v>419</v>
      </c>
      <c r="I110" s="0" t="s">
        <v>177</v>
      </c>
      <c r="J110" s="0" t="s">
        <v>420</v>
      </c>
      <c r="AA110" s="0" t="n">
        <f aca="false">LEN(C110)+LEN(D110)+LEN(E110)+LEN(F110)+LEN(G110)+LEN(H110)+LEN(I110)+LEN(K110)+LEN(L110)+LEN(M110)+LEN(N110)</f>
        <v>65</v>
      </c>
    </row>
    <row r="111" customFormat="false" ht="15" hidden="false" customHeight="false" outlineLevel="0" collapsed="false">
      <c r="A111" s="0" t="s">
        <v>421</v>
      </c>
      <c r="B111" s="0" t="n">
        <v>1909</v>
      </c>
      <c r="C111" s="0" t="s">
        <v>422</v>
      </c>
      <c r="I111" s="0" t="s">
        <v>413</v>
      </c>
      <c r="J111" s="0" t="s">
        <v>423</v>
      </c>
      <c r="O111" s="0" t="s">
        <v>29</v>
      </c>
      <c r="AA111" s="0" t="n">
        <f aca="false">LEN(C111)+LEN(D111)+LEN(E111)+LEN(F111)+LEN(G111)+LEN(H111)+LEN(I111)+LEN(K111)+LEN(L111)+LEN(M111)+LEN(N111)</f>
        <v>49</v>
      </c>
    </row>
    <row r="112" customFormat="false" ht="15" hidden="false" customHeight="false" outlineLevel="0" collapsed="false">
      <c r="A112" s="0" t="s">
        <v>424</v>
      </c>
      <c r="B112" s="0" t="n">
        <v>1909</v>
      </c>
      <c r="C112" s="0" t="s">
        <v>425</v>
      </c>
      <c r="D112" s="0" t="s">
        <v>152</v>
      </c>
      <c r="E112" s="0" t="s">
        <v>152</v>
      </c>
      <c r="F112" s="0" t="s">
        <v>152</v>
      </c>
      <c r="G112" s="0" t="s">
        <v>152</v>
      </c>
      <c r="H112" s="0" t="s">
        <v>152</v>
      </c>
      <c r="I112" s="0" t="s">
        <v>184</v>
      </c>
      <c r="J112" s="0" t="s">
        <v>426</v>
      </c>
      <c r="K112" s="0" t="s">
        <v>152</v>
      </c>
      <c r="L112" s="0" t="s">
        <v>152</v>
      </c>
      <c r="M112" s="0" t="s">
        <v>152</v>
      </c>
      <c r="N112" s="0" t="s">
        <v>152</v>
      </c>
      <c r="O112" s="0" t="s">
        <v>69</v>
      </c>
      <c r="U112" s="0" t="s">
        <v>29</v>
      </c>
      <c r="Z112" s="0" t="n">
        <v>50</v>
      </c>
      <c r="AA112" s="0" t="n">
        <f aca="false">LEN(C112)</f>
        <v>72</v>
      </c>
    </row>
    <row r="113" customFormat="false" ht="15" hidden="false" customHeight="false" outlineLevel="0" collapsed="false">
      <c r="A113" s="0" t="s">
        <v>427</v>
      </c>
      <c r="B113" s="0" t="n">
        <v>1909</v>
      </c>
      <c r="C113" s="0" t="s">
        <v>428</v>
      </c>
      <c r="I113" s="0" t="s">
        <v>32</v>
      </c>
      <c r="J113" s="0" t="s">
        <v>429</v>
      </c>
      <c r="AA113" s="0" t="n">
        <f aca="false">LEN(C113)+LEN(D113)+LEN(E113)+LEN(F113)+LEN(G113)+LEN(H113)+LEN(I113)+LEN(K113)+LEN(L113)+LEN(M113)+LEN(N113)</f>
        <v>18</v>
      </c>
    </row>
    <row r="114" customFormat="false" ht="15" hidden="false" customHeight="false" outlineLevel="0" collapsed="false">
      <c r="A114" s="0" t="s">
        <v>430</v>
      </c>
      <c r="B114" s="0" t="n">
        <v>1909</v>
      </c>
      <c r="C114" s="0" t="s">
        <v>431</v>
      </c>
      <c r="I114" s="0" t="s">
        <v>137</v>
      </c>
      <c r="J114" s="0" t="s">
        <v>432</v>
      </c>
      <c r="AA114" s="0" t="n">
        <f aca="false">LEN(C114)+LEN(D114)+LEN(E114)+LEN(F114)+LEN(G114)+LEN(H114)+LEN(I114)+LEN(K114)+LEN(L114)+LEN(M114)+LEN(N114)</f>
        <v>48</v>
      </c>
    </row>
    <row r="115" customFormat="false" ht="15" hidden="false" customHeight="false" outlineLevel="0" collapsed="false">
      <c r="A115" s="0" t="s">
        <v>433</v>
      </c>
      <c r="B115" s="0" t="n">
        <v>1909</v>
      </c>
      <c r="C115" s="0" t="s">
        <v>434</v>
      </c>
      <c r="I115" s="0" t="s">
        <v>435</v>
      </c>
      <c r="J115" s="0" t="s">
        <v>436</v>
      </c>
      <c r="O115" s="0" t="s">
        <v>29</v>
      </c>
      <c r="AA115" s="0" t="n">
        <f aca="false">LEN(C115)+LEN(D115)+LEN(E115)+LEN(F115)+LEN(G115)+LEN(H115)+LEN(I115)+LEN(K115)+LEN(L115)+LEN(M115)+LEN(N115)</f>
        <v>28</v>
      </c>
    </row>
    <row r="116" customFormat="false" ht="15" hidden="false" customHeight="false" outlineLevel="0" collapsed="false">
      <c r="A116" s="0" t="s">
        <v>437</v>
      </c>
      <c r="B116" s="0" t="n">
        <v>1909</v>
      </c>
      <c r="C116" s="0" t="s">
        <v>438</v>
      </c>
      <c r="I116" s="0" t="s">
        <v>177</v>
      </c>
      <c r="J116" s="0" t="s">
        <v>439</v>
      </c>
      <c r="AA116" s="0" t="n">
        <f aca="false">LEN(C116)+LEN(D116)+LEN(E116)+LEN(F116)+LEN(G116)+LEN(H116)+LEN(I116)+LEN(K116)+LEN(L116)+LEN(M116)+LEN(N116)</f>
        <v>37</v>
      </c>
    </row>
    <row r="117" customFormat="false" ht="15" hidden="false" customHeight="false" outlineLevel="0" collapsed="false">
      <c r="A117" s="0" t="s">
        <v>440</v>
      </c>
      <c r="B117" s="0" t="n">
        <v>1909</v>
      </c>
      <c r="C117" s="0" t="s">
        <v>441</v>
      </c>
      <c r="I117" s="0" t="s">
        <v>177</v>
      </c>
      <c r="J117" s="0" t="s">
        <v>442</v>
      </c>
      <c r="AA117" s="0" t="n">
        <f aca="false">LEN(C117)+LEN(D117)+LEN(E117)+LEN(F117)+LEN(G117)+LEN(H117)+LEN(I117)+LEN(K117)+LEN(L117)+LEN(M117)+LEN(N117)</f>
        <v>36</v>
      </c>
    </row>
    <row r="118" customFormat="false" ht="15" hidden="false" customHeight="false" outlineLevel="0" collapsed="false">
      <c r="A118" s="0" t="s">
        <v>443</v>
      </c>
      <c r="B118" s="0" t="n">
        <v>1909</v>
      </c>
      <c r="C118" s="0" t="s">
        <v>441</v>
      </c>
      <c r="I118" s="0" t="s">
        <v>32</v>
      </c>
      <c r="J118" s="0" t="s">
        <v>444</v>
      </c>
      <c r="K118" s="0" t="s">
        <v>445</v>
      </c>
      <c r="L118" s="0" t="s">
        <v>32</v>
      </c>
      <c r="M118" s="0" t="s">
        <v>446</v>
      </c>
      <c r="N118" s="0" t="s">
        <v>110</v>
      </c>
      <c r="O118" s="0" t="s">
        <v>29</v>
      </c>
      <c r="W118" s="0" t="s">
        <v>29</v>
      </c>
      <c r="X118" s="0" t="s">
        <v>29</v>
      </c>
      <c r="AA118" s="0" t="n">
        <f aca="false">LEN(C118)+LEN(D118)+LEN(E118)+LEN(F118)+LEN(G118)+LEN(H118)+LEN(I118)+LEN(K118)+LEN(L118)+LEN(M118)+LEN(N118)</f>
        <v>64</v>
      </c>
    </row>
    <row r="119" customFormat="false" ht="15" hidden="false" customHeight="false" outlineLevel="0" collapsed="false">
      <c r="A119" s="0" t="s">
        <v>443</v>
      </c>
      <c r="B119" s="0" t="n">
        <v>1909</v>
      </c>
      <c r="C119" s="0" t="s">
        <v>441</v>
      </c>
      <c r="I119" s="0" t="s">
        <v>32</v>
      </c>
      <c r="J119" s="0" t="s">
        <v>444</v>
      </c>
      <c r="K119" s="0" t="s">
        <v>447</v>
      </c>
      <c r="L119" s="0" t="s">
        <v>448</v>
      </c>
      <c r="N119" s="0" t="s">
        <v>110</v>
      </c>
      <c r="O119" s="0" t="s">
        <v>29</v>
      </c>
      <c r="AA119" s="0" t="n">
        <f aca="false">LEN(C119)+LEN(D119)+LEN(E119)+LEN(F119)+LEN(G119)+LEN(H119)+LEN(I119)+LEN(K119)+LEN(L119)+LEN(M119)+LEN(N119)</f>
        <v>48</v>
      </c>
    </row>
    <row r="120" customFormat="false" ht="15" hidden="false" customHeight="false" outlineLevel="0" collapsed="false">
      <c r="A120" s="0" t="s">
        <v>443</v>
      </c>
      <c r="B120" s="0" t="n">
        <v>1909</v>
      </c>
      <c r="C120" s="0" t="s">
        <v>441</v>
      </c>
      <c r="I120" s="0" t="s">
        <v>32</v>
      </c>
      <c r="J120" s="0" t="s">
        <v>444</v>
      </c>
      <c r="K120" s="0" t="s">
        <v>449</v>
      </c>
      <c r="L120" s="0" t="s">
        <v>386</v>
      </c>
      <c r="N120" s="0" t="s">
        <v>110</v>
      </c>
      <c r="O120" s="0" t="s">
        <v>29</v>
      </c>
      <c r="V120" s="0" t="s">
        <v>29</v>
      </c>
      <c r="AA120" s="0" t="n">
        <f aca="false">LEN(C120)+LEN(D120)+LEN(E120)+LEN(F120)+LEN(G120)+LEN(H120)+LEN(I120)+LEN(K120)+LEN(L120)+LEN(M120)+LEN(N120)</f>
        <v>52</v>
      </c>
    </row>
    <row r="121" customFormat="false" ht="15" hidden="false" customHeight="false" outlineLevel="0" collapsed="false">
      <c r="A121" s="0" t="s">
        <v>450</v>
      </c>
      <c r="B121" s="0" t="n">
        <v>1909</v>
      </c>
      <c r="C121" s="0" t="s">
        <v>451</v>
      </c>
      <c r="I121" s="0" t="s">
        <v>177</v>
      </c>
      <c r="J121" s="0" t="s">
        <v>452</v>
      </c>
      <c r="O121" s="0" t="s">
        <v>29</v>
      </c>
      <c r="AA121" s="0" t="n">
        <f aca="false">LEN(C121)+LEN(D121)+LEN(E121)+LEN(F121)+LEN(G121)+LEN(H121)+LEN(I121)+LEN(K121)+LEN(L121)+LEN(M121)+LEN(N121)</f>
        <v>33</v>
      </c>
    </row>
    <row r="122" customFormat="false" ht="15" hidden="false" customHeight="false" outlineLevel="0" collapsed="false">
      <c r="A122" s="0" t="s">
        <v>453</v>
      </c>
      <c r="B122" s="0" t="n">
        <v>1909</v>
      </c>
      <c r="C122" s="0" t="s">
        <v>454</v>
      </c>
      <c r="I122" s="0" t="s">
        <v>32</v>
      </c>
      <c r="J122" s="0" t="s">
        <v>455</v>
      </c>
      <c r="O122" s="0" t="s">
        <v>29</v>
      </c>
      <c r="AA122" s="0" t="n">
        <f aca="false">LEN(C122)+LEN(D122)+LEN(E122)+LEN(F122)+LEN(G122)+LEN(H122)+LEN(I122)+LEN(K122)+LEN(L122)+LEN(M122)+LEN(N122)</f>
        <v>41</v>
      </c>
    </row>
    <row r="123" customFormat="false" ht="15" hidden="false" customHeight="false" outlineLevel="0" collapsed="false">
      <c r="A123" s="0" t="s">
        <v>456</v>
      </c>
      <c r="B123" s="0" t="n">
        <v>1909</v>
      </c>
      <c r="C123" s="0" t="s">
        <v>457</v>
      </c>
      <c r="I123" s="0" t="s">
        <v>458</v>
      </c>
      <c r="J123" s="0" t="s">
        <v>459</v>
      </c>
      <c r="AA123" s="0" t="n">
        <f aca="false">LEN(C123)+LEN(D123)+LEN(E123)+LEN(F123)+LEN(G123)+LEN(H123)+LEN(I123)+LEN(K123)+LEN(L123)+LEN(M123)+LEN(N123)</f>
        <v>43</v>
      </c>
    </row>
    <row r="124" customFormat="false" ht="15" hidden="false" customHeight="false" outlineLevel="0" collapsed="false">
      <c r="A124" s="0" t="s">
        <v>460</v>
      </c>
      <c r="B124" s="0" t="n">
        <v>1909</v>
      </c>
      <c r="C124" s="0" t="s">
        <v>461</v>
      </c>
      <c r="I124" s="0" t="s">
        <v>462</v>
      </c>
      <c r="J124" s="0" t="s">
        <v>463</v>
      </c>
      <c r="U124" s="0" t="s">
        <v>29</v>
      </c>
      <c r="AA124" s="0" t="n">
        <f aca="false">LEN(C124)+LEN(D124)+LEN(E124)+LEN(F124)+LEN(G124)+LEN(H124)+LEN(I124)+LEN(K124)+LEN(L124)+LEN(M124)+LEN(N124)</f>
        <v>36</v>
      </c>
    </row>
    <row r="125" customFormat="false" ht="15" hidden="false" customHeight="false" outlineLevel="0" collapsed="false">
      <c r="A125" s="0" t="s">
        <v>464</v>
      </c>
      <c r="B125" s="0" t="n">
        <v>1909</v>
      </c>
      <c r="C125" s="0" t="s">
        <v>465</v>
      </c>
      <c r="I125" s="0" t="s">
        <v>32</v>
      </c>
      <c r="J125" s="0" t="s">
        <v>466</v>
      </c>
      <c r="O125" s="0" t="s">
        <v>29</v>
      </c>
      <c r="AA125" s="0" t="n">
        <f aca="false">LEN(C125)+LEN(D125)+LEN(E125)+LEN(F125)+LEN(G125)+LEN(H125)+LEN(I125)+LEN(K125)+LEN(L125)+LEN(M125)+LEN(N125)</f>
        <v>47</v>
      </c>
    </row>
    <row r="126" customFormat="false" ht="15" hidden="false" customHeight="false" outlineLevel="0" collapsed="false">
      <c r="A126" s="0" t="s">
        <v>467</v>
      </c>
      <c r="B126" s="0" t="n">
        <v>1909</v>
      </c>
      <c r="C126" s="0" t="s">
        <v>468</v>
      </c>
      <c r="I126" s="0" t="s">
        <v>32</v>
      </c>
      <c r="J126" s="0" t="s">
        <v>469</v>
      </c>
      <c r="AA126" s="0" t="n">
        <f aca="false">LEN(C126)+LEN(D126)+LEN(E126)+LEN(F126)+LEN(G126)+LEN(H126)+LEN(I126)+LEN(K126)+LEN(L126)+LEN(M126)+LEN(N126)</f>
        <v>31</v>
      </c>
    </row>
    <row r="127" customFormat="false" ht="15" hidden="false" customHeight="false" outlineLevel="0" collapsed="false">
      <c r="A127" s="0" t="s">
        <v>470</v>
      </c>
      <c r="B127" s="0" t="n">
        <v>1909</v>
      </c>
      <c r="C127" s="0" t="s">
        <v>471</v>
      </c>
      <c r="I127" s="0" t="s">
        <v>32</v>
      </c>
      <c r="J127" s="0" t="s">
        <v>472</v>
      </c>
      <c r="AA127" s="0" t="n">
        <f aca="false">LEN(C127)+LEN(D127)+LEN(E127)+LEN(F127)+LEN(G127)+LEN(H127)+LEN(I127)+LEN(K127)+LEN(L127)+LEN(M127)+LEN(N127)</f>
        <v>35</v>
      </c>
    </row>
    <row r="128" customFormat="false" ht="15" hidden="false" customHeight="false" outlineLevel="0" collapsed="false">
      <c r="A128" s="0" t="s">
        <v>473</v>
      </c>
      <c r="B128" s="0" t="n">
        <v>1909</v>
      </c>
      <c r="C128" s="0" t="s">
        <v>474</v>
      </c>
      <c r="I128" s="0" t="s">
        <v>475</v>
      </c>
      <c r="J128" s="0" t="s">
        <v>476</v>
      </c>
      <c r="AA128" s="0" t="n">
        <f aca="false">LEN(C128)+LEN(D128)+LEN(E128)+LEN(F128)+LEN(G128)+LEN(H128)+LEN(I128)+LEN(K128)+LEN(L128)+LEN(M128)+LEN(N128)</f>
        <v>39</v>
      </c>
    </row>
    <row r="129" customFormat="false" ht="15" hidden="false" customHeight="false" outlineLevel="0" collapsed="false">
      <c r="A129" s="0" t="s">
        <v>477</v>
      </c>
      <c r="B129" s="0" t="n">
        <v>1909</v>
      </c>
      <c r="C129" s="0" t="s">
        <v>478</v>
      </c>
      <c r="I129" s="0" t="s">
        <v>32</v>
      </c>
      <c r="J129" s="0" t="s">
        <v>479</v>
      </c>
      <c r="AA129" s="0" t="n">
        <f aca="false">LEN(C129)+LEN(D129)+LEN(E129)+LEN(F129)+LEN(G129)+LEN(H129)+LEN(I129)+LEN(K129)+LEN(L129)+LEN(M129)+LEN(N129)</f>
        <v>29</v>
      </c>
    </row>
    <row r="130" customFormat="false" ht="15" hidden="false" customHeight="false" outlineLevel="0" collapsed="false">
      <c r="A130" s="0" t="s">
        <v>480</v>
      </c>
      <c r="B130" s="0" t="n">
        <v>1909</v>
      </c>
      <c r="C130" s="0" t="s">
        <v>481</v>
      </c>
      <c r="I130" s="0" t="s">
        <v>482</v>
      </c>
      <c r="J130" s="0" t="s">
        <v>483</v>
      </c>
      <c r="O130" s="0" t="s">
        <v>29</v>
      </c>
      <c r="AA130" s="0" t="n">
        <f aca="false">LEN(C130)+LEN(D130)+LEN(E130)+LEN(F130)+LEN(G130)+LEN(H130)+LEN(I130)+LEN(K130)+LEN(L130)+LEN(M130)+LEN(N130)</f>
        <v>31</v>
      </c>
    </row>
    <row r="131" customFormat="false" ht="15" hidden="false" customHeight="false" outlineLevel="0" collapsed="false">
      <c r="A131" s="0" t="s">
        <v>484</v>
      </c>
      <c r="B131" s="0" t="n">
        <v>1909</v>
      </c>
      <c r="C131" s="0" t="s">
        <v>485</v>
      </c>
      <c r="I131" s="0" t="s">
        <v>184</v>
      </c>
      <c r="J131" s="0" t="s">
        <v>486</v>
      </c>
      <c r="O131" s="0" t="s">
        <v>29</v>
      </c>
      <c r="U131" s="0" t="s">
        <v>29</v>
      </c>
      <c r="AA131" s="0" t="n">
        <f aca="false">LEN(C131)+LEN(D131)+LEN(E131)+LEN(F131)+LEN(G131)+LEN(H131)+LEN(I131)+LEN(K131)+LEN(L131)+LEN(M131)+LEN(N131)</f>
        <v>38</v>
      </c>
    </row>
    <row r="132" customFormat="false" ht="15" hidden="false" customHeight="false" outlineLevel="0" collapsed="false">
      <c r="A132" s="0" t="s">
        <v>487</v>
      </c>
      <c r="B132" s="0" t="n">
        <v>1910</v>
      </c>
      <c r="C132" s="0" t="s">
        <v>488</v>
      </c>
      <c r="I132" s="0" t="s">
        <v>40</v>
      </c>
      <c r="J132" s="0" t="s">
        <v>489</v>
      </c>
      <c r="AA132" s="0" t="n">
        <f aca="false">LEN(C132)+LEN(D132)+LEN(E132)+LEN(F132)+LEN(G132)+LEN(H132)+LEN(I132)+LEN(K132)+LEN(L132)+LEN(M132)+LEN(N132)</f>
        <v>33</v>
      </c>
    </row>
    <row r="133" customFormat="false" ht="15" hidden="false" customHeight="false" outlineLevel="0" collapsed="false">
      <c r="A133" s="0" t="s">
        <v>490</v>
      </c>
      <c r="B133" s="0" t="n">
        <v>1910</v>
      </c>
      <c r="C133" s="0" t="s">
        <v>491</v>
      </c>
      <c r="D133" s="0" t="s">
        <v>152</v>
      </c>
      <c r="E133" s="0" t="s">
        <v>152</v>
      </c>
      <c r="F133" s="0" t="s">
        <v>152</v>
      </c>
      <c r="G133" s="0" t="s">
        <v>152</v>
      </c>
      <c r="H133" s="0" t="s">
        <v>152</v>
      </c>
      <c r="I133" s="0" t="s">
        <v>347</v>
      </c>
      <c r="J133" s="0" t="s">
        <v>492</v>
      </c>
      <c r="K133" s="0" t="s">
        <v>493</v>
      </c>
      <c r="L133" s="0" t="s">
        <v>494</v>
      </c>
      <c r="M133" s="0" t="s">
        <v>152</v>
      </c>
      <c r="N133" s="0" t="s">
        <v>110</v>
      </c>
      <c r="O133" s="0" t="s">
        <v>29</v>
      </c>
      <c r="W133" s="0" t="s">
        <v>29</v>
      </c>
      <c r="Z133" s="0" t="n">
        <v>1</v>
      </c>
      <c r="AA133" s="0" t="n">
        <f aca="false">LEN(C133)</f>
        <v>17</v>
      </c>
    </row>
    <row r="134" customFormat="false" ht="15" hidden="false" customHeight="false" outlineLevel="0" collapsed="false">
      <c r="A134" s="0" t="s">
        <v>490</v>
      </c>
      <c r="B134" s="0" t="n">
        <v>1910</v>
      </c>
      <c r="C134" s="0" t="s">
        <v>491</v>
      </c>
      <c r="D134" s="0" t="s">
        <v>152</v>
      </c>
      <c r="E134" s="0" t="s">
        <v>152</v>
      </c>
      <c r="F134" s="0" t="s">
        <v>152</v>
      </c>
      <c r="G134" s="0" t="s">
        <v>152</v>
      </c>
      <c r="H134" s="0" t="s">
        <v>152</v>
      </c>
      <c r="I134" s="0" t="s">
        <v>347</v>
      </c>
      <c r="J134" s="0" t="s">
        <v>492</v>
      </c>
      <c r="K134" s="0" t="s">
        <v>495</v>
      </c>
      <c r="L134" s="0" t="s">
        <v>496</v>
      </c>
      <c r="M134" s="0" t="s">
        <v>152</v>
      </c>
      <c r="N134" s="0" t="s">
        <v>110</v>
      </c>
      <c r="O134" s="0" t="s">
        <v>29</v>
      </c>
      <c r="V134" s="0" t="s">
        <v>29</v>
      </c>
      <c r="Z134" s="0" t="n">
        <v>1</v>
      </c>
      <c r="AA134" s="0" t="n">
        <f aca="false">LEN(C134)</f>
        <v>17</v>
      </c>
    </row>
    <row r="135" customFormat="false" ht="15" hidden="false" customHeight="false" outlineLevel="0" collapsed="false">
      <c r="A135" s="0" t="s">
        <v>490</v>
      </c>
      <c r="B135" s="0" t="n">
        <v>1910</v>
      </c>
      <c r="C135" s="0" t="s">
        <v>491</v>
      </c>
      <c r="D135" s="0" t="s">
        <v>152</v>
      </c>
      <c r="E135" s="0" t="s">
        <v>152</v>
      </c>
      <c r="F135" s="0" t="s">
        <v>152</v>
      </c>
      <c r="G135" s="0" t="s">
        <v>152</v>
      </c>
      <c r="H135" s="0" t="s">
        <v>152</v>
      </c>
      <c r="I135" s="0" t="s">
        <v>347</v>
      </c>
      <c r="J135" s="0" t="s">
        <v>492</v>
      </c>
      <c r="K135" s="0" t="s">
        <v>497</v>
      </c>
      <c r="L135" s="0" t="s">
        <v>498</v>
      </c>
      <c r="M135" s="0" t="s">
        <v>152</v>
      </c>
      <c r="N135" s="0" t="s">
        <v>110</v>
      </c>
      <c r="O135" s="0" t="s">
        <v>29</v>
      </c>
      <c r="V135" s="0" t="s">
        <v>29</v>
      </c>
      <c r="Z135" s="0" t="n">
        <v>1</v>
      </c>
      <c r="AA135" s="0" t="n">
        <f aca="false">LEN(C135)</f>
        <v>17</v>
      </c>
    </row>
    <row r="136" customFormat="false" ht="15" hidden="false" customHeight="false" outlineLevel="0" collapsed="false">
      <c r="A136" s="0" t="s">
        <v>490</v>
      </c>
      <c r="B136" s="0" t="n">
        <v>1910</v>
      </c>
      <c r="C136" s="0" t="s">
        <v>491</v>
      </c>
      <c r="D136" s="0" t="s">
        <v>152</v>
      </c>
      <c r="E136" s="0" t="s">
        <v>152</v>
      </c>
      <c r="F136" s="0" t="s">
        <v>152</v>
      </c>
      <c r="G136" s="0" t="s">
        <v>152</v>
      </c>
      <c r="H136" s="0" t="s">
        <v>152</v>
      </c>
      <c r="I136" s="0" t="s">
        <v>347</v>
      </c>
      <c r="J136" s="0" t="s">
        <v>492</v>
      </c>
      <c r="K136" s="0" t="s">
        <v>499</v>
      </c>
      <c r="L136" s="0" t="s">
        <v>500</v>
      </c>
      <c r="M136" s="0" t="s">
        <v>24</v>
      </c>
      <c r="N136" s="0" t="s">
        <v>214</v>
      </c>
      <c r="O136" s="0" t="s">
        <v>29</v>
      </c>
      <c r="Z136" s="0" t="n">
        <v>1</v>
      </c>
      <c r="AA136" s="0" t="n">
        <f aca="false">LEN(C136)</f>
        <v>17</v>
      </c>
    </row>
    <row r="137" customFormat="false" ht="15" hidden="false" customHeight="false" outlineLevel="0" collapsed="false">
      <c r="A137" s="0" t="s">
        <v>501</v>
      </c>
      <c r="B137" s="0" t="n">
        <v>1910</v>
      </c>
      <c r="C137" s="0" t="s">
        <v>502</v>
      </c>
      <c r="I137" s="0" t="s">
        <v>503</v>
      </c>
      <c r="J137" s="0" t="s">
        <v>504</v>
      </c>
      <c r="O137" s="0" t="s">
        <v>29</v>
      </c>
      <c r="U137" s="0" t="s">
        <v>29</v>
      </c>
      <c r="AA137" s="0" t="n">
        <f aca="false">LEN(C137)+LEN(D137)+LEN(E137)+LEN(F137)+LEN(G137)+LEN(H137)+LEN(I137)+LEN(K137)+LEN(L137)+LEN(M137)+LEN(N137)</f>
        <v>41</v>
      </c>
    </row>
    <row r="138" customFormat="false" ht="15" hidden="false" customHeight="false" outlineLevel="0" collapsed="false">
      <c r="A138" s="0" t="s">
        <v>505</v>
      </c>
      <c r="B138" s="0" t="n">
        <v>1910</v>
      </c>
      <c r="C138" s="0" t="s">
        <v>506</v>
      </c>
      <c r="I138" s="0" t="s">
        <v>507</v>
      </c>
      <c r="J138" s="0" t="s">
        <v>508</v>
      </c>
      <c r="U138" s="0" t="s">
        <v>29</v>
      </c>
      <c r="AA138" s="0" t="n">
        <f aca="false">LEN(C138)+LEN(D138)+LEN(E138)+LEN(F138)+LEN(G138)+LEN(H138)+LEN(I138)+LEN(K138)+LEN(L138)+LEN(M138)+LEN(N138)</f>
        <v>35</v>
      </c>
    </row>
    <row r="139" customFormat="false" ht="15" hidden="false" customHeight="false" outlineLevel="0" collapsed="false">
      <c r="A139" s="0" t="s">
        <v>509</v>
      </c>
      <c r="B139" s="0" t="n">
        <v>1910</v>
      </c>
      <c r="C139" s="0" t="s">
        <v>510</v>
      </c>
      <c r="I139" s="0" t="s">
        <v>413</v>
      </c>
      <c r="J139" s="0" t="s">
        <v>511</v>
      </c>
      <c r="O139" s="0" t="s">
        <v>29</v>
      </c>
      <c r="AA139" s="0" t="n">
        <f aca="false">LEN(C139)+LEN(D139)+LEN(E139)+LEN(F139)+LEN(G139)+LEN(H139)+LEN(I139)+LEN(K139)+LEN(L139)+LEN(M139)+LEN(N139)</f>
        <v>45</v>
      </c>
    </row>
    <row r="140" customFormat="false" ht="15" hidden="false" customHeight="false" outlineLevel="0" collapsed="false">
      <c r="A140" s="0" t="s">
        <v>512</v>
      </c>
      <c r="B140" s="0" t="n">
        <v>1910</v>
      </c>
      <c r="C140" s="0" t="s">
        <v>513</v>
      </c>
      <c r="I140" s="0" t="s">
        <v>137</v>
      </c>
      <c r="J140" s="0" t="s">
        <v>514</v>
      </c>
      <c r="AA140" s="0" t="n">
        <f aca="false">LEN(C140)+LEN(D140)+LEN(E140)+LEN(F140)+LEN(G140)+LEN(H140)+LEN(I140)+LEN(K140)+LEN(L140)+LEN(M140)+LEN(N140)</f>
        <v>33</v>
      </c>
    </row>
    <row r="141" customFormat="false" ht="15" hidden="false" customHeight="false" outlineLevel="0" collapsed="false">
      <c r="A141" s="0" t="s">
        <v>515</v>
      </c>
      <c r="B141" s="0" t="n">
        <v>1910</v>
      </c>
      <c r="C141" s="0" t="s">
        <v>516</v>
      </c>
      <c r="I141" s="0" t="s">
        <v>177</v>
      </c>
      <c r="J141" s="0" t="s">
        <v>517</v>
      </c>
      <c r="O141" s="0" t="s">
        <v>29</v>
      </c>
      <c r="AA141" s="0" t="n">
        <f aca="false">LEN(C141)+LEN(D141)+LEN(E141)+LEN(F141)+LEN(G141)+LEN(H141)+LEN(I141)+LEN(K141)+LEN(L141)+LEN(M141)+LEN(N141)</f>
        <v>40</v>
      </c>
    </row>
    <row r="142" customFormat="false" ht="15" hidden="false" customHeight="false" outlineLevel="0" collapsed="false">
      <c r="A142" s="0" t="s">
        <v>518</v>
      </c>
      <c r="B142" s="0" t="n">
        <v>1910</v>
      </c>
      <c r="C142" s="0" t="s">
        <v>519</v>
      </c>
      <c r="I142" s="0" t="s">
        <v>520</v>
      </c>
      <c r="J142" s="0" t="s">
        <v>521</v>
      </c>
      <c r="U142" s="0" t="s">
        <v>29</v>
      </c>
      <c r="AA142" s="0" t="n">
        <f aca="false">LEN(C142)+LEN(D142)+LEN(E142)+LEN(F142)+LEN(G142)+LEN(H142)+LEN(I142)+LEN(K142)+LEN(L142)+LEN(M142)+LEN(N142)</f>
        <v>43</v>
      </c>
    </row>
    <row r="143" customFormat="false" ht="15" hidden="false" customHeight="false" outlineLevel="0" collapsed="false">
      <c r="A143" s="0" t="s">
        <v>522</v>
      </c>
      <c r="B143" s="0" t="n">
        <v>1910</v>
      </c>
      <c r="C143" s="0" t="s">
        <v>523</v>
      </c>
      <c r="D143" s="0" t="s">
        <v>152</v>
      </c>
      <c r="E143" s="0" t="s">
        <v>152</v>
      </c>
      <c r="F143" s="0" t="s">
        <v>152</v>
      </c>
      <c r="G143" s="0" t="s">
        <v>152</v>
      </c>
      <c r="H143" s="0" t="s">
        <v>152</v>
      </c>
      <c r="I143" s="0" t="s">
        <v>32</v>
      </c>
      <c r="J143" s="0" t="s">
        <v>524</v>
      </c>
      <c r="K143" s="0" t="s">
        <v>525</v>
      </c>
      <c r="L143" s="0" t="s">
        <v>526</v>
      </c>
      <c r="M143" s="0" t="s">
        <v>527</v>
      </c>
      <c r="N143" s="0" t="s">
        <v>110</v>
      </c>
      <c r="O143" s="0" t="s">
        <v>29</v>
      </c>
      <c r="V143" s="0" t="s">
        <v>69</v>
      </c>
      <c r="Z143" s="0" t="n">
        <v>8</v>
      </c>
      <c r="AA143" s="0" t="n">
        <f aca="false">LEN(C143)</f>
        <v>27</v>
      </c>
    </row>
    <row r="144" customFormat="false" ht="15" hidden="false" customHeight="false" outlineLevel="0" collapsed="false">
      <c r="A144" s="0" t="s">
        <v>528</v>
      </c>
      <c r="B144" s="0" t="n">
        <v>1910</v>
      </c>
      <c r="C144" s="0" t="s">
        <v>529</v>
      </c>
      <c r="I144" s="0" t="s">
        <v>32</v>
      </c>
      <c r="J144" s="0" t="s">
        <v>530</v>
      </c>
      <c r="O144" s="0" t="s">
        <v>29</v>
      </c>
      <c r="AA144" s="0" t="n">
        <f aca="false">LEN(C144)+LEN(D144)+LEN(E144)+LEN(F144)+LEN(G144)+LEN(H144)+LEN(I144)+LEN(K144)+LEN(L144)+LEN(M144)+LEN(N144)</f>
        <v>26</v>
      </c>
    </row>
    <row r="145" customFormat="false" ht="15" hidden="false" customHeight="false" outlineLevel="0" collapsed="false">
      <c r="A145" s="0" t="s">
        <v>531</v>
      </c>
      <c r="B145" s="0" t="n">
        <v>1910</v>
      </c>
      <c r="C145" s="0" t="s">
        <v>532</v>
      </c>
      <c r="I145" s="0" t="s">
        <v>533</v>
      </c>
      <c r="J145" s="0" t="s">
        <v>534</v>
      </c>
      <c r="AA145" s="0" t="n">
        <f aca="false">LEN(C145)+LEN(D145)+LEN(E145)+LEN(F145)+LEN(G145)+LEN(H145)+LEN(I145)+LEN(K145)+LEN(L145)+LEN(M145)+LEN(N145)</f>
        <v>48</v>
      </c>
    </row>
    <row r="146" customFormat="false" ht="15" hidden="false" customHeight="false" outlineLevel="0" collapsed="false">
      <c r="A146" s="0" t="s">
        <v>535</v>
      </c>
      <c r="B146" s="0" t="n">
        <v>1910</v>
      </c>
      <c r="C146" s="0" t="s">
        <v>536</v>
      </c>
      <c r="I146" s="0" t="s">
        <v>137</v>
      </c>
      <c r="J146" s="0" t="s">
        <v>537</v>
      </c>
      <c r="O146" s="0" t="s">
        <v>29</v>
      </c>
      <c r="AA146" s="0" t="n">
        <f aca="false">LEN(C146)+LEN(D146)+LEN(E146)+LEN(F146)+LEN(G146)+LEN(H146)+LEN(I146)+LEN(K146)+LEN(L146)+LEN(M146)+LEN(N146)</f>
        <v>31</v>
      </c>
    </row>
    <row r="147" customFormat="false" ht="15" hidden="false" customHeight="false" outlineLevel="0" collapsed="false">
      <c r="A147" s="0" t="s">
        <v>538</v>
      </c>
      <c r="B147" s="0" t="n">
        <v>1910</v>
      </c>
      <c r="C147" s="0" t="s">
        <v>539</v>
      </c>
      <c r="D147" s="0" t="s">
        <v>152</v>
      </c>
      <c r="E147" s="0" t="s">
        <v>152</v>
      </c>
      <c r="F147" s="0" t="s">
        <v>152</v>
      </c>
      <c r="G147" s="0" t="s">
        <v>152</v>
      </c>
      <c r="H147" s="0" t="s">
        <v>152</v>
      </c>
      <c r="I147" s="0" t="s">
        <v>32</v>
      </c>
      <c r="J147" s="0" t="s">
        <v>540</v>
      </c>
      <c r="K147" s="0" t="s">
        <v>152</v>
      </c>
      <c r="L147" s="0" t="s">
        <v>152</v>
      </c>
      <c r="M147" s="0" t="s">
        <v>152</v>
      </c>
      <c r="N147" s="0" t="s">
        <v>152</v>
      </c>
      <c r="O147" s="0" t="s">
        <v>69</v>
      </c>
      <c r="Z147" s="0" t="n">
        <v>1</v>
      </c>
      <c r="AA147" s="0" t="n">
        <f aca="false">LEN(C147)</f>
        <v>15</v>
      </c>
    </row>
    <row r="148" customFormat="false" ht="15" hidden="false" customHeight="false" outlineLevel="0" collapsed="false">
      <c r="A148" s="0" t="s">
        <v>541</v>
      </c>
      <c r="B148" s="0" t="n">
        <v>1910</v>
      </c>
      <c r="C148" s="0" t="s">
        <v>542</v>
      </c>
      <c r="I148" s="0" t="s">
        <v>32</v>
      </c>
      <c r="J148" s="0" t="s">
        <v>543</v>
      </c>
      <c r="O148" s="0" t="s">
        <v>29</v>
      </c>
      <c r="AA148" s="0" t="n">
        <f aca="false">LEN(C148)+LEN(D148)+LEN(E148)+LEN(F148)+LEN(G148)+LEN(H148)+LEN(I148)+LEN(K148)+LEN(L148)+LEN(M148)+LEN(N148)</f>
        <v>47</v>
      </c>
    </row>
    <row r="149" customFormat="false" ht="15" hidden="false" customHeight="false" outlineLevel="0" collapsed="false">
      <c r="A149" s="0" t="s">
        <v>544</v>
      </c>
      <c r="B149" s="0" t="n">
        <v>1910</v>
      </c>
      <c r="C149" s="0" t="s">
        <v>545</v>
      </c>
      <c r="D149" s="0" t="s">
        <v>152</v>
      </c>
      <c r="E149" s="0" t="s">
        <v>152</v>
      </c>
      <c r="F149" s="0" t="s">
        <v>152</v>
      </c>
      <c r="G149" s="0" t="s">
        <v>152</v>
      </c>
      <c r="H149" s="0" t="s">
        <v>152</v>
      </c>
      <c r="I149" s="0" t="s">
        <v>177</v>
      </c>
      <c r="J149" s="0" t="s">
        <v>546</v>
      </c>
      <c r="K149" s="0" t="s">
        <v>152</v>
      </c>
      <c r="L149" s="0" t="s">
        <v>152</v>
      </c>
      <c r="M149" s="0" t="s">
        <v>152</v>
      </c>
      <c r="N149" s="0" t="s">
        <v>152</v>
      </c>
      <c r="O149" s="0" t="s">
        <v>69</v>
      </c>
      <c r="Z149" s="0" t="n">
        <v>10</v>
      </c>
      <c r="AA149" s="0" t="n">
        <f aca="false">LEN(C149)</f>
        <v>10</v>
      </c>
    </row>
    <row r="150" customFormat="false" ht="15" hidden="false" customHeight="false" outlineLevel="0" collapsed="false">
      <c r="A150" s="0" t="s">
        <v>547</v>
      </c>
      <c r="B150" s="0" t="n">
        <v>1910</v>
      </c>
      <c r="C150" s="0" t="s">
        <v>548</v>
      </c>
      <c r="I150" s="0" t="s">
        <v>549</v>
      </c>
      <c r="J150" s="0" t="s">
        <v>550</v>
      </c>
      <c r="K150" s="0" t="s">
        <v>551</v>
      </c>
      <c r="L150" s="0" t="s">
        <v>385</v>
      </c>
      <c r="N150" s="0" t="s">
        <v>110</v>
      </c>
      <c r="O150" s="0" t="s">
        <v>29</v>
      </c>
      <c r="V150" s="0" t="s">
        <v>29</v>
      </c>
      <c r="X150" s="0" t="s">
        <v>29</v>
      </c>
      <c r="AA150" s="0" t="n">
        <f aca="false">LEN(C150)+LEN(D150)+LEN(E150)+LEN(F150)+LEN(G150)+LEN(H150)+LEN(I150)+LEN(K150)+LEN(L150)+LEN(M150)+LEN(N150)</f>
        <v>38</v>
      </c>
    </row>
    <row r="151" customFormat="false" ht="15" hidden="false" customHeight="false" outlineLevel="0" collapsed="false">
      <c r="A151" s="0" t="s">
        <v>552</v>
      </c>
      <c r="B151" s="0" t="n">
        <v>1910</v>
      </c>
      <c r="C151" s="0" t="s">
        <v>548</v>
      </c>
      <c r="I151" s="0" t="s">
        <v>32</v>
      </c>
      <c r="J151" s="0" t="s">
        <v>553</v>
      </c>
      <c r="O151" s="0" t="s">
        <v>29</v>
      </c>
      <c r="V151" s="0" t="s">
        <v>29</v>
      </c>
      <c r="W151" s="0" t="s">
        <v>29</v>
      </c>
      <c r="X151" s="0" t="s">
        <v>29</v>
      </c>
      <c r="Y151" s="0" t="s">
        <v>29</v>
      </c>
      <c r="AA151" s="0" t="n">
        <f aca="false">LEN(C151)+LEN(D151)+LEN(E151)+LEN(F151)+LEN(G151)+LEN(H151)+LEN(I151)+LEN(K151)+LEN(L151)+LEN(M151)+LEN(N151)</f>
        <v>20</v>
      </c>
    </row>
    <row r="152" customFormat="false" ht="15" hidden="false" customHeight="false" outlineLevel="0" collapsed="false">
      <c r="A152" s="0" t="s">
        <v>554</v>
      </c>
      <c r="B152" s="0" t="n">
        <v>1910</v>
      </c>
      <c r="C152" s="0" t="s">
        <v>555</v>
      </c>
      <c r="I152" s="0" t="s">
        <v>413</v>
      </c>
      <c r="J152" s="0" t="s">
        <v>556</v>
      </c>
      <c r="AA152" s="0" t="n">
        <f aca="false">LEN(C152)+LEN(D152)+LEN(E152)+LEN(F152)+LEN(G152)+LEN(H152)+LEN(I152)+LEN(K152)+LEN(L152)+LEN(M152)+LEN(N152)</f>
        <v>38</v>
      </c>
    </row>
    <row r="153" customFormat="false" ht="15" hidden="false" customHeight="false" outlineLevel="0" collapsed="false">
      <c r="A153" s="0" t="s">
        <v>557</v>
      </c>
      <c r="B153" s="0" t="n">
        <v>1910</v>
      </c>
      <c r="C153" s="0" t="s">
        <v>558</v>
      </c>
      <c r="I153" s="0" t="s">
        <v>559</v>
      </c>
      <c r="J153" s="0" t="s">
        <v>560</v>
      </c>
      <c r="K153" s="0" t="s">
        <v>561</v>
      </c>
      <c r="L153" s="0" t="s">
        <v>562</v>
      </c>
      <c r="M153" s="0" t="s">
        <v>563</v>
      </c>
      <c r="N153" s="0" t="s">
        <v>110</v>
      </c>
      <c r="O153" s="0" t="s">
        <v>29</v>
      </c>
      <c r="U153" s="0" t="s">
        <v>29</v>
      </c>
      <c r="AA153" s="0" t="n">
        <f aca="false">LEN(C153)+LEN(D153)+LEN(E153)+LEN(F153)+LEN(G153)+LEN(H153)+LEN(I153)+LEN(K153)+LEN(L153)+LEN(M153)+LEN(N153)</f>
        <v>68</v>
      </c>
    </row>
    <row r="154" customFormat="false" ht="15" hidden="false" customHeight="false" outlineLevel="0" collapsed="false">
      <c r="A154" s="0" t="s">
        <v>557</v>
      </c>
      <c r="B154" s="0" t="n">
        <v>1910</v>
      </c>
      <c r="C154" s="0" t="s">
        <v>558</v>
      </c>
      <c r="I154" s="0" t="s">
        <v>559</v>
      </c>
      <c r="J154" s="0" t="s">
        <v>560</v>
      </c>
      <c r="K154" s="0" t="s">
        <v>564</v>
      </c>
      <c r="L154" s="0" t="s">
        <v>565</v>
      </c>
      <c r="N154" s="0" t="s">
        <v>110</v>
      </c>
      <c r="O154" s="0" t="s">
        <v>29</v>
      </c>
      <c r="U154" s="0" t="s">
        <v>29</v>
      </c>
      <c r="V154" s="0" t="s">
        <v>29</v>
      </c>
      <c r="AA154" s="0" t="n">
        <f aca="false">LEN(C154)+LEN(D154)+LEN(E154)+LEN(F154)+LEN(G154)+LEN(H154)+LEN(I154)+LEN(K154)+LEN(L154)+LEN(M154)+LEN(N154)</f>
        <v>64</v>
      </c>
    </row>
    <row r="155" customFormat="false" ht="15" hidden="false" customHeight="false" outlineLevel="0" collapsed="false">
      <c r="A155" s="0" t="s">
        <v>557</v>
      </c>
      <c r="B155" s="0" t="n">
        <v>1910</v>
      </c>
      <c r="C155" s="0" t="s">
        <v>558</v>
      </c>
      <c r="I155" s="0" t="s">
        <v>559</v>
      </c>
      <c r="J155" s="0" t="s">
        <v>560</v>
      </c>
      <c r="K155" s="0" t="s">
        <v>566</v>
      </c>
      <c r="L155" s="0" t="s">
        <v>559</v>
      </c>
      <c r="N155" s="0" t="s">
        <v>110</v>
      </c>
      <c r="O155" s="0" t="s">
        <v>29</v>
      </c>
      <c r="U155" s="0" t="s">
        <v>29</v>
      </c>
      <c r="V155" s="0" t="s">
        <v>29</v>
      </c>
      <c r="AA155" s="0" t="n">
        <f aca="false">LEN(C155)+LEN(D155)+LEN(E155)+LEN(F155)+LEN(G155)+LEN(H155)+LEN(I155)+LEN(K155)+LEN(L155)+LEN(M155)+LEN(N155)</f>
        <v>66</v>
      </c>
    </row>
    <row r="156" customFormat="false" ht="15" hidden="false" customHeight="false" outlineLevel="0" collapsed="false">
      <c r="A156" s="0" t="s">
        <v>557</v>
      </c>
      <c r="B156" s="0" t="n">
        <v>1910</v>
      </c>
      <c r="C156" s="0" t="s">
        <v>558</v>
      </c>
      <c r="I156" s="0" t="s">
        <v>559</v>
      </c>
      <c r="J156" s="0" t="s">
        <v>560</v>
      </c>
      <c r="K156" s="0" t="s">
        <v>567</v>
      </c>
      <c r="L156" s="0" t="s">
        <v>568</v>
      </c>
      <c r="M156" s="0" t="s">
        <v>569</v>
      </c>
      <c r="N156" s="0" t="s">
        <v>110</v>
      </c>
      <c r="O156" s="0" t="s">
        <v>29</v>
      </c>
      <c r="U156" s="0" t="s">
        <v>29</v>
      </c>
      <c r="V156" s="0" t="s">
        <v>29</v>
      </c>
      <c r="X156" s="0" t="s">
        <v>29</v>
      </c>
      <c r="Y156" s="0" t="s">
        <v>29</v>
      </c>
      <c r="AA156" s="0" t="n">
        <f aca="false">LEN(C156)+LEN(D156)+LEN(E156)+LEN(F156)+LEN(G156)+LEN(H156)+LEN(I156)+LEN(K156)+LEN(L156)+LEN(M156)+LEN(N156)</f>
        <v>71</v>
      </c>
    </row>
    <row r="157" customFormat="false" ht="15" hidden="false" customHeight="false" outlineLevel="0" collapsed="false">
      <c r="A157" s="0" t="s">
        <v>557</v>
      </c>
      <c r="B157" s="0" t="n">
        <v>1910</v>
      </c>
      <c r="C157" s="0" t="s">
        <v>558</v>
      </c>
      <c r="I157" s="0" t="s">
        <v>559</v>
      </c>
      <c r="J157" s="0" t="s">
        <v>560</v>
      </c>
      <c r="K157" s="0" t="s">
        <v>570</v>
      </c>
      <c r="L157" s="0" t="s">
        <v>571</v>
      </c>
      <c r="M157" s="0" t="s">
        <v>572</v>
      </c>
      <c r="N157" s="0" t="s">
        <v>110</v>
      </c>
      <c r="O157" s="0" t="s">
        <v>29</v>
      </c>
      <c r="U157" s="0" t="s">
        <v>29</v>
      </c>
      <c r="X157" s="0" t="s">
        <v>29</v>
      </c>
      <c r="AA157" s="0" t="n">
        <f aca="false">LEN(C157)+LEN(D157)+LEN(E157)+LEN(F157)+LEN(G157)+LEN(H157)+LEN(I157)+LEN(K157)+LEN(L157)+LEN(M157)+LEN(N157)</f>
        <v>68</v>
      </c>
    </row>
    <row r="158" customFormat="false" ht="15" hidden="false" customHeight="false" outlineLevel="0" collapsed="false">
      <c r="A158" s="0" t="s">
        <v>573</v>
      </c>
      <c r="B158" s="0" t="n">
        <v>1910</v>
      </c>
      <c r="C158" s="0" t="s">
        <v>574</v>
      </c>
      <c r="I158" s="0" t="s">
        <v>32</v>
      </c>
      <c r="J158" s="0" t="s">
        <v>575</v>
      </c>
      <c r="AA158" s="0" t="n">
        <f aca="false">LEN(C158)+LEN(D158)+LEN(E158)+LEN(F158)+LEN(G158)+LEN(H158)+LEN(I158)+LEN(K158)+LEN(L158)+LEN(M158)+LEN(N158)</f>
        <v>46</v>
      </c>
    </row>
    <row r="159" customFormat="false" ht="15" hidden="false" customHeight="false" outlineLevel="0" collapsed="false">
      <c r="A159" s="0" t="s">
        <v>576</v>
      </c>
      <c r="B159" s="0" t="n">
        <v>1910</v>
      </c>
      <c r="C159" s="0" t="s">
        <v>577</v>
      </c>
      <c r="D159" s="0" t="s">
        <v>152</v>
      </c>
      <c r="E159" s="0" t="s">
        <v>152</v>
      </c>
      <c r="F159" s="0" t="s">
        <v>152</v>
      </c>
      <c r="G159" s="0" t="s">
        <v>152</v>
      </c>
      <c r="H159" s="0" t="s">
        <v>152</v>
      </c>
      <c r="I159" s="0" t="s">
        <v>578</v>
      </c>
      <c r="J159" s="0" t="s">
        <v>579</v>
      </c>
      <c r="K159" s="0" t="s">
        <v>152</v>
      </c>
      <c r="L159" s="0" t="s">
        <v>152</v>
      </c>
      <c r="M159" s="0" t="s">
        <v>152</v>
      </c>
      <c r="N159" s="0" t="s">
        <v>152</v>
      </c>
      <c r="O159" s="0" t="s">
        <v>69</v>
      </c>
      <c r="Z159" s="0" t="n">
        <v>24</v>
      </c>
      <c r="AA159" s="0" t="n">
        <f aca="false">LEN(C159)</f>
        <v>24</v>
      </c>
    </row>
    <row r="160" customFormat="false" ht="15" hidden="false" customHeight="false" outlineLevel="0" collapsed="false">
      <c r="A160" s="0" t="s">
        <v>580</v>
      </c>
      <c r="B160" s="0" t="n">
        <v>1910</v>
      </c>
      <c r="C160" s="0" t="s">
        <v>581</v>
      </c>
      <c r="I160" s="0" t="s">
        <v>582</v>
      </c>
      <c r="J160" s="0" t="s">
        <v>583</v>
      </c>
      <c r="U160" s="0" t="s">
        <v>29</v>
      </c>
      <c r="AA160" s="0" t="n">
        <f aca="false">LEN(C160)+LEN(D160)+LEN(E160)+LEN(F160)+LEN(G160)+LEN(H160)+LEN(I160)+LEN(K160)+LEN(L160)+LEN(M160)+LEN(N160)</f>
        <v>23</v>
      </c>
    </row>
    <row r="161" customFormat="false" ht="15" hidden="false" customHeight="false" outlineLevel="0" collapsed="false">
      <c r="A161" s="0" t="s">
        <v>584</v>
      </c>
      <c r="B161" s="0" t="n">
        <v>1910</v>
      </c>
      <c r="C161" s="0" t="s">
        <v>585</v>
      </c>
      <c r="I161" s="0" t="s">
        <v>586</v>
      </c>
      <c r="J161" s="0" t="s">
        <v>149</v>
      </c>
      <c r="AA161" s="0" t="n">
        <f aca="false">LEN(C161)+LEN(D161)+LEN(E161)+LEN(F161)+LEN(G161)+LEN(H161)+LEN(I161)+LEN(K161)+LEN(L161)+LEN(M161)+LEN(N161)</f>
        <v>35</v>
      </c>
    </row>
    <row r="162" customFormat="false" ht="15" hidden="false" customHeight="false" outlineLevel="0" collapsed="false">
      <c r="A162" s="0" t="s">
        <v>587</v>
      </c>
      <c r="B162" s="0" t="n">
        <v>1910</v>
      </c>
      <c r="C162" s="0" t="s">
        <v>588</v>
      </c>
      <c r="I162" s="0" t="s">
        <v>361</v>
      </c>
      <c r="J162" s="0" t="s">
        <v>589</v>
      </c>
      <c r="AA162" s="0" t="n">
        <f aca="false">LEN(C162)+LEN(D162)+LEN(E162)+LEN(F162)+LEN(G162)+LEN(H162)+LEN(I162)+LEN(K162)+LEN(L162)+LEN(M162)+LEN(N162)</f>
        <v>29</v>
      </c>
    </row>
    <row r="163" customFormat="false" ht="15" hidden="false" customHeight="false" outlineLevel="0" collapsed="false">
      <c r="A163" s="0" t="s">
        <v>590</v>
      </c>
      <c r="B163" s="0" t="n">
        <v>1910</v>
      </c>
      <c r="C163" s="0" t="s">
        <v>591</v>
      </c>
      <c r="I163" s="0" t="s">
        <v>293</v>
      </c>
      <c r="J163" s="0" t="s">
        <v>592</v>
      </c>
      <c r="AA163" s="0" t="n">
        <f aca="false">LEN(C163)+LEN(D163)+LEN(E163)+LEN(F163)+LEN(G163)+LEN(H163)+LEN(I163)+LEN(K163)+LEN(L163)+LEN(M163)+LEN(N163)</f>
        <v>39</v>
      </c>
    </row>
    <row r="164" customFormat="false" ht="15" hidden="false" customHeight="false" outlineLevel="0" collapsed="false">
      <c r="A164" s="0" t="s">
        <v>593</v>
      </c>
      <c r="B164" s="0" t="n">
        <v>1910</v>
      </c>
      <c r="C164" s="0" t="s">
        <v>594</v>
      </c>
      <c r="I164" s="0" t="s">
        <v>32</v>
      </c>
      <c r="J164" s="0" t="s">
        <v>595</v>
      </c>
      <c r="O164" s="0" t="s">
        <v>29</v>
      </c>
      <c r="AA164" s="0" t="n">
        <f aca="false">LEN(C164)+LEN(D164)+LEN(E164)+LEN(F164)+LEN(G164)+LEN(H164)+LEN(I164)+LEN(K164)+LEN(L164)+LEN(M164)+LEN(N164)</f>
        <v>35</v>
      </c>
    </row>
    <row r="165" customFormat="false" ht="15" hidden="false" customHeight="false" outlineLevel="0" collapsed="false">
      <c r="A165" s="0" t="s">
        <v>596</v>
      </c>
      <c r="B165" s="0" t="n">
        <v>1910</v>
      </c>
      <c r="C165" s="0" t="s">
        <v>597</v>
      </c>
      <c r="I165" s="0" t="s">
        <v>598</v>
      </c>
      <c r="J165" s="0" t="s">
        <v>599</v>
      </c>
      <c r="AA165" s="0" t="n">
        <f aca="false">LEN(C165)+LEN(D165)+LEN(E165)+LEN(F165)+LEN(G165)+LEN(H165)+LEN(I165)+LEN(K165)+LEN(L165)+LEN(M165)+LEN(N165)</f>
        <v>38</v>
      </c>
    </row>
    <row r="166" customFormat="false" ht="15" hidden="false" customHeight="false" outlineLevel="0" collapsed="false">
      <c r="A166" s="0" t="s">
        <v>600</v>
      </c>
      <c r="B166" s="0" t="n">
        <v>1910</v>
      </c>
      <c r="C166" s="0" t="s">
        <v>601</v>
      </c>
      <c r="I166" s="0" t="s">
        <v>602</v>
      </c>
      <c r="J166" s="0" t="s">
        <v>603</v>
      </c>
      <c r="O166" s="0" t="s">
        <v>29</v>
      </c>
      <c r="AA166" s="0" t="n">
        <f aca="false">LEN(C166)+LEN(D166)+LEN(E166)+LEN(F166)+LEN(G166)+LEN(H166)+LEN(I166)+LEN(K166)+LEN(L166)+LEN(M166)+LEN(N166)</f>
        <v>27</v>
      </c>
    </row>
    <row r="167" customFormat="false" ht="15" hidden="false" customHeight="false" outlineLevel="0" collapsed="false">
      <c r="A167" s="0" t="s">
        <v>604</v>
      </c>
      <c r="B167" s="0" t="n">
        <v>1910</v>
      </c>
      <c r="C167" s="0" t="s">
        <v>26</v>
      </c>
      <c r="E167" s="0" t="s">
        <v>605</v>
      </c>
      <c r="I167" s="0" t="s">
        <v>606</v>
      </c>
      <c r="J167" s="0" t="s">
        <v>607</v>
      </c>
      <c r="O167" s="0" t="s">
        <v>29</v>
      </c>
      <c r="AA167" s="0" t="n">
        <f aca="false">LEN(C167)+LEN(D167)+LEN(E167)+LEN(F167)+LEN(G167)+LEN(H167)+LEN(I167)+LEN(K167)+LEN(L167)+LEN(M167)+LEN(N167)</f>
        <v>45</v>
      </c>
    </row>
    <row r="168" customFormat="false" ht="15" hidden="false" customHeight="false" outlineLevel="0" collapsed="false">
      <c r="A168" s="0" t="s">
        <v>608</v>
      </c>
      <c r="B168" s="0" t="n">
        <v>1910</v>
      </c>
      <c r="C168" s="0" t="s">
        <v>26</v>
      </c>
      <c r="F168" s="0" t="n">
        <v>1873</v>
      </c>
      <c r="I168" s="0" t="s">
        <v>606</v>
      </c>
      <c r="J168" s="0" t="s">
        <v>609</v>
      </c>
      <c r="O168" s="0" t="s">
        <v>29</v>
      </c>
      <c r="AA168" s="0" t="n">
        <f aca="false">LEN(C168)+LEN(D168)+LEN(E168)+LEN(F168)+LEN(G168)+LEN(H168)+LEN(I168)+LEN(K168)+LEN(L168)+LEN(M168)+LEN(N168)</f>
        <v>26</v>
      </c>
    </row>
    <row r="169" customFormat="false" ht="15" hidden="false" customHeight="false" outlineLevel="0" collapsed="false">
      <c r="A169" s="0" t="s">
        <v>610</v>
      </c>
      <c r="B169" s="0" t="n">
        <v>1910</v>
      </c>
      <c r="C169" s="0" t="s">
        <v>611</v>
      </c>
      <c r="I169" s="0" t="s">
        <v>612</v>
      </c>
      <c r="J169" s="0" t="s">
        <v>613</v>
      </c>
      <c r="O169" s="0" t="s">
        <v>29</v>
      </c>
      <c r="AA169" s="0" t="n">
        <f aca="false">LEN(C169)+LEN(D169)+LEN(E169)+LEN(F169)+LEN(G169)+LEN(H169)+LEN(I169)+LEN(K169)+LEN(L169)+LEN(M169)+LEN(N169)</f>
        <v>42</v>
      </c>
    </row>
    <row r="170" customFormat="false" ht="15" hidden="false" customHeight="false" outlineLevel="0" collapsed="false">
      <c r="A170" s="0" t="s">
        <v>614</v>
      </c>
      <c r="B170" s="0" t="n">
        <v>1910</v>
      </c>
      <c r="C170" s="0" t="s">
        <v>615</v>
      </c>
      <c r="I170" s="0" t="s">
        <v>616</v>
      </c>
      <c r="J170" s="0" t="s">
        <v>617</v>
      </c>
      <c r="U170" s="0" t="s">
        <v>29</v>
      </c>
      <c r="AA170" s="0" t="n">
        <f aca="false">LEN(C170)+LEN(D170)+LEN(E170)+LEN(F170)+LEN(G170)+LEN(H170)+LEN(I170)+LEN(K170)+LEN(L170)+LEN(M170)+LEN(N170)</f>
        <v>43</v>
      </c>
    </row>
    <row r="171" customFormat="false" ht="15" hidden="false" customHeight="false" outlineLevel="0" collapsed="false">
      <c r="A171" s="0" t="s">
        <v>618</v>
      </c>
      <c r="B171" s="0" t="n">
        <v>1910</v>
      </c>
      <c r="C171" s="0" t="s">
        <v>619</v>
      </c>
      <c r="D171" s="0" t="s">
        <v>152</v>
      </c>
      <c r="E171" s="0" t="s">
        <v>152</v>
      </c>
      <c r="F171" s="0" t="s">
        <v>152</v>
      </c>
      <c r="G171" s="0" t="s">
        <v>152</v>
      </c>
      <c r="H171" s="0" t="s">
        <v>152</v>
      </c>
      <c r="I171" s="0" t="s">
        <v>152</v>
      </c>
      <c r="J171" s="0" t="s">
        <v>620</v>
      </c>
      <c r="K171" s="0" t="s">
        <v>621</v>
      </c>
      <c r="L171" s="0" t="s">
        <v>324</v>
      </c>
      <c r="M171" s="0" t="s">
        <v>152</v>
      </c>
      <c r="N171" s="0" t="s">
        <v>110</v>
      </c>
      <c r="U171" s="0" t="s">
        <v>29</v>
      </c>
      <c r="V171" s="0" t="s">
        <v>69</v>
      </c>
      <c r="Z171" s="0" t="n">
        <v>5</v>
      </c>
      <c r="AA171" s="0" t="n">
        <f aca="false">LEN(C171)</f>
        <v>33</v>
      </c>
    </row>
    <row r="172" customFormat="false" ht="15" hidden="false" customHeight="false" outlineLevel="0" collapsed="false">
      <c r="A172" s="0" t="s">
        <v>618</v>
      </c>
      <c r="B172" s="0" t="n">
        <v>1910</v>
      </c>
      <c r="C172" s="0" t="s">
        <v>619</v>
      </c>
      <c r="J172" s="0" t="s">
        <v>620</v>
      </c>
      <c r="K172" s="0" t="s">
        <v>622</v>
      </c>
      <c r="L172" s="0" t="s">
        <v>623</v>
      </c>
      <c r="N172" s="0" t="s">
        <v>214</v>
      </c>
      <c r="U172" s="0" t="s">
        <v>29</v>
      </c>
      <c r="V172" s="0" t="s">
        <v>29</v>
      </c>
      <c r="AA172" s="0" t="n">
        <f aca="false">LEN(C172)+LEN(D172)+LEN(E172)+LEN(F172)+LEN(G172)+LEN(H172)+LEN(I172)+LEN(K172)+LEN(L172)+LEN(M172)+LEN(N172)</f>
        <v>53</v>
      </c>
    </row>
    <row r="173" customFormat="false" ht="15" hidden="false" customHeight="false" outlineLevel="0" collapsed="false">
      <c r="A173" s="0" t="s">
        <v>624</v>
      </c>
      <c r="B173" s="0" t="n">
        <v>1911</v>
      </c>
      <c r="C173" s="0" t="s">
        <v>625</v>
      </c>
      <c r="I173" s="0" t="s">
        <v>549</v>
      </c>
      <c r="J173" s="0" t="s">
        <v>626</v>
      </c>
      <c r="O173" s="0" t="s">
        <v>29</v>
      </c>
      <c r="AA173" s="0" t="n">
        <f aca="false">LEN(C173)+LEN(D173)+LEN(E173)+LEN(F173)+LEN(G173)+LEN(H173)+LEN(I173)+LEN(K173)+LEN(L173)+LEN(M173)+LEN(N173)</f>
        <v>70</v>
      </c>
    </row>
    <row r="174" customFormat="false" ht="15" hidden="false" customHeight="false" outlineLevel="0" collapsed="false">
      <c r="A174" s="0" t="s">
        <v>627</v>
      </c>
      <c r="B174" s="0" t="n">
        <v>1911</v>
      </c>
      <c r="C174" s="0" t="s">
        <v>628</v>
      </c>
      <c r="I174" s="0" t="s">
        <v>629</v>
      </c>
      <c r="J174" s="0" t="s">
        <v>630</v>
      </c>
      <c r="K174" s="0" t="s">
        <v>631</v>
      </c>
      <c r="L174" s="0" t="s">
        <v>391</v>
      </c>
      <c r="M174" s="0" t="s">
        <v>632</v>
      </c>
      <c r="N174" s="0" t="s">
        <v>110</v>
      </c>
      <c r="AA174" s="0" t="n">
        <f aca="false">LEN(C174)+LEN(D174)+LEN(E174)+LEN(F174)+LEN(G174)+LEN(H174)+LEN(I174)+LEN(K174)+LEN(L174)+LEN(M174)+LEN(N174)</f>
        <v>52</v>
      </c>
    </row>
    <row r="175" customFormat="false" ht="15" hidden="false" customHeight="false" outlineLevel="0" collapsed="false">
      <c r="A175" s="0" t="s">
        <v>633</v>
      </c>
      <c r="B175" s="0" t="n">
        <v>1911</v>
      </c>
      <c r="C175" s="0" t="s">
        <v>634</v>
      </c>
      <c r="D175" s="0" t="n">
        <v>145843.5</v>
      </c>
      <c r="I175" s="0" t="s">
        <v>48</v>
      </c>
      <c r="J175" s="0" t="s">
        <v>635</v>
      </c>
      <c r="O175" s="0" t="s">
        <v>29</v>
      </c>
      <c r="AA175" s="0" t="n">
        <f aca="false">LEN(C175)+LEN(D175)+LEN(E175)+LEN(F175)+LEN(G175)+LEN(H175)+LEN(I175)+LEN(K175)+LEN(L175)+LEN(M175)+LEN(N175)</f>
        <v>49</v>
      </c>
    </row>
    <row r="176" customFormat="false" ht="15" hidden="false" customHeight="false" outlineLevel="0" collapsed="false">
      <c r="A176" s="0" t="s">
        <v>636</v>
      </c>
      <c r="B176" s="0" t="n">
        <v>1911</v>
      </c>
      <c r="C176" s="0" t="s">
        <v>637</v>
      </c>
      <c r="I176" s="0" t="s">
        <v>32</v>
      </c>
      <c r="J176" s="0" t="s">
        <v>638</v>
      </c>
      <c r="O176" s="0" t="s">
        <v>29</v>
      </c>
      <c r="V176" s="0" t="s">
        <v>24</v>
      </c>
      <c r="W176" s="0" t="s">
        <v>24</v>
      </c>
      <c r="X176" s="0" t="s">
        <v>24</v>
      </c>
      <c r="Y176" s="0" t="s">
        <v>24</v>
      </c>
      <c r="AA176" s="0" t="n">
        <f aca="false">LEN(C176)+LEN(D176)+LEN(E176)+LEN(F176)+LEN(G176)+LEN(H176)+LEN(I176)+LEN(K176)+LEN(L176)+LEN(M176)+LEN(N176)</f>
        <v>30</v>
      </c>
    </row>
    <row r="177" customFormat="false" ht="15" hidden="false" customHeight="false" outlineLevel="0" collapsed="false">
      <c r="A177" s="0" t="s">
        <v>639</v>
      </c>
      <c r="B177" s="0" t="n">
        <v>1911</v>
      </c>
      <c r="C177" s="0" t="s">
        <v>640</v>
      </c>
      <c r="I177" s="0" t="s">
        <v>641</v>
      </c>
      <c r="J177" s="0" t="s">
        <v>642</v>
      </c>
      <c r="O177" s="0" t="s">
        <v>29</v>
      </c>
      <c r="U177" s="0" t="s">
        <v>29</v>
      </c>
      <c r="AA177" s="0" t="n">
        <f aca="false">LEN(C177)+LEN(D177)+LEN(E177)+LEN(F177)+LEN(G177)+LEN(H177)+LEN(I177)+LEN(K177)+LEN(L177)+LEN(M177)+LEN(N177)</f>
        <v>77</v>
      </c>
    </row>
    <row r="178" customFormat="false" ht="15" hidden="false" customHeight="false" outlineLevel="0" collapsed="false">
      <c r="A178" s="0" t="s">
        <v>643</v>
      </c>
      <c r="B178" s="0" t="n">
        <v>1911</v>
      </c>
      <c r="C178" s="0" t="s">
        <v>644</v>
      </c>
      <c r="I178" s="0" t="s">
        <v>32</v>
      </c>
      <c r="J178" s="0" t="s">
        <v>645</v>
      </c>
      <c r="O178" s="0" t="s">
        <v>29</v>
      </c>
      <c r="AA178" s="0" t="n">
        <f aca="false">LEN(C178)+LEN(D178)+LEN(E178)+LEN(F178)+LEN(G178)+LEN(H178)+LEN(I178)+LEN(K178)+LEN(L178)+LEN(M178)+LEN(N178)</f>
        <v>37</v>
      </c>
    </row>
    <row r="179" customFormat="false" ht="15" hidden="false" customHeight="false" outlineLevel="0" collapsed="false">
      <c r="A179" s="0" t="s">
        <v>646</v>
      </c>
      <c r="B179" s="0" t="n">
        <v>1911</v>
      </c>
      <c r="C179" s="0" t="s">
        <v>647</v>
      </c>
      <c r="I179" s="0" t="s">
        <v>413</v>
      </c>
      <c r="J179" s="0" t="s">
        <v>648</v>
      </c>
      <c r="O179" s="0" t="s">
        <v>29</v>
      </c>
      <c r="AA179" s="0" t="n">
        <f aca="false">LEN(C179)+LEN(D179)+LEN(E179)+LEN(F179)+LEN(G179)+LEN(H179)+LEN(I179)+LEN(K179)+LEN(L179)+LEN(M179)+LEN(N179)</f>
        <v>47</v>
      </c>
    </row>
    <row r="180" customFormat="false" ht="15" hidden="false" customHeight="false" outlineLevel="0" collapsed="false">
      <c r="A180" s="0" t="s">
        <v>649</v>
      </c>
      <c r="B180" s="0" t="n">
        <v>1911</v>
      </c>
      <c r="C180" s="0" t="s">
        <v>650</v>
      </c>
      <c r="D180" s="0" t="s">
        <v>152</v>
      </c>
      <c r="E180" s="0" t="s">
        <v>152</v>
      </c>
      <c r="F180" s="0" t="s">
        <v>152</v>
      </c>
      <c r="G180" s="0" t="s">
        <v>152</v>
      </c>
      <c r="H180" s="0" t="s">
        <v>152</v>
      </c>
      <c r="I180" s="0" t="s">
        <v>32</v>
      </c>
      <c r="J180" s="0" t="s">
        <v>651</v>
      </c>
      <c r="K180" s="0" t="s">
        <v>152</v>
      </c>
      <c r="L180" s="0" t="s">
        <v>152</v>
      </c>
      <c r="M180" s="0" t="s">
        <v>152</v>
      </c>
      <c r="N180" s="0" t="s">
        <v>152</v>
      </c>
      <c r="O180" s="0" t="s">
        <v>29</v>
      </c>
      <c r="U180" s="0" t="s">
        <v>29</v>
      </c>
      <c r="Z180" s="0" t="n">
        <v>0</v>
      </c>
      <c r="AA180" s="0" t="n">
        <f aca="false">LEN(C180)</f>
        <v>26</v>
      </c>
    </row>
    <row r="181" customFormat="false" ht="15" hidden="false" customHeight="false" outlineLevel="0" collapsed="false">
      <c r="A181" s="0" t="s">
        <v>652</v>
      </c>
      <c r="B181" s="0" t="n">
        <v>1911</v>
      </c>
      <c r="C181" s="0" t="s">
        <v>653</v>
      </c>
      <c r="I181" s="0" t="s">
        <v>654</v>
      </c>
      <c r="J181" s="0" t="s">
        <v>655</v>
      </c>
      <c r="O181" s="0" t="s">
        <v>29</v>
      </c>
      <c r="U181" s="0" t="s">
        <v>29</v>
      </c>
      <c r="AA181" s="0" t="n">
        <f aca="false">LEN(C181)+LEN(D181)+LEN(E181)+LEN(F181)+LEN(G181)+LEN(H181)+LEN(I181)+LEN(K181)+LEN(L181)+LEN(M181)+LEN(N181)</f>
        <v>14</v>
      </c>
    </row>
    <row r="182" customFormat="false" ht="15" hidden="false" customHeight="false" outlineLevel="0" collapsed="false">
      <c r="A182" s="0" t="s">
        <v>656</v>
      </c>
      <c r="B182" s="0" t="n">
        <v>1911</v>
      </c>
      <c r="C182" s="0" t="s">
        <v>657</v>
      </c>
      <c r="I182" s="0" t="s">
        <v>137</v>
      </c>
      <c r="J182" s="0" t="s">
        <v>658</v>
      </c>
      <c r="AA182" s="0" t="n">
        <f aca="false">LEN(C182)+LEN(D182)+LEN(E182)+LEN(F182)+LEN(G182)+LEN(H182)+LEN(I182)+LEN(K182)+LEN(L182)+LEN(M182)+LEN(N182)</f>
        <v>67</v>
      </c>
    </row>
    <row r="183" customFormat="false" ht="15" hidden="false" customHeight="false" outlineLevel="0" collapsed="false">
      <c r="A183" s="0" t="s">
        <v>659</v>
      </c>
      <c r="B183" s="0" t="n">
        <v>1911</v>
      </c>
      <c r="C183" s="0" t="s">
        <v>660</v>
      </c>
      <c r="I183" s="0" t="s">
        <v>191</v>
      </c>
      <c r="J183" s="0" t="s">
        <v>661</v>
      </c>
      <c r="AA183" s="0" t="n">
        <f aca="false">LEN(C183)+LEN(D183)+LEN(E183)+LEN(F183)+LEN(G183)+LEN(H183)+LEN(I183)+LEN(K183)+LEN(L183)+LEN(M183)+LEN(N183)</f>
        <v>42</v>
      </c>
    </row>
    <row r="184" customFormat="false" ht="15" hidden="false" customHeight="false" outlineLevel="0" collapsed="false">
      <c r="A184" s="0" t="s">
        <v>662</v>
      </c>
      <c r="B184" s="0" t="n">
        <v>1911</v>
      </c>
      <c r="C184" s="0" t="s">
        <v>663</v>
      </c>
      <c r="I184" s="0" t="s">
        <v>44</v>
      </c>
      <c r="J184" s="0" t="s">
        <v>664</v>
      </c>
      <c r="AA184" s="0" t="n">
        <f aca="false">LEN(C184)+LEN(D184)+LEN(E184)+LEN(F184)+LEN(G184)+LEN(H184)+LEN(I184)+LEN(K184)+LEN(L184)+LEN(M184)+LEN(N184)</f>
        <v>29</v>
      </c>
    </row>
    <row r="185" customFormat="false" ht="15" hidden="false" customHeight="false" outlineLevel="0" collapsed="false">
      <c r="A185" s="0" t="s">
        <v>665</v>
      </c>
      <c r="B185" s="0" t="n">
        <v>1911</v>
      </c>
      <c r="C185" s="0" t="s">
        <v>666</v>
      </c>
      <c r="I185" s="0" t="s">
        <v>397</v>
      </c>
      <c r="J185" s="0" t="s">
        <v>667</v>
      </c>
      <c r="O185" s="0" t="s">
        <v>29</v>
      </c>
      <c r="AA185" s="0" t="n">
        <f aca="false">LEN(C185)+LEN(D185)+LEN(E185)+LEN(F185)+LEN(G185)+LEN(H185)+LEN(I185)+LEN(K185)+LEN(L185)+LEN(M185)+LEN(N185)</f>
        <v>39</v>
      </c>
    </row>
    <row r="186" customFormat="false" ht="15" hidden="false" customHeight="false" outlineLevel="0" collapsed="false">
      <c r="A186" s="0" t="s">
        <v>668</v>
      </c>
      <c r="B186" s="0" t="n">
        <v>1911</v>
      </c>
      <c r="C186" s="0" t="s">
        <v>396</v>
      </c>
      <c r="I186" s="0" t="s">
        <v>378</v>
      </c>
      <c r="J186" s="0" t="s">
        <v>669</v>
      </c>
      <c r="AA186" s="0" t="n">
        <f aca="false">LEN(C186)+LEN(D186)+LEN(E186)+LEN(F186)+LEN(G186)+LEN(H186)+LEN(I186)+LEN(K186)+LEN(L186)+LEN(M186)+LEN(N186)</f>
        <v>36</v>
      </c>
    </row>
    <row r="187" customFormat="false" ht="15" hidden="false" customHeight="false" outlineLevel="0" collapsed="false">
      <c r="A187" s="0" t="s">
        <v>670</v>
      </c>
      <c r="B187" s="0" t="n">
        <v>1911</v>
      </c>
      <c r="C187" s="0" t="s">
        <v>671</v>
      </c>
      <c r="E187" s="0" t="s">
        <v>672</v>
      </c>
      <c r="I187" s="0" t="s">
        <v>673</v>
      </c>
      <c r="J187" s="0" t="s">
        <v>674</v>
      </c>
      <c r="O187" s="0" t="s">
        <v>29</v>
      </c>
      <c r="AA187" s="0" t="n">
        <f aca="false">LEN(C187)+LEN(D187)+LEN(E187)+LEN(F187)+LEN(G187)+LEN(H187)+LEN(I187)+LEN(K187)+LEN(L187)+LEN(M187)+LEN(N187)</f>
        <v>60</v>
      </c>
    </row>
    <row r="188" s="3" customFormat="true" ht="15" hidden="false" customHeight="false" outlineLevel="0" collapsed="false">
      <c r="A188" s="3" t="s">
        <v>675</v>
      </c>
      <c r="B188" s="3" t="n">
        <v>1911</v>
      </c>
      <c r="C188" s="3" t="s">
        <v>676</v>
      </c>
      <c r="I188" s="3" t="s">
        <v>32</v>
      </c>
      <c r="J188" s="3" t="s">
        <v>677</v>
      </c>
      <c r="AA188" s="3" t="n">
        <f aca="false">LEN(C188)+LEN(D188)+LEN(E188)+LEN(F188)+LEN(G188)+LEN(H188)+LEN(I188)+LEN(K188)+LEN(L188)+LEN(M188)+LEN(N188)</f>
        <v>43</v>
      </c>
    </row>
    <row r="189" customFormat="false" ht="15" hidden="false" customHeight="false" outlineLevel="0" collapsed="false">
      <c r="A189" s="0" t="s">
        <v>678</v>
      </c>
      <c r="B189" s="0" t="n">
        <v>1911</v>
      </c>
      <c r="C189" s="0" t="s">
        <v>679</v>
      </c>
      <c r="I189" s="0" t="s">
        <v>371</v>
      </c>
      <c r="J189" s="0" t="s">
        <v>680</v>
      </c>
      <c r="O189" s="0" t="s">
        <v>29</v>
      </c>
      <c r="AA189" s="0" t="n">
        <f aca="false">LEN(C189)+LEN(D189)+LEN(E189)+LEN(F189)+LEN(G189)+LEN(H189)+LEN(I189)+LEN(K189)+LEN(L189)+LEN(M189)+LEN(N189)</f>
        <v>56</v>
      </c>
    </row>
    <row r="190" customFormat="false" ht="15" hidden="false" customHeight="false" outlineLevel="0" collapsed="false">
      <c r="A190" s="0" t="s">
        <v>681</v>
      </c>
      <c r="B190" s="0" t="n">
        <v>1912</v>
      </c>
      <c r="C190" s="0" t="s">
        <v>682</v>
      </c>
      <c r="I190" s="0" t="s">
        <v>48</v>
      </c>
      <c r="J190" s="0" t="s">
        <v>683</v>
      </c>
      <c r="AA190" s="0" t="n">
        <f aca="false">LEN(C190)+LEN(D190)+LEN(E190)+LEN(F190)+LEN(G190)+LEN(H190)+LEN(I190)+LEN(K190)+LEN(L190)+LEN(M190)+LEN(N190)</f>
        <v>27</v>
      </c>
    </row>
    <row r="191" customFormat="false" ht="15" hidden="false" customHeight="false" outlineLevel="0" collapsed="false">
      <c r="A191" s="0" t="s">
        <v>684</v>
      </c>
      <c r="B191" s="0" t="n">
        <v>1912</v>
      </c>
      <c r="C191" s="0" t="s">
        <v>685</v>
      </c>
      <c r="D191" s="0" t="n">
        <v>754257.9</v>
      </c>
      <c r="I191" s="0" t="s">
        <v>686</v>
      </c>
      <c r="J191" s="0" t="s">
        <v>687</v>
      </c>
      <c r="AA191" s="0" t="n">
        <f aca="false">LEN(C191)+LEN(D191)+LEN(E191)+LEN(F191)+LEN(G191)+LEN(H191)+LEN(I191)+LEN(K191)+LEN(L191)+LEN(M191)+LEN(N191)</f>
        <v>63</v>
      </c>
    </row>
    <row r="192" customFormat="false" ht="15" hidden="false" customHeight="false" outlineLevel="0" collapsed="false">
      <c r="A192" s="0" t="s">
        <v>688</v>
      </c>
      <c r="B192" s="0" t="n">
        <v>1912</v>
      </c>
      <c r="C192" s="0" t="s">
        <v>689</v>
      </c>
      <c r="I192" s="0" t="s">
        <v>686</v>
      </c>
      <c r="J192" s="0" t="s">
        <v>690</v>
      </c>
      <c r="O192" s="0" t="s">
        <v>29</v>
      </c>
      <c r="AA192" s="0" t="n">
        <f aca="false">LEN(C192)+LEN(D192)+LEN(E192)+LEN(F192)+LEN(G192)+LEN(H192)+LEN(I192)+LEN(K192)+LEN(L192)+LEN(M192)+LEN(N192)</f>
        <v>18</v>
      </c>
    </row>
    <row r="193" customFormat="false" ht="15" hidden="false" customHeight="false" outlineLevel="0" collapsed="false">
      <c r="A193" s="0" t="s">
        <v>691</v>
      </c>
      <c r="B193" s="0" t="n">
        <v>1912</v>
      </c>
      <c r="C193" s="0" t="s">
        <v>692</v>
      </c>
      <c r="I193" s="0" t="s">
        <v>693</v>
      </c>
      <c r="J193" s="0" t="s">
        <v>694</v>
      </c>
      <c r="AA193" s="0" t="n">
        <f aca="false">LEN(C193)+LEN(D193)+LEN(E193)+LEN(F193)+LEN(G193)+LEN(H193)+LEN(I193)+LEN(K193)+LEN(L193)+LEN(M193)+LEN(N193)</f>
        <v>26</v>
      </c>
    </row>
    <row r="194" customFormat="false" ht="15" hidden="false" customHeight="false" outlineLevel="0" collapsed="false">
      <c r="A194" s="0" t="s">
        <v>695</v>
      </c>
      <c r="B194" s="0" t="n">
        <v>1912</v>
      </c>
      <c r="C194" s="0" t="s">
        <v>696</v>
      </c>
      <c r="I194" s="0" t="s">
        <v>697</v>
      </c>
      <c r="J194" s="0" t="s">
        <v>698</v>
      </c>
      <c r="AA194" s="0" t="n">
        <f aca="false">LEN(C194)+LEN(D194)+LEN(E194)+LEN(F194)+LEN(G194)+LEN(H194)+LEN(I194)+LEN(K194)+LEN(L194)+LEN(M194)+LEN(N194)</f>
        <v>43</v>
      </c>
    </row>
    <row r="195" customFormat="false" ht="15" hidden="false" customHeight="false" outlineLevel="0" collapsed="false">
      <c r="A195" s="0" t="s">
        <v>699</v>
      </c>
      <c r="B195" s="0" t="n">
        <v>1912</v>
      </c>
      <c r="C195" s="0" t="s">
        <v>700</v>
      </c>
      <c r="I195" s="0" t="s">
        <v>137</v>
      </c>
      <c r="J195" s="0" t="s">
        <v>701</v>
      </c>
      <c r="O195" s="0" t="s">
        <v>29</v>
      </c>
      <c r="AA195" s="0" t="n">
        <f aca="false">LEN(C195)+LEN(D195)+LEN(E195)+LEN(F195)+LEN(G195)+LEN(H195)+LEN(I195)+LEN(K195)+LEN(L195)+LEN(M195)+LEN(N195)</f>
        <v>49</v>
      </c>
    </row>
    <row r="196" customFormat="false" ht="15" hidden="false" customHeight="false" outlineLevel="0" collapsed="false">
      <c r="A196" s="0" t="s">
        <v>702</v>
      </c>
      <c r="B196" s="0" t="n">
        <v>1912</v>
      </c>
      <c r="C196" s="0" t="s">
        <v>703</v>
      </c>
      <c r="I196" s="0" t="s">
        <v>177</v>
      </c>
      <c r="J196" s="4" t="n">
        <v>82812</v>
      </c>
      <c r="O196" s="0" t="s">
        <v>29</v>
      </c>
      <c r="AA196" s="0" t="n">
        <f aca="false">LEN(C196)+LEN(D196)+LEN(E196)+LEN(F196)+LEN(G196)+LEN(H196)+LEN(I196)+LEN(K196)+LEN(L196)+LEN(M196)+LEN(N196)</f>
        <v>61</v>
      </c>
    </row>
    <row r="197" customFormat="false" ht="15" hidden="false" customHeight="false" outlineLevel="0" collapsed="false">
      <c r="A197" s="0" t="s">
        <v>704</v>
      </c>
      <c r="B197" s="0" t="n">
        <v>1912</v>
      </c>
      <c r="C197" s="0" t="s">
        <v>705</v>
      </c>
      <c r="I197" s="0" t="s">
        <v>706</v>
      </c>
      <c r="J197" s="0" t="s">
        <v>707</v>
      </c>
      <c r="O197" s="0" t="s">
        <v>29</v>
      </c>
      <c r="AA197" s="0" t="n">
        <f aca="false">LEN(C197)+LEN(D197)+LEN(E197)+LEN(F197)+LEN(G197)+LEN(H197)+LEN(I197)+LEN(K197)+LEN(L197)+LEN(M197)+LEN(N197)</f>
        <v>39</v>
      </c>
    </row>
    <row r="198" customFormat="false" ht="15" hidden="false" customHeight="false" outlineLevel="0" collapsed="false">
      <c r="A198" s="0" t="s">
        <v>708</v>
      </c>
      <c r="B198" s="0" t="n">
        <v>1912</v>
      </c>
      <c r="C198" s="0" t="s">
        <v>709</v>
      </c>
      <c r="I198" s="0" t="s">
        <v>177</v>
      </c>
      <c r="J198" s="0" t="s">
        <v>710</v>
      </c>
      <c r="AA198" s="0" t="n">
        <f aca="false">LEN(C198)+LEN(D198)+LEN(E198)+LEN(F198)+LEN(G198)+LEN(H198)+LEN(I198)+LEN(K198)+LEN(L198)+LEN(M198)+LEN(N198)</f>
        <v>44</v>
      </c>
    </row>
    <row r="199" customFormat="false" ht="15" hidden="false" customHeight="false" outlineLevel="0" collapsed="false">
      <c r="A199" s="0" t="s">
        <v>711</v>
      </c>
      <c r="B199" s="0" t="n">
        <v>1912</v>
      </c>
      <c r="C199" s="0" t="s">
        <v>712</v>
      </c>
      <c r="E199" s="0" t="s">
        <v>713</v>
      </c>
      <c r="I199" s="0" t="s">
        <v>137</v>
      </c>
      <c r="J199" s="0" t="s">
        <v>714</v>
      </c>
      <c r="O199" s="0" t="s">
        <v>29</v>
      </c>
      <c r="V199" s="0" t="s">
        <v>29</v>
      </c>
      <c r="W199" s="0" t="s">
        <v>29</v>
      </c>
      <c r="X199" s="0" t="s">
        <v>29</v>
      </c>
      <c r="Y199" s="0" t="s">
        <v>29</v>
      </c>
      <c r="AA199" s="0" t="n">
        <f aca="false">LEN(C199)+LEN(D199)+LEN(E199)+LEN(F199)+LEN(G199)+LEN(H199)+LEN(I199)+LEN(K199)+LEN(L199)+LEN(M199)+LEN(N199)</f>
        <v>58</v>
      </c>
    </row>
    <row r="200" customFormat="false" ht="15" hidden="false" customHeight="false" outlineLevel="0" collapsed="false">
      <c r="A200" s="0" t="s">
        <v>715</v>
      </c>
      <c r="B200" s="0" t="n">
        <v>1912</v>
      </c>
      <c r="C200" s="0" t="s">
        <v>716</v>
      </c>
      <c r="I200" s="0" t="s">
        <v>145</v>
      </c>
      <c r="J200" s="0" t="s">
        <v>717</v>
      </c>
      <c r="U200" s="0" t="s">
        <v>29</v>
      </c>
      <c r="V200" s="0" t="s">
        <v>29</v>
      </c>
      <c r="W200" s="0" t="s">
        <v>29</v>
      </c>
      <c r="X200" s="0" t="s">
        <v>29</v>
      </c>
      <c r="Y200" s="0" t="s">
        <v>29</v>
      </c>
      <c r="AA200" s="0" t="n">
        <f aca="false">LEN(C200)+LEN(D200)+LEN(E200)+LEN(F200)+LEN(G200)+LEN(H200)+LEN(I200)+LEN(K200)+LEN(L200)+LEN(M200)+LEN(N200)</f>
        <v>27</v>
      </c>
    </row>
    <row r="201" customFormat="false" ht="15" hidden="false" customHeight="false" outlineLevel="0" collapsed="false">
      <c r="A201" s="0" t="s">
        <v>718</v>
      </c>
      <c r="B201" s="0" t="n">
        <v>1912</v>
      </c>
      <c r="C201" s="0" t="s">
        <v>719</v>
      </c>
      <c r="J201" s="0" t="s">
        <v>720</v>
      </c>
      <c r="AA201" s="0" t="n">
        <f aca="false">LEN(C201)+LEN(D201)+LEN(E201)+LEN(F201)+LEN(G201)+LEN(H201)+LEN(I201)+LEN(K201)+LEN(L201)+LEN(M201)+LEN(N201)</f>
        <v>17</v>
      </c>
    </row>
    <row r="202" customFormat="false" ht="15" hidden="false" customHeight="false" outlineLevel="0" collapsed="false">
      <c r="A202" s="0" t="s">
        <v>721</v>
      </c>
      <c r="B202" s="0" t="n">
        <v>1912</v>
      </c>
      <c r="C202" s="0" t="s">
        <v>722</v>
      </c>
      <c r="I202" s="0" t="s">
        <v>458</v>
      </c>
      <c r="J202" s="0" t="s">
        <v>723</v>
      </c>
      <c r="O202" s="0" t="s">
        <v>29</v>
      </c>
      <c r="AA202" s="0" t="n">
        <f aca="false">LEN(C202)+LEN(D202)+LEN(E202)+LEN(F202)+LEN(G202)+LEN(H202)+LEN(I202)+LEN(K202)+LEN(L202)+LEN(M202)+LEN(N202)</f>
        <v>14</v>
      </c>
    </row>
    <row r="203" customFormat="false" ht="15" hidden="false" customHeight="false" outlineLevel="0" collapsed="false">
      <c r="A203" s="0" t="s">
        <v>724</v>
      </c>
      <c r="B203" s="0" t="n">
        <v>1912</v>
      </c>
      <c r="C203" s="0" t="s">
        <v>725</v>
      </c>
      <c r="I203" s="0" t="s">
        <v>726</v>
      </c>
      <c r="J203" s="0" t="s">
        <v>727</v>
      </c>
      <c r="AA203" s="0" t="n">
        <f aca="false">LEN(C203)+LEN(D203)+LEN(E203)+LEN(F203)+LEN(G203)+LEN(H203)+LEN(I203)+LEN(K203)+LEN(L203)+LEN(M203)+LEN(N203)</f>
        <v>37</v>
      </c>
    </row>
    <row r="204" customFormat="false" ht="15" hidden="false" customHeight="false" outlineLevel="0" collapsed="false">
      <c r="A204" s="0" t="s">
        <v>728</v>
      </c>
      <c r="B204" s="0" t="n">
        <v>1912</v>
      </c>
      <c r="C204" s="0" t="s">
        <v>729</v>
      </c>
      <c r="D204" s="0" t="n">
        <v>101552.3</v>
      </c>
      <c r="E204" s="0" t="s">
        <v>152</v>
      </c>
      <c r="F204" s="0" t="s">
        <v>152</v>
      </c>
      <c r="G204" s="0" t="s">
        <v>152</v>
      </c>
      <c r="H204" s="0" t="s">
        <v>152</v>
      </c>
      <c r="I204" s="0" t="s">
        <v>137</v>
      </c>
      <c r="J204" s="0" t="s">
        <v>730</v>
      </c>
      <c r="K204" s="0" t="s">
        <v>152</v>
      </c>
      <c r="L204" s="0" t="s">
        <v>152</v>
      </c>
      <c r="M204" s="0" t="s">
        <v>152</v>
      </c>
      <c r="N204" s="0" t="s">
        <v>152</v>
      </c>
      <c r="O204" s="0" t="s">
        <v>69</v>
      </c>
      <c r="U204" s="0" t="s">
        <v>29</v>
      </c>
      <c r="Z204" s="0" t="n">
        <v>1</v>
      </c>
      <c r="AA204" s="0" t="n">
        <f aca="false">LEN(C204)</f>
        <v>24</v>
      </c>
    </row>
    <row r="205" customFormat="false" ht="15" hidden="false" customHeight="false" outlineLevel="0" collapsed="false">
      <c r="A205" s="0" t="s">
        <v>731</v>
      </c>
      <c r="B205" s="0" t="n">
        <v>1912</v>
      </c>
      <c r="C205" s="0" t="s">
        <v>732</v>
      </c>
      <c r="I205" s="0" t="s">
        <v>733</v>
      </c>
      <c r="J205" s="0" t="s">
        <v>734</v>
      </c>
      <c r="O205" s="0" t="s">
        <v>29</v>
      </c>
      <c r="U205" s="0" t="s">
        <v>29</v>
      </c>
      <c r="AA205" s="0" t="n">
        <f aca="false">LEN(C205)+LEN(D205)+LEN(E205)+LEN(F205)+LEN(G205)+LEN(H205)+LEN(I205)+LEN(K205)+LEN(L205)+LEN(M205)+LEN(N205)</f>
        <v>30</v>
      </c>
    </row>
    <row r="206" s="3" customFormat="true" ht="15" hidden="false" customHeight="false" outlineLevel="0" collapsed="false">
      <c r="A206" s="3" t="s">
        <v>735</v>
      </c>
      <c r="B206" s="3" t="n">
        <v>1912</v>
      </c>
      <c r="C206" s="3" t="s">
        <v>736</v>
      </c>
      <c r="D206" s="3" t="n">
        <v>729927</v>
      </c>
      <c r="I206" s="3" t="s">
        <v>177</v>
      </c>
      <c r="J206" s="3" t="s">
        <v>737</v>
      </c>
      <c r="AA206" s="3" t="n">
        <f aca="false">LEN(C206)+LEN(D206)+LEN(E206)+LEN(F206)+LEN(G206)+LEN(H206)+LEN(I206)+LEN(K206)+LEN(L206)+LEN(M206)+LEN(N206)</f>
        <v>32</v>
      </c>
    </row>
    <row r="207" customFormat="false" ht="15" hidden="false" customHeight="false" outlineLevel="0" collapsed="false">
      <c r="A207" s="0" t="s">
        <v>738</v>
      </c>
      <c r="B207" s="0" t="n">
        <v>1912</v>
      </c>
      <c r="C207" s="0" t="s">
        <v>739</v>
      </c>
      <c r="D207" s="0" t="s">
        <v>152</v>
      </c>
      <c r="E207" s="0" t="s">
        <v>152</v>
      </c>
      <c r="F207" s="0" t="s">
        <v>152</v>
      </c>
      <c r="G207" s="0" t="s">
        <v>152</v>
      </c>
      <c r="H207" s="0" t="s">
        <v>152</v>
      </c>
      <c r="I207" s="0" t="s">
        <v>177</v>
      </c>
      <c r="J207" s="0" t="s">
        <v>740</v>
      </c>
      <c r="K207" s="0" t="s">
        <v>152</v>
      </c>
      <c r="L207" s="0" t="s">
        <v>152</v>
      </c>
      <c r="M207" s="0" t="s">
        <v>152</v>
      </c>
      <c r="N207" s="0" t="s">
        <v>152</v>
      </c>
      <c r="O207" s="0" t="s">
        <v>69</v>
      </c>
      <c r="Z207" s="0" t="n">
        <v>1</v>
      </c>
      <c r="AA207" s="0" t="n">
        <f aca="false">LEN(C207)</f>
        <v>29</v>
      </c>
    </row>
    <row r="208" customFormat="false" ht="15" hidden="false" customHeight="false" outlineLevel="0" collapsed="false">
      <c r="A208" s="0" t="s">
        <v>741</v>
      </c>
      <c r="B208" s="0" t="n">
        <v>1912</v>
      </c>
      <c r="C208" s="0" t="s">
        <v>742</v>
      </c>
      <c r="I208" s="0" t="s">
        <v>117</v>
      </c>
      <c r="J208" s="0" t="s">
        <v>743</v>
      </c>
      <c r="O208" s="0" t="s">
        <v>29</v>
      </c>
      <c r="AA208" s="0" t="n">
        <f aca="false">LEN(C208)+LEN(D208)+LEN(E208)+LEN(F208)+LEN(G208)+LEN(H208)+LEN(I208)+LEN(K208)+LEN(L208)+LEN(M208)+LEN(N208)</f>
        <v>43</v>
      </c>
    </row>
    <row r="209" customFormat="false" ht="15" hidden="false" customHeight="false" outlineLevel="0" collapsed="false">
      <c r="A209" s="0" t="s">
        <v>744</v>
      </c>
      <c r="B209" s="0" t="n">
        <v>1912</v>
      </c>
      <c r="C209" s="0" t="s">
        <v>745</v>
      </c>
      <c r="F209" s="0" t="n">
        <v>1906</v>
      </c>
      <c r="I209" s="0" t="s">
        <v>32</v>
      </c>
      <c r="J209" s="0" t="s">
        <v>746</v>
      </c>
      <c r="O209" s="0" t="s">
        <v>29</v>
      </c>
      <c r="AA209" s="0" t="n">
        <f aca="false">LEN(C209)+LEN(D209)+LEN(E209)+LEN(F209)+LEN(G209)+LEN(H209)+LEN(I209)+LEN(K209)+LEN(L209)+LEN(M209)+LEN(N209)</f>
        <v>53</v>
      </c>
    </row>
    <row r="210" customFormat="false" ht="15" hidden="false" customHeight="false" outlineLevel="0" collapsed="false">
      <c r="A210" s="0" t="s">
        <v>747</v>
      </c>
      <c r="B210" s="0" t="n">
        <v>1912</v>
      </c>
      <c r="C210" s="0" t="s">
        <v>748</v>
      </c>
      <c r="I210" s="0" t="s">
        <v>27</v>
      </c>
      <c r="J210" s="0" t="s">
        <v>749</v>
      </c>
      <c r="AA210" s="0" t="n">
        <f aca="false">LEN(C210)+LEN(D210)+LEN(E210)+LEN(F210)+LEN(G210)+LEN(H210)+LEN(I210)+LEN(K210)+LEN(L210)+LEN(M210)+LEN(N210)</f>
        <v>42</v>
      </c>
    </row>
    <row r="211" s="3" customFormat="true" ht="15" hidden="false" customHeight="false" outlineLevel="0" collapsed="false">
      <c r="A211" s="3" t="s">
        <v>750</v>
      </c>
      <c r="B211" s="3" t="n">
        <v>1912</v>
      </c>
      <c r="C211" s="3" t="s">
        <v>751</v>
      </c>
      <c r="I211" s="3" t="s">
        <v>32</v>
      </c>
      <c r="J211" s="3" t="s">
        <v>752</v>
      </c>
      <c r="K211" s="3" t="s">
        <v>753</v>
      </c>
      <c r="L211" s="3" t="s">
        <v>754</v>
      </c>
      <c r="M211" s="3" t="s">
        <v>755</v>
      </c>
      <c r="N211" s="3" t="s">
        <v>110</v>
      </c>
      <c r="AA211" s="3" t="n">
        <f aca="false">LEN(C211)+LEN(D211)+LEN(E211)+LEN(F211)+LEN(G211)+LEN(H211)+LEN(I211)+LEN(K211)+LEN(L211)+LEN(M211)+LEN(N211)</f>
        <v>43</v>
      </c>
    </row>
    <row r="212" customFormat="false" ht="15" hidden="false" customHeight="false" outlineLevel="0" collapsed="false">
      <c r="A212" s="0" t="s">
        <v>756</v>
      </c>
      <c r="B212" s="0" t="n">
        <v>1912</v>
      </c>
      <c r="C212" s="0" t="s">
        <v>757</v>
      </c>
      <c r="I212" s="0" t="s">
        <v>44</v>
      </c>
      <c r="J212" s="0" t="s">
        <v>758</v>
      </c>
      <c r="AA212" s="0" t="n">
        <f aca="false">LEN(C212)+LEN(D212)+LEN(E212)+LEN(F212)+LEN(G212)+LEN(H212)+LEN(I212)+LEN(K212)+LEN(L212)+LEN(M212)+LEN(N212)</f>
        <v>25</v>
      </c>
    </row>
    <row r="213" s="3" customFormat="true" ht="15" hidden="false" customHeight="false" outlineLevel="0" collapsed="false">
      <c r="A213" s="3" t="s">
        <v>759</v>
      </c>
      <c r="B213" s="3" t="n">
        <v>1912</v>
      </c>
      <c r="C213" s="3" t="s">
        <v>760</v>
      </c>
      <c r="I213" s="3" t="s">
        <v>44</v>
      </c>
      <c r="J213" s="3" t="s">
        <v>761</v>
      </c>
      <c r="AA213" s="3" t="n">
        <f aca="false">LEN(C213)+LEN(D213)+LEN(E213)+LEN(F213)+LEN(G213)+LEN(H213)+LEN(I213)+LEN(K213)+LEN(L213)+LEN(M213)+LEN(N213)</f>
        <v>35</v>
      </c>
    </row>
    <row r="214" customFormat="false" ht="15" hidden="false" customHeight="false" outlineLevel="0" collapsed="false">
      <c r="A214" s="0" t="s">
        <v>762</v>
      </c>
      <c r="B214" s="0" t="n">
        <v>1912</v>
      </c>
      <c r="C214" s="0" t="s">
        <v>763</v>
      </c>
      <c r="I214" s="0" t="s">
        <v>371</v>
      </c>
      <c r="J214" s="0" t="s">
        <v>764</v>
      </c>
      <c r="O214" s="0" t="s">
        <v>29</v>
      </c>
      <c r="AA214" s="0" t="n">
        <f aca="false">LEN(C214)+LEN(D214)+LEN(E214)+LEN(F214)+LEN(G214)+LEN(H214)+LEN(I214)+LEN(K214)+LEN(L214)+LEN(M214)+LEN(N214)</f>
        <v>61</v>
      </c>
    </row>
    <row r="215" customFormat="false" ht="15" hidden="false" customHeight="false" outlineLevel="0" collapsed="false">
      <c r="A215" s="0" t="s">
        <v>765</v>
      </c>
      <c r="B215" s="0" t="n">
        <v>1912</v>
      </c>
      <c r="C215" s="0" t="s">
        <v>766</v>
      </c>
      <c r="I215" s="0" t="s">
        <v>113</v>
      </c>
      <c r="J215" s="0" t="s">
        <v>767</v>
      </c>
      <c r="AA215" s="0" t="n">
        <f aca="false">LEN(C215)+LEN(D215)+LEN(E215)+LEN(F215)+LEN(G215)+LEN(H215)+LEN(I215)+LEN(K215)+LEN(L215)+LEN(M215)+LEN(N215)</f>
        <v>39</v>
      </c>
    </row>
    <row r="216" customFormat="false" ht="15" hidden="false" customHeight="false" outlineLevel="0" collapsed="false">
      <c r="A216" s="0" t="s">
        <v>768</v>
      </c>
      <c r="B216" s="0" t="n">
        <v>1912</v>
      </c>
      <c r="C216" s="0" t="s">
        <v>769</v>
      </c>
      <c r="I216" s="0" t="s">
        <v>32</v>
      </c>
      <c r="J216" s="0" t="s">
        <v>770</v>
      </c>
      <c r="AA216" s="0" t="n">
        <f aca="false">LEN(C216)+LEN(D216)+LEN(E216)+LEN(F216)+LEN(G216)+LEN(H216)+LEN(I216)+LEN(K216)+LEN(L216)+LEN(M216)+LEN(N216)</f>
        <v>44</v>
      </c>
    </row>
    <row r="217" customFormat="false" ht="15" hidden="false" customHeight="false" outlineLevel="0" collapsed="false">
      <c r="A217" s="0" t="s">
        <v>771</v>
      </c>
      <c r="B217" s="0" t="n">
        <v>1912</v>
      </c>
      <c r="C217" s="0" t="s">
        <v>772</v>
      </c>
      <c r="I217" s="0" t="s">
        <v>733</v>
      </c>
      <c r="J217" s="0" t="s">
        <v>773</v>
      </c>
      <c r="O217" s="0" t="s">
        <v>29</v>
      </c>
      <c r="U217" s="0" t="s">
        <v>29</v>
      </c>
      <c r="AA217" s="0" t="n">
        <f aca="false">LEN(C217)+LEN(D217)+LEN(E217)+LEN(F217)+LEN(G217)+LEN(H217)+LEN(I217)+LEN(K217)+LEN(L217)+LEN(M217)+LEN(N217)</f>
        <v>35</v>
      </c>
    </row>
    <row r="218" customFormat="false" ht="15" hidden="false" customHeight="false" outlineLevel="0" collapsed="false">
      <c r="A218" s="0" t="s">
        <v>774</v>
      </c>
      <c r="B218" s="0" t="n">
        <v>1912</v>
      </c>
      <c r="C218" s="0" t="s">
        <v>775</v>
      </c>
      <c r="I218" s="0" t="s">
        <v>32</v>
      </c>
      <c r="J218" s="0" t="s">
        <v>776</v>
      </c>
      <c r="O218" s="0" t="s">
        <v>29</v>
      </c>
      <c r="AA218" s="0" t="n">
        <f aca="false">LEN(C218)+LEN(D218)+LEN(E218)+LEN(F218)+LEN(G218)+LEN(H218)+LEN(I218)+LEN(K218)+LEN(L218)+LEN(M218)+LEN(N218)</f>
        <v>43</v>
      </c>
    </row>
    <row r="219" s="3" customFormat="true" ht="15" hidden="false" customHeight="false" outlineLevel="0" collapsed="false">
      <c r="A219" s="3" t="s">
        <v>777</v>
      </c>
      <c r="B219" s="3" t="n">
        <v>1912</v>
      </c>
      <c r="C219" s="3" t="s">
        <v>778</v>
      </c>
      <c r="I219" s="3" t="s">
        <v>378</v>
      </c>
      <c r="J219" s="3" t="s">
        <v>779</v>
      </c>
      <c r="AA219" s="3" t="n">
        <f aca="false">LEN(C219)+LEN(D219)+LEN(E219)+LEN(F219)+LEN(G219)+LEN(H219)+LEN(I219)+LEN(K219)+LEN(L219)+LEN(M219)+LEN(N219)</f>
        <v>30</v>
      </c>
    </row>
    <row r="220" customFormat="false" ht="15" hidden="false" customHeight="false" outlineLevel="0" collapsed="false">
      <c r="A220" s="0" t="s">
        <v>780</v>
      </c>
      <c r="B220" s="0" t="n">
        <v>1912</v>
      </c>
      <c r="C220" s="0" t="s">
        <v>781</v>
      </c>
      <c r="I220" s="0" t="s">
        <v>782</v>
      </c>
      <c r="J220" s="0" t="s">
        <v>783</v>
      </c>
      <c r="AA220" s="0" t="n">
        <f aca="false">LEN(C220)+LEN(D220)+LEN(E220)+LEN(F220)+LEN(G220)+LEN(H220)+LEN(I220)+LEN(K220)+LEN(L220)+LEN(M220)+LEN(N220)</f>
        <v>47</v>
      </c>
    </row>
    <row r="221" customFormat="false" ht="15" hidden="false" customHeight="false" outlineLevel="0" collapsed="false">
      <c r="A221" s="0" t="s">
        <v>784</v>
      </c>
      <c r="B221" s="0" t="n">
        <v>1912</v>
      </c>
      <c r="C221" s="0" t="s">
        <v>785</v>
      </c>
      <c r="I221" s="0" t="s">
        <v>191</v>
      </c>
      <c r="J221" s="0" t="s">
        <v>786</v>
      </c>
      <c r="K221" s="0" t="s">
        <v>787</v>
      </c>
      <c r="L221" s="0" t="s">
        <v>788</v>
      </c>
      <c r="M221" s="0" t="s">
        <v>789</v>
      </c>
      <c r="N221" s="0" t="s">
        <v>214</v>
      </c>
      <c r="O221" s="0" t="s">
        <v>29</v>
      </c>
      <c r="V221" s="0" t="s">
        <v>29</v>
      </c>
      <c r="W221" s="0" t="s">
        <v>29</v>
      </c>
      <c r="X221" s="0" t="s">
        <v>29</v>
      </c>
      <c r="AA221" s="0" t="n">
        <f aca="false">LEN(C221)+LEN(D221)+LEN(E221)+LEN(F221)+LEN(G221)+LEN(H221)+LEN(I221)+LEN(K221)+LEN(L221)+LEN(M221)+LEN(N221)</f>
        <v>68</v>
      </c>
    </row>
    <row r="222" customFormat="false" ht="15" hidden="false" customHeight="false" outlineLevel="0" collapsed="false">
      <c r="A222" s="0" t="s">
        <v>784</v>
      </c>
      <c r="B222" s="0" t="n">
        <v>1912</v>
      </c>
      <c r="C222" s="0" t="s">
        <v>785</v>
      </c>
      <c r="I222" s="0" t="s">
        <v>191</v>
      </c>
      <c r="J222" s="0" t="s">
        <v>786</v>
      </c>
      <c r="K222" s="0" t="s">
        <v>790</v>
      </c>
      <c r="L222" s="0" t="s">
        <v>526</v>
      </c>
      <c r="N222" s="0" t="s">
        <v>110</v>
      </c>
      <c r="O222" s="0" t="s">
        <v>29</v>
      </c>
      <c r="V222" s="0" t="s">
        <v>29</v>
      </c>
      <c r="X222" s="0" t="s">
        <v>29</v>
      </c>
      <c r="AA222" s="0" t="n">
        <f aca="false">LEN(C222)+LEN(D222)+LEN(E222)+LEN(F222)+LEN(G222)+LEN(H222)+LEN(I222)+LEN(K222)+LEN(L222)+LEN(M222)+LEN(N222)</f>
        <v>56</v>
      </c>
    </row>
    <row r="223" customFormat="false" ht="15" hidden="false" customHeight="false" outlineLevel="0" collapsed="false">
      <c r="A223" s="0" t="s">
        <v>784</v>
      </c>
      <c r="B223" s="0" t="n">
        <v>1912</v>
      </c>
      <c r="C223" s="0" t="s">
        <v>785</v>
      </c>
      <c r="I223" s="0" t="s">
        <v>191</v>
      </c>
      <c r="J223" s="0" t="s">
        <v>786</v>
      </c>
      <c r="K223" s="0" t="s">
        <v>791</v>
      </c>
      <c r="L223" s="0" t="s">
        <v>792</v>
      </c>
      <c r="N223" s="0" t="s">
        <v>110</v>
      </c>
      <c r="O223" s="0" t="s">
        <v>29</v>
      </c>
      <c r="X223" s="0" t="s">
        <v>29</v>
      </c>
      <c r="AA223" s="0" t="n">
        <f aca="false">LEN(C223)+LEN(D223)+LEN(E223)+LEN(F223)+LEN(G223)+LEN(H223)+LEN(I223)+LEN(K223)+LEN(L223)+LEN(M223)+LEN(N223)</f>
        <v>59</v>
      </c>
    </row>
    <row r="224" customFormat="false" ht="15" hidden="false" customHeight="false" outlineLevel="0" collapsed="false">
      <c r="A224" s="0" t="s">
        <v>793</v>
      </c>
      <c r="B224" s="0" t="n">
        <v>1913</v>
      </c>
      <c r="C224" s="0" t="s">
        <v>794</v>
      </c>
      <c r="D224" s="0" t="s">
        <v>152</v>
      </c>
      <c r="E224" s="0" t="s">
        <v>152</v>
      </c>
      <c r="F224" s="0" t="s">
        <v>152</v>
      </c>
      <c r="G224" s="0" t="s">
        <v>152</v>
      </c>
      <c r="H224" s="0" t="s">
        <v>152</v>
      </c>
      <c r="I224" s="0" t="s">
        <v>191</v>
      </c>
      <c r="J224" s="0" t="s">
        <v>795</v>
      </c>
      <c r="K224" s="0" t="s">
        <v>796</v>
      </c>
      <c r="L224" s="0" t="s">
        <v>797</v>
      </c>
      <c r="M224" s="0" t="s">
        <v>152</v>
      </c>
      <c r="N224" s="0" t="s">
        <v>110</v>
      </c>
      <c r="O224" s="0" t="s">
        <v>69</v>
      </c>
      <c r="V224" s="0" t="s">
        <v>29</v>
      </c>
      <c r="W224" s="0" t="s">
        <v>29</v>
      </c>
      <c r="X224" s="0" t="s">
        <v>29</v>
      </c>
      <c r="Z224" s="0" t="n">
        <v>3</v>
      </c>
      <c r="AA224" s="0" t="n">
        <f aca="false">LEN(C224)</f>
        <v>31</v>
      </c>
    </row>
    <row r="225" customFormat="false" ht="15" hidden="false" customHeight="false" outlineLevel="0" collapsed="false">
      <c r="A225" s="0" t="s">
        <v>798</v>
      </c>
      <c r="B225" s="0" t="n">
        <v>1913</v>
      </c>
      <c r="C225" s="0" t="s">
        <v>799</v>
      </c>
      <c r="D225" s="0" t="s">
        <v>152</v>
      </c>
      <c r="E225" s="0" t="s">
        <v>152</v>
      </c>
      <c r="F225" s="0" t="s">
        <v>152</v>
      </c>
      <c r="G225" s="0" t="s">
        <v>152</v>
      </c>
      <c r="H225" s="0" t="s">
        <v>152</v>
      </c>
      <c r="I225" s="0" t="s">
        <v>177</v>
      </c>
      <c r="J225" s="0" t="s">
        <v>800</v>
      </c>
      <c r="K225" s="0" t="s">
        <v>152</v>
      </c>
      <c r="L225" s="0" t="s">
        <v>152</v>
      </c>
      <c r="M225" s="0" t="s">
        <v>152</v>
      </c>
      <c r="N225" s="0" t="s">
        <v>152</v>
      </c>
      <c r="O225" s="0" t="s">
        <v>69</v>
      </c>
      <c r="Z225" s="0" t="n">
        <v>1</v>
      </c>
      <c r="AA225" s="0" t="n">
        <f aca="false">LEN(C225)</f>
        <v>24</v>
      </c>
    </row>
    <row r="226" customFormat="false" ht="15" hidden="false" customHeight="false" outlineLevel="0" collapsed="false">
      <c r="A226" s="0" t="s">
        <v>801</v>
      </c>
      <c r="B226" s="0" t="n">
        <v>1913</v>
      </c>
      <c r="C226" s="0" t="s">
        <v>802</v>
      </c>
      <c r="D226" s="0" t="s">
        <v>152</v>
      </c>
      <c r="E226" s="0" t="s">
        <v>152</v>
      </c>
      <c r="F226" s="0" t="s">
        <v>152</v>
      </c>
      <c r="G226" s="0" t="s">
        <v>152</v>
      </c>
      <c r="H226" s="0" t="s">
        <v>152</v>
      </c>
      <c r="I226" s="0" t="s">
        <v>177</v>
      </c>
      <c r="J226" s="3" t="s">
        <v>803</v>
      </c>
      <c r="K226" s="0" t="s">
        <v>152</v>
      </c>
      <c r="L226" s="0" t="s">
        <v>152</v>
      </c>
      <c r="M226" s="0" t="s">
        <v>152</v>
      </c>
      <c r="N226" s="0" t="s">
        <v>152</v>
      </c>
      <c r="O226" s="0" t="s">
        <v>69</v>
      </c>
      <c r="Z226" s="0" t="n">
        <v>2</v>
      </c>
      <c r="AA226" s="0" t="n">
        <f aca="false">LEN(C226)</f>
        <v>28</v>
      </c>
    </row>
    <row r="227" customFormat="false" ht="15" hidden="false" customHeight="false" outlineLevel="0" collapsed="false">
      <c r="A227" s="0" t="s">
        <v>804</v>
      </c>
      <c r="B227" s="0" t="n">
        <v>1913</v>
      </c>
      <c r="C227" s="0" t="s">
        <v>805</v>
      </c>
      <c r="D227" s="0" t="s">
        <v>152</v>
      </c>
      <c r="E227" s="0" t="s">
        <v>152</v>
      </c>
      <c r="F227" s="0" t="s">
        <v>152</v>
      </c>
      <c r="G227" s="0" t="s">
        <v>152</v>
      </c>
      <c r="H227" s="0" t="s">
        <v>152</v>
      </c>
      <c r="I227" s="0" t="s">
        <v>806</v>
      </c>
      <c r="J227" s="0" t="s">
        <v>807</v>
      </c>
      <c r="K227" s="0" t="s">
        <v>152</v>
      </c>
      <c r="L227" s="0" t="s">
        <v>152</v>
      </c>
      <c r="M227" s="0" t="s">
        <v>152</v>
      </c>
      <c r="N227" s="0" t="s">
        <v>152</v>
      </c>
      <c r="O227" s="0" t="s">
        <v>69</v>
      </c>
      <c r="U227" s="0" t="s">
        <v>69</v>
      </c>
      <c r="Z227" s="0" t="n">
        <v>2</v>
      </c>
      <c r="AA227" s="0" t="n">
        <f aca="false">LEN(C227)</f>
        <v>27</v>
      </c>
    </row>
    <row r="228" customFormat="false" ht="15" hidden="false" customHeight="false" outlineLevel="0" collapsed="false">
      <c r="A228" s="0" t="s">
        <v>808</v>
      </c>
      <c r="B228" s="0" t="n">
        <v>1913</v>
      </c>
      <c r="C228" s="0" t="s">
        <v>809</v>
      </c>
      <c r="I228" s="0" t="s">
        <v>177</v>
      </c>
      <c r="J228" s="0" t="s">
        <v>810</v>
      </c>
      <c r="O228" s="0" t="s">
        <v>29</v>
      </c>
      <c r="AA228" s="0" t="n">
        <f aca="false">LEN(C228)+LEN(D228)+LEN(E228)+LEN(F228)+LEN(G228)+LEN(H228)+LEN(I228)+LEN(K228)+LEN(L228)+LEN(M228)+LEN(N228)</f>
        <v>35</v>
      </c>
    </row>
    <row r="229" customFormat="false" ht="15" hidden="false" customHeight="false" outlineLevel="0" collapsed="false">
      <c r="A229" s="0" t="s">
        <v>811</v>
      </c>
      <c r="B229" s="0" t="n">
        <v>1913</v>
      </c>
      <c r="C229" s="0" t="s">
        <v>812</v>
      </c>
      <c r="J229" s="0" t="s">
        <v>813</v>
      </c>
      <c r="U229" s="0" t="s">
        <v>29</v>
      </c>
      <c r="AA229" s="0" t="n">
        <f aca="false">LEN(C229)+LEN(D229)+LEN(E229)+LEN(F229)+LEN(G229)+LEN(H229)+LEN(I229)+LEN(K229)+LEN(L229)+LEN(M229)+LEN(N229)</f>
        <v>23</v>
      </c>
    </row>
    <row r="230" customFormat="false" ht="15" hidden="false" customHeight="false" outlineLevel="0" collapsed="false">
      <c r="A230" s="0" t="s">
        <v>814</v>
      </c>
      <c r="B230" s="0" t="n">
        <v>1913</v>
      </c>
      <c r="C230" s="0" t="s">
        <v>815</v>
      </c>
      <c r="I230" s="0" t="s">
        <v>137</v>
      </c>
      <c r="J230" s="0" t="s">
        <v>816</v>
      </c>
      <c r="O230" s="0" t="s">
        <v>29</v>
      </c>
      <c r="AA230" s="0" t="n">
        <f aca="false">LEN(C230)+LEN(D230)+LEN(E230)+LEN(F230)+LEN(G230)+LEN(H230)+LEN(I230)+LEN(K230)+LEN(L230)+LEN(M230)+LEN(N230)</f>
        <v>51</v>
      </c>
    </row>
    <row r="231" customFormat="false" ht="15" hidden="false" customHeight="false" outlineLevel="0" collapsed="false">
      <c r="A231" s="0" t="s">
        <v>817</v>
      </c>
      <c r="B231" s="0" t="n">
        <v>1913</v>
      </c>
      <c r="C231" s="0" t="s">
        <v>818</v>
      </c>
      <c r="I231" s="0" t="s">
        <v>819</v>
      </c>
      <c r="J231" s="0" t="s">
        <v>820</v>
      </c>
      <c r="O231" s="0" t="s">
        <v>29</v>
      </c>
      <c r="AA231" s="0" t="n">
        <f aca="false">LEN(C231)+LEN(D231)+LEN(E231)+LEN(F231)+LEN(G231)+LEN(H231)+LEN(I231)+LEN(K231)+LEN(L231)+LEN(M231)+LEN(N231)</f>
        <v>38</v>
      </c>
    </row>
    <row r="232" customFormat="false" ht="15" hidden="false" customHeight="false" outlineLevel="0" collapsed="false">
      <c r="A232" s="0" t="s">
        <v>821</v>
      </c>
      <c r="B232" s="0" t="n">
        <v>1913</v>
      </c>
      <c r="C232" s="0" t="s">
        <v>822</v>
      </c>
      <c r="I232" s="0" t="s">
        <v>32</v>
      </c>
      <c r="J232" s="0" t="s">
        <v>823</v>
      </c>
      <c r="AA232" s="0" t="n">
        <f aca="false">LEN(C232)+LEN(D232)+LEN(E232)+LEN(F232)+LEN(G232)+LEN(H232)+LEN(I232)+LEN(K232)+LEN(L232)+LEN(M232)+LEN(N232)</f>
        <v>39</v>
      </c>
    </row>
    <row r="233" customFormat="false" ht="15" hidden="false" customHeight="false" outlineLevel="0" collapsed="false">
      <c r="A233" s="0" t="s">
        <v>824</v>
      </c>
      <c r="B233" s="0" t="n">
        <v>1913</v>
      </c>
      <c r="C233" s="0" t="s">
        <v>825</v>
      </c>
      <c r="D233" s="0" t="n">
        <v>3115871</v>
      </c>
      <c r="E233" s="0" t="s">
        <v>152</v>
      </c>
      <c r="F233" s="0" t="s">
        <v>152</v>
      </c>
      <c r="G233" s="0" t="s">
        <v>152</v>
      </c>
      <c r="H233" s="0" t="s">
        <v>152</v>
      </c>
      <c r="I233" s="0" t="s">
        <v>177</v>
      </c>
      <c r="J233" s="0" t="s">
        <v>826</v>
      </c>
      <c r="K233" s="0" t="s">
        <v>152</v>
      </c>
      <c r="L233" s="0" t="s">
        <v>152</v>
      </c>
      <c r="M233" s="0" t="s">
        <v>152</v>
      </c>
      <c r="N233" s="0" t="s">
        <v>152</v>
      </c>
      <c r="O233" s="0" t="s">
        <v>69</v>
      </c>
      <c r="Z233" s="0" t="n">
        <v>6</v>
      </c>
      <c r="AA233" s="0" t="n">
        <f aca="false">LEN(C233)</f>
        <v>38</v>
      </c>
    </row>
    <row r="234" customFormat="false" ht="15" hidden="false" customHeight="false" outlineLevel="0" collapsed="false">
      <c r="A234" s="0" t="s">
        <v>827</v>
      </c>
      <c r="B234" s="0" t="n">
        <v>1913</v>
      </c>
      <c r="C234" s="0" t="s">
        <v>828</v>
      </c>
      <c r="D234" s="0" t="n">
        <v>4186952</v>
      </c>
      <c r="I234" s="0" t="s">
        <v>88</v>
      </c>
      <c r="J234" s="0" t="s">
        <v>829</v>
      </c>
      <c r="O234" s="0" t="s">
        <v>29</v>
      </c>
      <c r="AA234" s="0" t="n">
        <f aca="false">LEN(C234)+LEN(D234)+LEN(E234)+LEN(F234)+LEN(G234)+LEN(H234)+LEN(I234)+LEN(K234)+LEN(L234)+LEN(M234)+LEN(N234)</f>
        <v>48</v>
      </c>
    </row>
    <row r="235" customFormat="false" ht="15" hidden="false" customHeight="false" outlineLevel="0" collapsed="false">
      <c r="A235" s="0" t="s">
        <v>830</v>
      </c>
      <c r="B235" s="0" t="n">
        <v>1913</v>
      </c>
      <c r="C235" s="0" t="s">
        <v>831</v>
      </c>
      <c r="I235" s="0" t="s">
        <v>32</v>
      </c>
      <c r="J235" s="0" t="s">
        <v>832</v>
      </c>
      <c r="O235" s="0" t="s">
        <v>29</v>
      </c>
      <c r="AA235" s="0" t="n">
        <f aca="false">LEN(C235)+LEN(D235)+LEN(E235)+LEN(F235)+LEN(G235)+LEN(H235)+LEN(I235)+LEN(K235)+LEN(L235)+LEN(M235)+LEN(N235)</f>
        <v>30</v>
      </c>
    </row>
    <row r="236" customFormat="false" ht="15" hidden="false" customHeight="false" outlineLevel="0" collapsed="false">
      <c r="A236" s="0" t="s">
        <v>833</v>
      </c>
      <c r="B236" s="0" t="n">
        <v>1913</v>
      </c>
      <c r="C236" s="0" t="s">
        <v>834</v>
      </c>
      <c r="I236" s="0" t="s">
        <v>117</v>
      </c>
      <c r="J236" s="0" t="s">
        <v>835</v>
      </c>
      <c r="AA236" s="0" t="n">
        <f aca="false">LEN(C236)+LEN(D236)+LEN(E236)+LEN(F236)+LEN(G236)+LEN(H236)+LEN(I236)+LEN(K236)+LEN(L236)+LEN(M236)+LEN(N236)</f>
        <v>44</v>
      </c>
    </row>
    <row r="237" customFormat="false" ht="15" hidden="false" customHeight="false" outlineLevel="0" collapsed="false">
      <c r="A237" s="0" t="s">
        <v>836</v>
      </c>
      <c r="B237" s="0" t="n">
        <v>1913</v>
      </c>
      <c r="C237" s="0" t="s">
        <v>837</v>
      </c>
      <c r="I237" s="0" t="s">
        <v>507</v>
      </c>
      <c r="J237" s="0" t="s">
        <v>838</v>
      </c>
      <c r="O237" s="0" t="s">
        <v>29</v>
      </c>
      <c r="U237" s="0" t="s">
        <v>29</v>
      </c>
      <c r="AA237" s="0" t="n">
        <f aca="false">LEN(C237)+LEN(D237)+LEN(E237)+LEN(F237)+LEN(G237)+LEN(H237)+LEN(I237)+LEN(K237)+LEN(L237)+LEN(M237)+LEN(N237)</f>
        <v>35</v>
      </c>
    </row>
    <row r="238" customFormat="false" ht="15" hidden="false" customHeight="false" outlineLevel="0" collapsed="false">
      <c r="A238" s="0" t="s">
        <v>839</v>
      </c>
      <c r="B238" s="0" t="n">
        <v>1913</v>
      </c>
      <c r="C238" s="0" t="s">
        <v>840</v>
      </c>
      <c r="D238" s="0" t="s">
        <v>152</v>
      </c>
      <c r="E238" s="0" t="s">
        <v>152</v>
      </c>
      <c r="F238" s="0" t="s">
        <v>152</v>
      </c>
      <c r="G238" s="0" t="s">
        <v>152</v>
      </c>
      <c r="H238" s="0" t="s">
        <v>152</v>
      </c>
      <c r="I238" s="0" t="s">
        <v>32</v>
      </c>
      <c r="J238" s="3" t="s">
        <v>841</v>
      </c>
      <c r="K238" s="0" t="s">
        <v>152</v>
      </c>
      <c r="L238" s="0" t="s">
        <v>152</v>
      </c>
      <c r="M238" s="0" t="s">
        <v>152</v>
      </c>
      <c r="N238" s="0" t="s">
        <v>152</v>
      </c>
      <c r="O238" s="0" t="s">
        <v>69</v>
      </c>
      <c r="Z238" s="0" t="n">
        <v>1</v>
      </c>
      <c r="AA238" s="0" t="n">
        <f aca="false">LEN(C238)</f>
        <v>32</v>
      </c>
    </row>
    <row r="239" customFormat="false" ht="15" hidden="false" customHeight="false" outlineLevel="0" collapsed="false">
      <c r="A239" s="0" t="s">
        <v>842</v>
      </c>
      <c r="B239" s="0" t="n">
        <v>1913</v>
      </c>
      <c r="C239" s="0" t="s">
        <v>843</v>
      </c>
      <c r="I239" s="0" t="s">
        <v>164</v>
      </c>
      <c r="J239" s="0" t="s">
        <v>844</v>
      </c>
      <c r="O239" s="0" t="s">
        <v>29</v>
      </c>
      <c r="U239" s="0" t="s">
        <v>29</v>
      </c>
      <c r="AA239" s="0" t="n">
        <f aca="false">LEN(C239)+LEN(D239)+LEN(E239)+LEN(F239)+LEN(G239)+LEN(H239)+LEN(I239)+LEN(K239)+LEN(L239)+LEN(M239)+LEN(N239)</f>
        <v>56</v>
      </c>
    </row>
    <row r="240" customFormat="false" ht="15" hidden="false" customHeight="false" outlineLevel="0" collapsed="false">
      <c r="A240" s="0" t="s">
        <v>845</v>
      </c>
      <c r="B240" s="0" t="n">
        <v>1913</v>
      </c>
      <c r="C240" s="0" t="s">
        <v>846</v>
      </c>
      <c r="I240" s="0" t="s">
        <v>847</v>
      </c>
      <c r="J240" s="0" t="s">
        <v>848</v>
      </c>
      <c r="O240" s="0" t="s">
        <v>29</v>
      </c>
      <c r="U240" s="0" t="s">
        <v>29</v>
      </c>
      <c r="AA240" s="0" t="n">
        <f aca="false">LEN(C240)+LEN(D240)+LEN(E240)+LEN(F240)+LEN(G240)+LEN(H240)+LEN(I240)+LEN(K240)+LEN(L240)+LEN(M240)+LEN(N240)</f>
        <v>29</v>
      </c>
    </row>
    <row r="241" customFormat="false" ht="15" hidden="false" customHeight="false" outlineLevel="0" collapsed="false">
      <c r="A241" s="0" t="s">
        <v>849</v>
      </c>
      <c r="B241" s="0" t="n">
        <v>1913</v>
      </c>
      <c r="C241" s="0" t="s">
        <v>850</v>
      </c>
      <c r="I241" s="0" t="s">
        <v>27</v>
      </c>
      <c r="J241" s="0" t="s">
        <v>851</v>
      </c>
      <c r="O241" s="0" t="s">
        <v>29</v>
      </c>
      <c r="AA241" s="0" t="n">
        <f aca="false">LEN(C241)+LEN(D241)+LEN(E241)+LEN(F241)+LEN(G241)+LEN(H241)+LEN(I241)+LEN(K241)+LEN(L241)+LEN(M241)+LEN(N241)</f>
        <v>26</v>
      </c>
    </row>
    <row r="242" customFormat="false" ht="15" hidden="false" customHeight="false" outlineLevel="0" collapsed="false">
      <c r="A242" s="0" t="s">
        <v>852</v>
      </c>
      <c r="B242" s="0" t="n">
        <v>1913</v>
      </c>
      <c r="C242" s="0" t="s">
        <v>853</v>
      </c>
      <c r="I242" s="0" t="s">
        <v>32</v>
      </c>
      <c r="J242" s="0" t="s">
        <v>854</v>
      </c>
      <c r="O242" s="0" t="s">
        <v>29</v>
      </c>
      <c r="V242" s="0" t="s">
        <v>29</v>
      </c>
      <c r="W242" s="0" t="s">
        <v>29</v>
      </c>
      <c r="X242" s="0" t="s">
        <v>29</v>
      </c>
      <c r="Y242" s="0" t="s">
        <v>29</v>
      </c>
      <c r="AA242" s="0" t="n">
        <f aca="false">LEN(C242)+LEN(D242)+LEN(E242)+LEN(F242)+LEN(G242)+LEN(H242)+LEN(I242)+LEN(K242)+LEN(L242)+LEN(M242)+LEN(N242)</f>
        <v>45</v>
      </c>
    </row>
    <row r="243" customFormat="false" ht="15" hidden="false" customHeight="false" outlineLevel="0" collapsed="false">
      <c r="A243" s="0" t="s">
        <v>855</v>
      </c>
      <c r="B243" s="0" t="n">
        <v>1913</v>
      </c>
      <c r="C243" s="0" t="s">
        <v>856</v>
      </c>
      <c r="I243" s="0" t="s">
        <v>857</v>
      </c>
      <c r="J243" s="0" t="s">
        <v>858</v>
      </c>
      <c r="O243" s="0" t="s">
        <v>29</v>
      </c>
      <c r="U243" s="0" t="s">
        <v>29</v>
      </c>
      <c r="AA243" s="0" t="n">
        <f aca="false">LEN(C243)+LEN(D243)+LEN(E243)+LEN(F243)+LEN(G243)+LEN(H243)+LEN(I243)+LEN(K243)+LEN(L243)+LEN(M243)+LEN(N243)</f>
        <v>28</v>
      </c>
    </row>
    <row r="244" customFormat="false" ht="15" hidden="false" customHeight="false" outlineLevel="0" collapsed="false">
      <c r="A244" s="0" t="s">
        <v>859</v>
      </c>
      <c r="B244" s="0" t="n">
        <v>1913</v>
      </c>
      <c r="C244" s="0" t="s">
        <v>860</v>
      </c>
      <c r="I244" s="0" t="s">
        <v>654</v>
      </c>
      <c r="J244" s="0" t="s">
        <v>861</v>
      </c>
      <c r="O244" s="0" t="s">
        <v>29</v>
      </c>
      <c r="AA244" s="0" t="n">
        <f aca="false">LEN(C244)+LEN(D244)+LEN(E244)+LEN(F244)+LEN(G244)+LEN(H244)+LEN(I244)+LEN(K244)+LEN(L244)+LEN(M244)+LEN(N244)</f>
        <v>28</v>
      </c>
    </row>
    <row r="245" customFormat="false" ht="15" hidden="false" customHeight="false" outlineLevel="0" collapsed="false">
      <c r="A245" s="0" t="s">
        <v>862</v>
      </c>
      <c r="B245" s="0" t="n">
        <v>1913</v>
      </c>
      <c r="C245" s="0" t="s">
        <v>863</v>
      </c>
      <c r="I245" s="0" t="s">
        <v>864</v>
      </c>
      <c r="J245" s="0" t="s">
        <v>865</v>
      </c>
      <c r="AA245" s="0" t="n">
        <f aca="false">LEN(C245)+LEN(D245)+LEN(E245)+LEN(F245)+LEN(G245)+LEN(H245)+LEN(I245)+LEN(K245)+LEN(L245)+LEN(M245)+LEN(N245)</f>
        <v>35</v>
      </c>
    </row>
    <row r="246" customFormat="false" ht="15" hidden="false" customHeight="false" outlineLevel="0" collapsed="false">
      <c r="A246" s="0" t="s">
        <v>866</v>
      </c>
      <c r="B246" s="0" t="n">
        <v>1913</v>
      </c>
      <c r="C246" s="0" t="s">
        <v>863</v>
      </c>
      <c r="I246" s="0" t="s">
        <v>864</v>
      </c>
      <c r="J246" s="0" t="s">
        <v>867</v>
      </c>
      <c r="AA246" s="0" t="n">
        <f aca="false">LEN(C246)+LEN(D246)+LEN(E246)+LEN(F246)+LEN(G246)+LEN(H246)+LEN(I246)+LEN(K246)+LEN(L246)+LEN(M246)+LEN(N246)</f>
        <v>35</v>
      </c>
    </row>
    <row r="247" s="3" customFormat="true" ht="15" hidden="false" customHeight="false" outlineLevel="0" collapsed="false">
      <c r="A247" s="3" t="s">
        <v>868</v>
      </c>
      <c r="B247" s="3" t="n">
        <v>1913</v>
      </c>
      <c r="C247" s="3" t="s">
        <v>869</v>
      </c>
      <c r="D247" s="3" t="s">
        <v>152</v>
      </c>
      <c r="E247" s="3" t="s">
        <v>152</v>
      </c>
      <c r="F247" s="3" t="s">
        <v>152</v>
      </c>
      <c r="G247" s="3" t="s">
        <v>152</v>
      </c>
      <c r="H247" s="3" t="s">
        <v>152</v>
      </c>
      <c r="I247" s="3" t="s">
        <v>44</v>
      </c>
      <c r="J247" s="3" t="s">
        <v>870</v>
      </c>
      <c r="K247" s="3" t="s">
        <v>152</v>
      </c>
      <c r="L247" s="3" t="s">
        <v>152</v>
      </c>
      <c r="M247" s="3" t="s">
        <v>152</v>
      </c>
      <c r="N247" s="3" t="s">
        <v>152</v>
      </c>
      <c r="O247" s="3" t="s">
        <v>69</v>
      </c>
      <c r="U247" s="3" t="s">
        <v>871</v>
      </c>
      <c r="Z247" s="3" t="n">
        <v>5</v>
      </c>
      <c r="AA247" s="3" t="n">
        <f aca="false">LEN(C247)</f>
        <v>42</v>
      </c>
    </row>
    <row r="248" customFormat="false" ht="15" hidden="false" customHeight="false" outlineLevel="0" collapsed="false">
      <c r="A248" s="0" t="s">
        <v>872</v>
      </c>
      <c r="B248" s="0" t="n">
        <v>1913</v>
      </c>
      <c r="C248" s="0" t="s">
        <v>873</v>
      </c>
      <c r="I248" s="0" t="s">
        <v>874</v>
      </c>
      <c r="J248" s="0" t="s">
        <v>875</v>
      </c>
      <c r="O248" s="0" t="s">
        <v>29</v>
      </c>
      <c r="U248" s="0" t="s">
        <v>29</v>
      </c>
      <c r="AA248" s="0" t="n">
        <f aca="false">LEN(C248)+LEN(D248)+LEN(E248)+LEN(F248)+LEN(G248)+LEN(H248)+LEN(I248)+LEN(K248)+LEN(L248)+LEN(M248)+LEN(N248)</f>
        <v>32</v>
      </c>
    </row>
    <row r="249" s="3" customFormat="true" ht="15" hidden="false" customHeight="false" outlineLevel="0" collapsed="false">
      <c r="A249" s="3" t="s">
        <v>876</v>
      </c>
      <c r="B249" s="3" t="n">
        <v>1913</v>
      </c>
      <c r="C249" s="3" t="s">
        <v>877</v>
      </c>
      <c r="I249" s="3" t="s">
        <v>99</v>
      </c>
      <c r="J249" s="3" t="s">
        <v>878</v>
      </c>
      <c r="K249" s="3" t="s">
        <v>879</v>
      </c>
      <c r="L249" s="3" t="s">
        <v>880</v>
      </c>
      <c r="M249" s="3" t="s">
        <v>881</v>
      </c>
      <c r="N249" s="3" t="s">
        <v>882</v>
      </c>
      <c r="AA249" s="3" t="n">
        <f aca="false">LEN(C249)+LEN(D249)+LEN(E249)+LEN(F249)+LEN(G249)+LEN(H249)+LEN(I249)+LEN(K249)+LEN(L249)+LEN(M249)+LEN(N249)</f>
        <v>46</v>
      </c>
    </row>
    <row r="250" s="5" customFormat="true" ht="15" hidden="false" customHeight="false" outlineLevel="0" collapsed="false">
      <c r="A250" s="5" t="s">
        <v>883</v>
      </c>
      <c r="B250" s="5" t="n">
        <v>1914</v>
      </c>
      <c r="C250" s="5" t="s">
        <v>884</v>
      </c>
      <c r="I250" s="5" t="s">
        <v>32</v>
      </c>
      <c r="J250" s="5" t="s">
        <v>885</v>
      </c>
      <c r="O250" s="5" t="s">
        <v>29</v>
      </c>
      <c r="AA250" s="5" t="n">
        <f aca="false">LEN(C250)+LEN(D250)+LEN(E250)+LEN(F250)+LEN(G250)+LEN(H250)+LEN(I250)+LEN(K250)+LEN(L250)+LEN(M250)+LEN(N250)</f>
        <v>42</v>
      </c>
    </row>
    <row r="251" customFormat="false" ht="15" hidden="false" customHeight="false" outlineLevel="0" collapsed="false">
      <c r="A251" s="0" t="s">
        <v>886</v>
      </c>
      <c r="B251" s="0" t="n">
        <v>1914</v>
      </c>
      <c r="C251" s="0" t="s">
        <v>887</v>
      </c>
      <c r="I251" s="0" t="s">
        <v>32</v>
      </c>
      <c r="J251" s="0" t="s">
        <v>888</v>
      </c>
      <c r="O251" s="0" t="s">
        <v>29</v>
      </c>
      <c r="AA251" s="0" t="n">
        <f aca="false">LEN(C251)+LEN(D251)+LEN(E251)+LEN(F251)+LEN(G251)+LEN(H251)+LEN(I251)+LEN(K251)+LEN(L251)+LEN(M251)+LEN(N251)</f>
        <v>17</v>
      </c>
    </row>
    <row r="252" customFormat="false" ht="15" hidden="false" customHeight="false" outlineLevel="0" collapsed="false">
      <c r="A252" s="0" t="s">
        <v>889</v>
      </c>
      <c r="B252" s="0" t="n">
        <v>1914</v>
      </c>
      <c r="C252" s="0" t="s">
        <v>890</v>
      </c>
      <c r="J252" s="0" t="s">
        <v>891</v>
      </c>
      <c r="O252" s="0" t="s">
        <v>29</v>
      </c>
      <c r="AA252" s="0" t="n">
        <f aca="false">LEN(C252)+LEN(D252)+LEN(E252)+LEN(F252)+LEN(G252)+LEN(H252)+LEN(I252)+LEN(K252)+LEN(L252)+LEN(M252)+LEN(N252)</f>
        <v>36</v>
      </c>
    </row>
    <row r="253" customFormat="false" ht="15" hidden="false" customHeight="false" outlineLevel="0" collapsed="false">
      <c r="A253" s="0" t="s">
        <v>892</v>
      </c>
      <c r="B253" s="0" t="n">
        <v>1914</v>
      </c>
      <c r="C253" s="0" t="s">
        <v>431</v>
      </c>
      <c r="I253" s="0" t="s">
        <v>893</v>
      </c>
      <c r="J253" s="0" t="s">
        <v>894</v>
      </c>
      <c r="AA253" s="0" t="n">
        <f aca="false">LEN(C253)+LEN(D253)+LEN(E253)+LEN(F253)+LEN(G253)+LEN(H253)+LEN(I253)+LEN(K253)+LEN(L253)+LEN(M253)+LEN(N253)</f>
        <v>42</v>
      </c>
    </row>
    <row r="254" customFormat="false" ht="15" hidden="false" customHeight="false" outlineLevel="0" collapsed="false">
      <c r="A254" s="0" t="s">
        <v>895</v>
      </c>
      <c r="B254" s="0" t="n">
        <v>1914</v>
      </c>
      <c r="C254" s="0" t="s">
        <v>896</v>
      </c>
      <c r="I254" s="0" t="s">
        <v>137</v>
      </c>
      <c r="J254" s="0" t="s">
        <v>897</v>
      </c>
      <c r="AA254" s="0" t="n">
        <f aca="false">LEN(C254)+LEN(D254)+LEN(E254)+LEN(F254)+LEN(G254)+LEN(H254)+LEN(I254)+LEN(K254)+LEN(L254)+LEN(M254)+LEN(N254)</f>
        <v>42</v>
      </c>
    </row>
    <row r="255" customFormat="false" ht="15" hidden="false" customHeight="false" outlineLevel="0" collapsed="false">
      <c r="A255" s="0" t="s">
        <v>898</v>
      </c>
      <c r="B255" s="0" t="n">
        <v>1914</v>
      </c>
      <c r="C255" s="0" t="s">
        <v>899</v>
      </c>
      <c r="I255" s="0" t="s">
        <v>32</v>
      </c>
      <c r="J255" s="0" t="s">
        <v>900</v>
      </c>
      <c r="AA255" s="0" t="n">
        <f aca="false">LEN(C255)+LEN(D255)+LEN(E255)+LEN(F255)+LEN(G255)+LEN(H255)+LEN(I255)+LEN(K255)+LEN(L255)+LEN(M255)+LEN(N255)</f>
        <v>29</v>
      </c>
    </row>
    <row r="256" customFormat="false" ht="15" hidden="false" customHeight="false" outlineLevel="0" collapsed="false">
      <c r="A256" s="0" t="s">
        <v>901</v>
      </c>
      <c r="B256" s="0" t="n">
        <v>1914</v>
      </c>
      <c r="C256" s="0" t="s">
        <v>625</v>
      </c>
      <c r="I256" s="0" t="s">
        <v>32</v>
      </c>
      <c r="J256" s="0" t="s">
        <v>902</v>
      </c>
      <c r="O256" s="0" t="s">
        <v>29</v>
      </c>
      <c r="AA256" s="0" t="n">
        <f aca="false">LEN(C256)+LEN(D256)+LEN(E256)+LEN(F256)+LEN(G256)+LEN(H256)+LEN(I256)+LEN(K256)+LEN(L256)+LEN(M256)+LEN(N256)</f>
        <v>67</v>
      </c>
    </row>
    <row r="257" customFormat="false" ht="15" hidden="false" customHeight="false" outlineLevel="0" collapsed="false">
      <c r="A257" s="0" t="s">
        <v>903</v>
      </c>
      <c r="B257" s="0" t="n">
        <v>1914</v>
      </c>
      <c r="C257" s="0" t="s">
        <v>904</v>
      </c>
      <c r="D257" s="0" t="n">
        <v>2218935</v>
      </c>
      <c r="I257" s="0" t="s">
        <v>857</v>
      </c>
      <c r="J257" s="0" t="s">
        <v>905</v>
      </c>
      <c r="O257" s="0" t="s">
        <v>29</v>
      </c>
      <c r="AA257" s="0" t="n">
        <f aca="false">LEN(C257)+LEN(D257)+LEN(E257)+LEN(F257)+LEN(G257)+LEN(H257)+LEN(I257)+LEN(K257)+LEN(L257)+LEN(M257)+LEN(N257)</f>
        <v>52</v>
      </c>
    </row>
    <row r="258" customFormat="false" ht="15" hidden="false" customHeight="false" outlineLevel="0" collapsed="false">
      <c r="A258" s="0" t="s">
        <v>906</v>
      </c>
      <c r="B258" s="0" t="n">
        <v>1914</v>
      </c>
      <c r="C258" s="0" t="s">
        <v>907</v>
      </c>
      <c r="I258" s="0" t="s">
        <v>908</v>
      </c>
      <c r="J258" s="0" t="s">
        <v>909</v>
      </c>
      <c r="O258" s="0" t="s">
        <v>29</v>
      </c>
      <c r="U258" s="0" t="s">
        <v>29</v>
      </c>
      <c r="AA258" s="0" t="n">
        <f aca="false">LEN(C258)+LEN(D258)+LEN(E258)+LEN(F258)+LEN(G258)+LEN(H258)+LEN(I258)+LEN(K258)+LEN(L258)+LEN(M258)+LEN(N258)</f>
        <v>19</v>
      </c>
    </row>
    <row r="259" customFormat="false" ht="15" hidden="false" customHeight="false" outlineLevel="0" collapsed="false">
      <c r="A259" s="0" t="s">
        <v>910</v>
      </c>
      <c r="B259" s="0" t="n">
        <v>1914</v>
      </c>
      <c r="C259" s="0" t="s">
        <v>911</v>
      </c>
      <c r="I259" s="0" t="s">
        <v>912</v>
      </c>
      <c r="J259" s="0" t="s">
        <v>913</v>
      </c>
      <c r="O259" s="0" t="s">
        <v>29</v>
      </c>
      <c r="U259" s="0" t="s">
        <v>29</v>
      </c>
      <c r="AA259" s="0" t="n">
        <f aca="false">LEN(C259)+LEN(D259)+LEN(E259)+LEN(F259)+LEN(G259)+LEN(H259)+LEN(I259)+LEN(K259)+LEN(L259)+LEN(M259)+LEN(N259)</f>
        <v>43</v>
      </c>
    </row>
    <row r="260" customFormat="false" ht="15" hidden="false" customHeight="false" outlineLevel="0" collapsed="false">
      <c r="A260" s="0" t="s">
        <v>914</v>
      </c>
      <c r="B260" s="0" t="n">
        <v>1914</v>
      </c>
      <c r="C260" s="0" t="s">
        <v>915</v>
      </c>
      <c r="I260" s="0" t="s">
        <v>117</v>
      </c>
      <c r="J260" s="0" t="s">
        <v>916</v>
      </c>
      <c r="O260" s="6" t="s">
        <v>29</v>
      </c>
      <c r="AA260" s="0" t="n">
        <f aca="false">LEN(C260)+LEN(D260)+LEN(E260)+LEN(F260)+LEN(G260)+LEN(H260)+LEN(I260)+LEN(K260)+LEN(L260)+LEN(M260)+LEN(N260)</f>
        <v>47</v>
      </c>
    </row>
    <row r="261" customFormat="false" ht="15" hidden="false" customHeight="false" outlineLevel="0" collapsed="false">
      <c r="A261" s="0" t="s">
        <v>917</v>
      </c>
      <c r="B261" s="0" t="n">
        <v>1914</v>
      </c>
      <c r="C261" s="0" t="s">
        <v>918</v>
      </c>
      <c r="I261" s="0" t="s">
        <v>32</v>
      </c>
      <c r="J261" s="0" t="s">
        <v>919</v>
      </c>
      <c r="O261" s="0" t="s">
        <v>29</v>
      </c>
      <c r="AA261" s="0" t="n">
        <f aca="false">LEN(C261)+LEN(D261)+LEN(E261)+LEN(F261)+LEN(G261)+LEN(H261)+LEN(I261)+LEN(K261)+LEN(L261)+LEN(M261)+LEN(N261)</f>
        <v>30</v>
      </c>
    </row>
    <row r="262" customFormat="false" ht="15" hidden="false" customHeight="false" outlineLevel="0" collapsed="false">
      <c r="A262" s="0" t="s">
        <v>920</v>
      </c>
      <c r="B262" s="0" t="n">
        <v>1914</v>
      </c>
      <c r="C262" s="0" t="s">
        <v>921</v>
      </c>
      <c r="I262" s="0" t="s">
        <v>922</v>
      </c>
      <c r="J262" s="0" t="s">
        <v>923</v>
      </c>
      <c r="O262" s="0" t="s">
        <v>29</v>
      </c>
      <c r="U262" s="0" t="s">
        <v>29</v>
      </c>
      <c r="AA262" s="0" t="n">
        <f aca="false">LEN(C262)+LEN(D262)+LEN(E262)+LEN(F262)+LEN(G262)+LEN(H262)+LEN(I262)+LEN(K262)+LEN(L262)+LEN(M262)+LEN(N262)</f>
        <v>38</v>
      </c>
    </row>
    <row r="263" customFormat="false" ht="15" hidden="false" customHeight="false" outlineLevel="0" collapsed="false">
      <c r="A263" s="0" t="s">
        <v>924</v>
      </c>
      <c r="B263" s="0" t="n">
        <v>1914</v>
      </c>
      <c r="C263" s="0" t="s">
        <v>925</v>
      </c>
      <c r="D263" s="0" t="s">
        <v>152</v>
      </c>
      <c r="E263" s="0" t="s">
        <v>926</v>
      </c>
      <c r="F263" s="0" t="s">
        <v>152</v>
      </c>
      <c r="G263" s="0" t="s">
        <v>152</v>
      </c>
      <c r="H263" s="0" t="s">
        <v>152</v>
      </c>
      <c r="I263" s="0" t="s">
        <v>927</v>
      </c>
      <c r="J263" s="0" t="s">
        <v>928</v>
      </c>
      <c r="K263" s="0" t="s">
        <v>929</v>
      </c>
      <c r="L263" s="0" t="s">
        <v>69</v>
      </c>
      <c r="M263" s="0" t="s">
        <v>930</v>
      </c>
      <c r="N263" s="0" t="s">
        <v>931</v>
      </c>
      <c r="O263" s="0" t="s">
        <v>69</v>
      </c>
      <c r="Q263" s="0" t="s">
        <v>29</v>
      </c>
      <c r="U263" s="0" t="s">
        <v>29</v>
      </c>
      <c r="V263" s="0" t="s">
        <v>29</v>
      </c>
      <c r="X263" s="0" t="s">
        <v>29</v>
      </c>
      <c r="Z263" s="0" t="n">
        <v>3</v>
      </c>
      <c r="AA263" s="0" t="n">
        <f aca="false">LEN(C263)</f>
        <v>36</v>
      </c>
    </row>
    <row r="264" customFormat="false" ht="15" hidden="false" customHeight="false" outlineLevel="0" collapsed="false">
      <c r="A264" s="0" t="s">
        <v>932</v>
      </c>
      <c r="B264" s="0" t="n">
        <v>1914</v>
      </c>
      <c r="C264" s="0" t="s">
        <v>933</v>
      </c>
      <c r="I264" s="0" t="s">
        <v>606</v>
      </c>
      <c r="J264" s="0" t="s">
        <v>934</v>
      </c>
      <c r="U264" s="0" t="s">
        <v>29</v>
      </c>
      <c r="AA264" s="0" t="n">
        <f aca="false">LEN(C264)+LEN(D264)+LEN(E264)+LEN(F264)+LEN(G264)+LEN(H264)+LEN(I264)+LEN(K264)+LEN(L264)+LEN(M264)+LEN(N264)</f>
        <v>41</v>
      </c>
    </row>
    <row r="265" customFormat="false" ht="15" hidden="false" customHeight="false" outlineLevel="0" collapsed="false">
      <c r="A265" s="0" t="s">
        <v>935</v>
      </c>
      <c r="B265" s="0" t="n">
        <v>1914</v>
      </c>
      <c r="C265" s="0" t="s">
        <v>936</v>
      </c>
      <c r="F265" s="0" t="n">
        <v>1912</v>
      </c>
      <c r="J265" s="0" t="s">
        <v>937</v>
      </c>
      <c r="U265" s="0" t="s">
        <v>29</v>
      </c>
      <c r="AA265" s="0" t="n">
        <f aca="false">LEN(C265)+LEN(D265)+LEN(E265)+LEN(F265)+LEN(G265)+LEN(H265)+LEN(I265)+LEN(K265)+LEN(L265)+LEN(M265)+LEN(N265)</f>
        <v>17</v>
      </c>
    </row>
    <row r="266" customFormat="false" ht="15" hidden="false" customHeight="false" outlineLevel="0" collapsed="false">
      <c r="A266" s="0" t="s">
        <v>938</v>
      </c>
      <c r="B266" s="0" t="n">
        <v>1914</v>
      </c>
      <c r="C266" s="0" t="s">
        <v>939</v>
      </c>
      <c r="I266" s="0" t="s">
        <v>32</v>
      </c>
      <c r="J266" s="0" t="s">
        <v>940</v>
      </c>
      <c r="O266" s="0" t="s">
        <v>29</v>
      </c>
      <c r="U266" s="0" t="s">
        <v>29</v>
      </c>
      <c r="AA266" s="0" t="n">
        <f aca="false">LEN(C266)+LEN(D266)+LEN(E266)+LEN(F266)+LEN(G266)+LEN(H266)+LEN(I266)+LEN(K266)+LEN(L266)+LEN(M266)+LEN(N266)</f>
        <v>19</v>
      </c>
    </row>
    <row r="267" customFormat="false" ht="15" hidden="false" customHeight="false" outlineLevel="0" collapsed="false">
      <c r="A267" s="0" t="s">
        <v>941</v>
      </c>
      <c r="B267" s="0" t="n">
        <v>1915</v>
      </c>
      <c r="C267" s="0" t="s">
        <v>942</v>
      </c>
      <c r="D267" s="0" t="s">
        <v>152</v>
      </c>
      <c r="E267" s="0" t="s">
        <v>152</v>
      </c>
      <c r="F267" s="0" t="s">
        <v>152</v>
      </c>
      <c r="G267" s="0" t="s">
        <v>152</v>
      </c>
      <c r="H267" s="0" t="s">
        <v>152</v>
      </c>
      <c r="I267" s="0" t="s">
        <v>137</v>
      </c>
      <c r="J267" s="0" t="s">
        <v>943</v>
      </c>
      <c r="K267" s="0" t="s">
        <v>152</v>
      </c>
      <c r="L267" s="0" t="s">
        <v>152</v>
      </c>
      <c r="M267" s="0" t="s">
        <v>152</v>
      </c>
      <c r="N267" s="0" t="s">
        <v>152</v>
      </c>
      <c r="O267" s="0" t="s">
        <v>69</v>
      </c>
      <c r="Z267" s="0" t="n">
        <v>1</v>
      </c>
      <c r="AA267" s="0" t="n">
        <f aca="false">LEN(C267)</f>
        <v>15</v>
      </c>
    </row>
    <row r="268" customFormat="false" ht="15" hidden="false" customHeight="false" outlineLevel="0" collapsed="false">
      <c r="A268" s="0" t="s">
        <v>944</v>
      </c>
      <c r="B268" s="0" t="n">
        <v>1915</v>
      </c>
      <c r="C268" s="0" t="s">
        <v>945</v>
      </c>
      <c r="I268" s="0" t="s">
        <v>32</v>
      </c>
      <c r="J268" s="0" t="s">
        <v>946</v>
      </c>
      <c r="O268" s="0" t="s">
        <v>29</v>
      </c>
      <c r="AA268" s="0" t="n">
        <f aca="false">LEN(C268)+LEN(D268)+LEN(E268)+LEN(F268)+LEN(G268)+LEN(H268)+LEN(I268)+LEN(K268)+LEN(L268)+LEN(M268)+LEN(N268)</f>
        <v>17</v>
      </c>
    </row>
    <row r="269" customFormat="false" ht="15" hidden="false" customHeight="false" outlineLevel="0" collapsed="false">
      <c r="A269" s="0" t="s">
        <v>947</v>
      </c>
      <c r="B269" s="0" t="n">
        <v>1915</v>
      </c>
      <c r="C269" s="0" t="s">
        <v>948</v>
      </c>
      <c r="I269" s="0" t="s">
        <v>413</v>
      </c>
      <c r="J269" s="0" t="s">
        <v>949</v>
      </c>
      <c r="K269" s="0" t="s">
        <v>950</v>
      </c>
      <c r="L269" s="0" t="s">
        <v>951</v>
      </c>
      <c r="M269" s="0" t="s">
        <v>952</v>
      </c>
      <c r="N269" s="0" t="s">
        <v>214</v>
      </c>
      <c r="V269" s="0" t="s">
        <v>29</v>
      </c>
      <c r="W269" s="0" t="s">
        <v>29</v>
      </c>
      <c r="X269" s="0" t="s">
        <v>29</v>
      </c>
      <c r="AA269" s="0" t="n">
        <f aca="false">LEN(C269)+LEN(D269)+LEN(E269)+LEN(F269)+LEN(G269)+LEN(H269)+LEN(I269)+LEN(K269)+LEN(L269)+LEN(M269)+LEN(N269)</f>
        <v>60</v>
      </c>
    </row>
    <row r="270" customFormat="false" ht="15" hidden="false" customHeight="false" outlineLevel="0" collapsed="false">
      <c r="A270" s="0" t="s">
        <v>947</v>
      </c>
      <c r="B270" s="0" t="n">
        <v>1915</v>
      </c>
      <c r="C270" s="0" t="s">
        <v>948</v>
      </c>
      <c r="I270" s="0" t="s">
        <v>413</v>
      </c>
      <c r="J270" s="0" t="s">
        <v>949</v>
      </c>
      <c r="K270" s="0" t="s">
        <v>953</v>
      </c>
      <c r="L270" s="0" t="s">
        <v>954</v>
      </c>
      <c r="N270" s="0" t="s">
        <v>110</v>
      </c>
      <c r="V270" s="0" t="s">
        <v>29</v>
      </c>
      <c r="AA270" s="0" t="n">
        <f aca="false">LEN(C270)+LEN(D270)+LEN(E270)+LEN(F270)+LEN(G270)+LEN(H270)+LEN(I270)+LEN(K270)+LEN(L270)+LEN(M270)+LEN(N270)</f>
        <v>63</v>
      </c>
    </row>
    <row r="271" customFormat="false" ht="15" hidden="false" customHeight="false" outlineLevel="0" collapsed="false">
      <c r="A271" s="0" t="s">
        <v>955</v>
      </c>
      <c r="B271" s="0" t="n">
        <v>1915</v>
      </c>
      <c r="C271" s="0" t="s">
        <v>956</v>
      </c>
      <c r="I271" s="0" t="s">
        <v>957</v>
      </c>
      <c r="J271" s="0" t="s">
        <v>958</v>
      </c>
      <c r="K271" s="0" t="s">
        <v>959</v>
      </c>
      <c r="L271" s="0" t="s">
        <v>960</v>
      </c>
      <c r="N271" s="0" t="s">
        <v>110</v>
      </c>
      <c r="O271" s="0" t="s">
        <v>29</v>
      </c>
      <c r="X271" s="0" t="s">
        <v>29</v>
      </c>
      <c r="AA271" s="0" t="n">
        <f aca="false">LEN(C271)+LEN(D271)+LEN(E271)+LEN(F271)+LEN(G271)+LEN(H271)+LEN(I271)+LEN(K271)+LEN(L271)+LEN(M271)+LEN(N271)</f>
        <v>51</v>
      </c>
    </row>
    <row r="272" customFormat="false" ht="15" hidden="false" customHeight="false" outlineLevel="0" collapsed="false">
      <c r="A272" s="0" t="s">
        <v>955</v>
      </c>
      <c r="B272" s="0" t="n">
        <v>1915</v>
      </c>
      <c r="C272" s="0" t="s">
        <v>956</v>
      </c>
      <c r="D272" s="0" t="s">
        <v>152</v>
      </c>
      <c r="E272" s="0" t="s">
        <v>152</v>
      </c>
      <c r="F272" s="0" t="s">
        <v>152</v>
      </c>
      <c r="G272" s="0" t="s">
        <v>152</v>
      </c>
      <c r="H272" s="0" t="s">
        <v>152</v>
      </c>
      <c r="I272" s="0" t="s">
        <v>957</v>
      </c>
      <c r="J272" s="0" t="s">
        <v>958</v>
      </c>
      <c r="K272" s="0" t="s">
        <v>961</v>
      </c>
      <c r="L272" s="0" t="s">
        <v>880</v>
      </c>
      <c r="M272" s="0" t="s">
        <v>962</v>
      </c>
      <c r="N272" s="0" t="s">
        <v>110</v>
      </c>
      <c r="O272" s="0" t="s">
        <v>29</v>
      </c>
      <c r="V272" s="0" t="s">
        <v>69</v>
      </c>
      <c r="Z272" s="0" t="n">
        <v>3</v>
      </c>
      <c r="AA272" s="0" t="n">
        <f aca="false">LEN(C272)</f>
        <v>33</v>
      </c>
    </row>
    <row r="273" customFormat="false" ht="15" hidden="false" customHeight="false" outlineLevel="0" collapsed="false">
      <c r="A273" s="0" t="s">
        <v>955</v>
      </c>
      <c r="B273" s="0" t="n">
        <v>1915</v>
      </c>
      <c r="C273" s="0" t="s">
        <v>956</v>
      </c>
      <c r="I273" s="0" t="s">
        <v>957</v>
      </c>
      <c r="J273" s="0" t="s">
        <v>958</v>
      </c>
      <c r="K273" s="0" t="s">
        <v>963</v>
      </c>
      <c r="L273" s="0" t="s">
        <v>964</v>
      </c>
      <c r="N273" s="0" t="s">
        <v>110</v>
      </c>
      <c r="O273" s="0" t="s">
        <v>29</v>
      </c>
      <c r="V273" s="0" t="s">
        <v>29</v>
      </c>
      <c r="X273" s="0" t="s">
        <v>29</v>
      </c>
      <c r="AA273" s="0" t="n">
        <f aca="false">LEN(C273)+LEN(D273)+LEN(E273)+LEN(F273)+LEN(G273)+LEN(H273)+LEN(I273)+LEN(K273)+LEN(L273)+LEN(M273)+LEN(N273)</f>
        <v>48</v>
      </c>
    </row>
    <row r="274" customFormat="false" ht="15" hidden="false" customHeight="false" outlineLevel="0" collapsed="false">
      <c r="A274" s="0" t="s">
        <v>965</v>
      </c>
      <c r="B274" s="0" t="n">
        <v>1915</v>
      </c>
      <c r="C274" s="0" t="s">
        <v>966</v>
      </c>
      <c r="I274" s="0" t="s">
        <v>967</v>
      </c>
      <c r="J274" s="3" t="s">
        <v>968</v>
      </c>
      <c r="O274" s="0" t="s">
        <v>29</v>
      </c>
      <c r="AA274" s="0" t="n">
        <f aca="false">LEN(C274)+LEN(D274)+LEN(E274)+LEN(F274)+LEN(G274)+LEN(H274)+LEN(I274)+LEN(K274)+LEN(L274)+LEN(M274)+LEN(N274)</f>
        <v>37</v>
      </c>
    </row>
    <row r="275" customFormat="false" ht="15" hidden="false" customHeight="false" outlineLevel="0" collapsed="false">
      <c r="A275" s="0" t="s">
        <v>969</v>
      </c>
      <c r="B275" s="0" t="n">
        <v>1915</v>
      </c>
      <c r="C275" s="0" t="s">
        <v>970</v>
      </c>
      <c r="I275" s="0" t="s">
        <v>32</v>
      </c>
      <c r="J275" s="0" t="s">
        <v>971</v>
      </c>
      <c r="AA275" s="0" t="n">
        <f aca="false">LEN(C275)+LEN(D275)+LEN(E275)+LEN(F275)+LEN(G275)+LEN(H275)+LEN(I275)+LEN(K275)+LEN(L275)+LEN(M275)+LEN(N275)</f>
        <v>32</v>
      </c>
    </row>
    <row r="276" customFormat="false" ht="15" hidden="false" customHeight="false" outlineLevel="0" collapsed="false">
      <c r="A276" s="0" t="s">
        <v>972</v>
      </c>
      <c r="B276" s="0" t="n">
        <v>1915</v>
      </c>
      <c r="C276" s="0" t="s">
        <v>973</v>
      </c>
      <c r="I276" s="0" t="s">
        <v>184</v>
      </c>
      <c r="J276" s="0" t="s">
        <v>974</v>
      </c>
      <c r="O276" s="0" t="s">
        <v>29</v>
      </c>
      <c r="U276" s="0" t="s">
        <v>29</v>
      </c>
      <c r="AA276" s="0" t="n">
        <f aca="false">LEN(C276)+LEN(D276)+LEN(E276)+LEN(F276)+LEN(G276)+LEN(H276)+LEN(I276)+LEN(K276)+LEN(L276)+LEN(M276)+LEN(N276)</f>
        <v>40</v>
      </c>
    </row>
    <row r="277" customFormat="false" ht="15" hidden="false" customHeight="false" outlineLevel="0" collapsed="false">
      <c r="A277" s="0" t="s">
        <v>975</v>
      </c>
      <c r="B277" s="0" t="n">
        <v>1915</v>
      </c>
      <c r="C277" s="0" t="s">
        <v>976</v>
      </c>
      <c r="I277" s="0" t="s">
        <v>32</v>
      </c>
      <c r="J277" s="0" t="s">
        <v>977</v>
      </c>
      <c r="O277" s="0" t="s">
        <v>29</v>
      </c>
      <c r="AA277" s="0" t="n">
        <f aca="false">LEN(C277)+LEN(D277)+LEN(E277)+LEN(F277)+LEN(G277)+LEN(H277)+LEN(I277)+LEN(K277)+LEN(L277)+LEN(M277)+LEN(N277)</f>
        <v>31</v>
      </c>
    </row>
    <row r="278" customFormat="false" ht="15" hidden="false" customHeight="false" outlineLevel="0" collapsed="false">
      <c r="A278" s="0" t="s">
        <v>978</v>
      </c>
      <c r="B278" s="0" t="n">
        <v>1915</v>
      </c>
      <c r="C278" s="0" t="s">
        <v>976</v>
      </c>
      <c r="I278" s="0" t="s">
        <v>435</v>
      </c>
      <c r="J278" s="0" t="s">
        <v>979</v>
      </c>
      <c r="O278" s="0" t="s">
        <v>29</v>
      </c>
      <c r="AA278" s="0" t="n">
        <f aca="false">LEN(C278)+LEN(D278)+LEN(E278)+LEN(F278)+LEN(G278)+LEN(H278)+LEN(I278)+LEN(K278)+LEN(L278)+LEN(M278)+LEN(N278)</f>
        <v>31</v>
      </c>
    </row>
    <row r="279" customFormat="false" ht="15" hidden="false" customHeight="false" outlineLevel="0" collapsed="false">
      <c r="A279" s="0" t="s">
        <v>980</v>
      </c>
      <c r="B279" s="0" t="n">
        <v>1915</v>
      </c>
      <c r="C279" s="0" t="s">
        <v>981</v>
      </c>
      <c r="I279" s="0" t="s">
        <v>32</v>
      </c>
      <c r="J279" s="0" t="s">
        <v>982</v>
      </c>
      <c r="AA279" s="0" t="n">
        <f aca="false">LEN(C279)+LEN(D279)+LEN(E279)+LEN(F279)+LEN(G279)+LEN(H279)+LEN(I279)+LEN(K279)+LEN(L279)+LEN(M279)+LEN(N279)</f>
        <v>32</v>
      </c>
    </row>
    <row r="280" customFormat="false" ht="15" hidden="false" customHeight="false" outlineLevel="0" collapsed="false">
      <c r="A280" s="0" t="s">
        <v>983</v>
      </c>
      <c r="B280" s="0" t="n">
        <v>1915</v>
      </c>
      <c r="C280" s="0" t="s">
        <v>984</v>
      </c>
      <c r="I280" s="0" t="s">
        <v>985</v>
      </c>
      <c r="J280" s="0" t="s">
        <v>986</v>
      </c>
      <c r="U280" s="0" t="s">
        <v>29</v>
      </c>
      <c r="AA280" s="0" t="n">
        <f aca="false">LEN(C280)+LEN(D280)+LEN(E280)+LEN(F280)+LEN(G280)+LEN(H280)+LEN(I280)+LEN(K280)+LEN(L280)+LEN(M280)+LEN(N280)</f>
        <v>28</v>
      </c>
    </row>
    <row r="281" customFormat="false" ht="15" hidden="false" customHeight="false" outlineLevel="0" collapsed="false">
      <c r="A281" s="0" t="s">
        <v>987</v>
      </c>
      <c r="B281" s="0" t="n">
        <v>1915</v>
      </c>
      <c r="C281" s="0" t="s">
        <v>988</v>
      </c>
      <c r="J281" s="0" t="s">
        <v>989</v>
      </c>
      <c r="U281" s="0" t="s">
        <v>29</v>
      </c>
      <c r="AA281" s="0" t="n">
        <f aca="false">LEN(C281)+LEN(D281)+LEN(E281)+LEN(F281)+LEN(G281)+LEN(H281)+LEN(I281)+LEN(K281)+LEN(L281)+LEN(M281)+LEN(N281)</f>
        <v>19</v>
      </c>
    </row>
    <row r="282" s="3" customFormat="true" ht="15" hidden="false" customHeight="false" outlineLevel="0" collapsed="false">
      <c r="A282" s="3" t="s">
        <v>990</v>
      </c>
      <c r="B282" s="3" t="n">
        <v>1915</v>
      </c>
      <c r="C282" s="3" t="s">
        <v>991</v>
      </c>
      <c r="D282" s="3" t="s">
        <v>152</v>
      </c>
      <c r="E282" s="3" t="s">
        <v>152</v>
      </c>
      <c r="F282" s="3" t="s">
        <v>152</v>
      </c>
      <c r="G282" s="3" t="s">
        <v>152</v>
      </c>
      <c r="H282" s="3" t="s">
        <v>152</v>
      </c>
      <c r="I282" s="3" t="s">
        <v>874</v>
      </c>
      <c r="J282" s="3" t="s">
        <v>992</v>
      </c>
      <c r="K282" s="3" t="s">
        <v>152</v>
      </c>
      <c r="L282" s="3" t="s">
        <v>152</v>
      </c>
      <c r="M282" s="3" t="s">
        <v>152</v>
      </c>
      <c r="N282" s="3" t="s">
        <v>152</v>
      </c>
      <c r="O282" s="3" t="s">
        <v>69</v>
      </c>
      <c r="Z282" s="3" t="n">
        <v>12</v>
      </c>
      <c r="AA282" s="3" t="n">
        <f aca="false">LEN(C282)</f>
        <v>12</v>
      </c>
    </row>
    <row r="283" s="3" customFormat="true" ht="15" hidden="false" customHeight="false" outlineLevel="0" collapsed="false">
      <c r="A283" s="3" t="s">
        <v>993</v>
      </c>
      <c r="B283" s="3" t="n">
        <v>1915</v>
      </c>
      <c r="C283" s="3" t="s">
        <v>994</v>
      </c>
      <c r="I283" s="3" t="s">
        <v>32</v>
      </c>
      <c r="J283" s="3" t="s">
        <v>995</v>
      </c>
      <c r="AA283" s="3" t="n">
        <f aca="false">LEN(C283)+LEN(D283)+LEN(E283)+LEN(F283)+LEN(G283)+LEN(H283)+LEN(I283)+LEN(K283)+LEN(L283)+LEN(M283)+LEN(N283)</f>
        <v>41</v>
      </c>
    </row>
    <row r="284" customFormat="false" ht="15" hidden="false" customHeight="false" outlineLevel="0" collapsed="false">
      <c r="A284" s="0" t="s">
        <v>996</v>
      </c>
      <c r="B284" s="0" t="n">
        <v>1915</v>
      </c>
      <c r="C284" s="0" t="s">
        <v>997</v>
      </c>
      <c r="I284" s="0" t="s">
        <v>40</v>
      </c>
      <c r="J284" s="0" t="s">
        <v>998</v>
      </c>
      <c r="O284" s="6" t="s">
        <v>29</v>
      </c>
      <c r="AA284" s="0" t="n">
        <f aca="false">LEN(C284)+LEN(D284)+LEN(E284)+LEN(F284)+LEN(G284)+LEN(H284)+LEN(I284)+LEN(K284)+LEN(L284)+LEN(M284)+LEN(N284)</f>
        <v>48</v>
      </c>
    </row>
    <row r="285" customFormat="false" ht="15" hidden="false" customHeight="false" outlineLevel="0" collapsed="false">
      <c r="A285" s="0" t="s">
        <v>999</v>
      </c>
      <c r="B285" s="0" t="n">
        <v>1915</v>
      </c>
      <c r="C285" s="0" t="s">
        <v>1000</v>
      </c>
      <c r="I285" s="0" t="s">
        <v>32</v>
      </c>
      <c r="J285" s="0" t="s">
        <v>1001</v>
      </c>
      <c r="O285" s="0" t="s">
        <v>29</v>
      </c>
      <c r="AA285" s="0" t="n">
        <f aca="false">LEN(C285)+LEN(D285)+LEN(E285)+LEN(F285)+LEN(G285)+LEN(H285)+LEN(I285)+LEN(K285)+LEN(L285)+LEN(M285)+LEN(N285)</f>
        <v>22</v>
      </c>
    </row>
    <row r="286" customFormat="false" ht="15" hidden="false" customHeight="false" outlineLevel="0" collapsed="false">
      <c r="A286" s="0" t="s">
        <v>1002</v>
      </c>
      <c r="B286" s="0" t="n">
        <v>1916</v>
      </c>
      <c r="C286" s="0" t="s">
        <v>1003</v>
      </c>
      <c r="I286" s="0" t="s">
        <v>32</v>
      </c>
      <c r="J286" s="0" t="s">
        <v>1004</v>
      </c>
      <c r="O286" s="6" t="s">
        <v>29</v>
      </c>
      <c r="V286" s="0" t="s">
        <v>29</v>
      </c>
      <c r="W286" s="0" t="s">
        <v>29</v>
      </c>
      <c r="X286" s="0" t="s">
        <v>29</v>
      </c>
      <c r="Y286" s="0" t="s">
        <v>29</v>
      </c>
      <c r="AA286" s="0" t="n">
        <f aca="false">LEN(C286)+LEN(D286)+LEN(E286)+LEN(F286)+LEN(G286)+LEN(H286)+LEN(I286)+LEN(K286)+LEN(L286)+LEN(M286)+LEN(N286)</f>
        <v>38</v>
      </c>
    </row>
    <row r="287" customFormat="false" ht="15" hidden="false" customHeight="false" outlineLevel="0" collapsed="false">
      <c r="A287" s="0" t="s">
        <v>1005</v>
      </c>
      <c r="B287" s="0" t="n">
        <v>1916</v>
      </c>
      <c r="C287" s="0" t="s">
        <v>682</v>
      </c>
      <c r="I287" s="0" t="s">
        <v>191</v>
      </c>
      <c r="J287" s="0" t="s">
        <v>1006</v>
      </c>
      <c r="U287" s="0" t="s">
        <v>29</v>
      </c>
      <c r="AA287" s="0" t="n">
        <f aca="false">LEN(C287)+LEN(D287)+LEN(E287)+LEN(F287)+LEN(G287)+LEN(H287)+LEN(I287)+LEN(K287)+LEN(L287)+LEN(M287)+LEN(N287)</f>
        <v>23</v>
      </c>
    </row>
    <row r="288" customFormat="false" ht="15" hidden="false" customHeight="false" outlineLevel="0" collapsed="false">
      <c r="A288" s="0" t="s">
        <v>1007</v>
      </c>
      <c r="B288" s="0" t="n">
        <v>1916</v>
      </c>
      <c r="C288" s="0" t="s">
        <v>1008</v>
      </c>
      <c r="E288" s="0" t="s">
        <v>1009</v>
      </c>
      <c r="I288" s="0" t="s">
        <v>137</v>
      </c>
      <c r="J288" s="0" t="s">
        <v>1010</v>
      </c>
      <c r="O288" s="0" t="s">
        <v>29</v>
      </c>
      <c r="AA288" s="0" t="n">
        <f aca="false">LEN(C288)+LEN(D288)+LEN(E288)+LEN(F288)+LEN(G288)+LEN(H288)+LEN(I288)+LEN(K288)+LEN(L288)+LEN(M288)+LEN(N288)</f>
        <v>81</v>
      </c>
    </row>
    <row r="289" customFormat="false" ht="15" hidden="false" customHeight="false" outlineLevel="0" collapsed="false">
      <c r="A289" s="0" t="s">
        <v>1011</v>
      </c>
      <c r="B289" s="0" t="n">
        <v>1916</v>
      </c>
      <c r="C289" s="0" t="s">
        <v>1012</v>
      </c>
      <c r="I289" s="0" t="s">
        <v>32</v>
      </c>
      <c r="J289" s="0" t="s">
        <v>1013</v>
      </c>
      <c r="AA289" s="0" t="n">
        <f aca="false">LEN(C289)+LEN(D289)+LEN(E289)+LEN(F289)+LEN(G289)+LEN(H289)+LEN(I289)+LEN(K289)+LEN(L289)+LEN(M289)+LEN(N289)</f>
        <v>43</v>
      </c>
    </row>
    <row r="290" customFormat="false" ht="15" hidden="false" customHeight="false" outlineLevel="0" collapsed="false">
      <c r="A290" s="0" t="s">
        <v>1014</v>
      </c>
      <c r="B290" s="0" t="n">
        <v>1916</v>
      </c>
      <c r="C290" s="0" t="s">
        <v>689</v>
      </c>
      <c r="I290" s="0" t="s">
        <v>32</v>
      </c>
      <c r="J290" s="0" t="s">
        <v>1015</v>
      </c>
      <c r="O290" s="0" t="s">
        <v>29</v>
      </c>
      <c r="AA290" s="0" t="n">
        <f aca="false">LEN(C290)+LEN(D290)+LEN(E290)+LEN(F290)+LEN(G290)+LEN(H290)+LEN(I290)+LEN(K290)+LEN(L290)+LEN(M290)+LEN(N290)</f>
        <v>18</v>
      </c>
    </row>
    <row r="291" customFormat="false" ht="15" hidden="false" customHeight="false" outlineLevel="0" collapsed="false">
      <c r="A291" s="0" t="s">
        <v>1016</v>
      </c>
      <c r="B291" s="0" t="n">
        <v>1916</v>
      </c>
      <c r="C291" s="0" t="s">
        <v>1017</v>
      </c>
      <c r="I291" s="0" t="s">
        <v>1018</v>
      </c>
      <c r="J291" s="0" t="s">
        <v>1019</v>
      </c>
      <c r="O291" s="0" t="s">
        <v>29</v>
      </c>
      <c r="U291" s="0" t="s">
        <v>29</v>
      </c>
      <c r="AA291" s="0" t="n">
        <f aca="false">LEN(C291)+LEN(D291)+LEN(E291)+LEN(F291)+LEN(G291)+LEN(H291)+LEN(I291)+LEN(K291)+LEN(L291)+LEN(M291)+LEN(N291)</f>
        <v>38</v>
      </c>
    </row>
    <row r="292" customFormat="false" ht="15" hidden="false" customHeight="false" outlineLevel="0" collapsed="false">
      <c r="A292" s="0" t="s">
        <v>1020</v>
      </c>
      <c r="B292" s="0" t="n">
        <v>1916</v>
      </c>
      <c r="C292" s="0" t="s">
        <v>1021</v>
      </c>
      <c r="I292" s="0" t="s">
        <v>1018</v>
      </c>
      <c r="J292" s="0" t="s">
        <v>1022</v>
      </c>
      <c r="O292" s="0" t="s">
        <v>29</v>
      </c>
      <c r="AA292" s="0" t="n">
        <f aca="false">LEN(C292)+LEN(D292)+LEN(E292)+LEN(F292)+LEN(G292)+LEN(H292)+LEN(I292)+LEN(K292)+LEN(L292)+LEN(M292)+LEN(N292)</f>
        <v>35</v>
      </c>
    </row>
    <row r="293" s="3" customFormat="true" ht="15" hidden="false" customHeight="false" outlineLevel="0" collapsed="false">
      <c r="A293" s="3" t="s">
        <v>1023</v>
      </c>
      <c r="B293" s="3" t="n">
        <v>1916</v>
      </c>
      <c r="C293" s="3" t="s">
        <v>705</v>
      </c>
      <c r="I293" s="3" t="s">
        <v>177</v>
      </c>
      <c r="J293" s="3" t="s">
        <v>1024</v>
      </c>
      <c r="AA293" s="3" t="n">
        <f aca="false">LEN(C293)+LEN(D293)+LEN(E293)+LEN(F293)+LEN(G293)+LEN(H293)+LEN(I293)+LEN(K293)+LEN(L293)+LEN(M293)+LEN(N293)</f>
        <v>41</v>
      </c>
    </row>
    <row r="294" s="3" customFormat="true" ht="15" hidden="false" customHeight="false" outlineLevel="0" collapsed="false">
      <c r="A294" s="3" t="s">
        <v>1025</v>
      </c>
      <c r="B294" s="3" t="n">
        <v>1916</v>
      </c>
      <c r="C294" s="3" t="s">
        <v>1026</v>
      </c>
      <c r="D294" s="3" t="n">
        <v>4766.444233</v>
      </c>
      <c r="I294" s="3" t="s">
        <v>32</v>
      </c>
      <c r="J294" s="3" t="s">
        <v>1027</v>
      </c>
      <c r="AA294" s="3" t="n">
        <f aca="false">LEN(C294)+LEN(D294)+LEN(E294)+LEN(F294)+LEN(G294)+LEN(H294)+LEN(I294)+LEN(K294)+LEN(L294)+LEN(M294)+LEN(N294)</f>
        <v>42</v>
      </c>
    </row>
    <row r="295" customFormat="false" ht="15" hidden="false" customHeight="false" outlineLevel="0" collapsed="false">
      <c r="A295" s="0" t="s">
        <v>1028</v>
      </c>
      <c r="B295" s="0" t="n">
        <v>1916</v>
      </c>
      <c r="C295" s="0" t="s">
        <v>1029</v>
      </c>
      <c r="I295" s="0" t="s">
        <v>32</v>
      </c>
      <c r="J295" s="0" t="s">
        <v>1030</v>
      </c>
      <c r="AA295" s="0" t="n">
        <f aca="false">LEN(C295)+LEN(D295)+LEN(E295)+LEN(F295)+LEN(G295)+LEN(H295)+LEN(I295)+LEN(K295)+LEN(L295)+LEN(M295)+LEN(N295)</f>
        <v>39</v>
      </c>
    </row>
    <row r="296" customFormat="false" ht="15" hidden="false" customHeight="false" outlineLevel="0" collapsed="false">
      <c r="A296" s="0" t="s">
        <v>1031</v>
      </c>
      <c r="B296" s="0" t="n">
        <v>1916</v>
      </c>
      <c r="C296" s="0" t="s">
        <v>1032</v>
      </c>
      <c r="I296" s="0" t="s">
        <v>1033</v>
      </c>
      <c r="J296" s="0" t="s">
        <v>1034</v>
      </c>
      <c r="O296" s="6" t="s">
        <v>29</v>
      </c>
      <c r="U296" s="0" t="s">
        <v>29</v>
      </c>
      <c r="AA296" s="0" t="n">
        <f aca="false">LEN(C296)+LEN(D296)+LEN(E296)+LEN(F296)+LEN(G296)+LEN(H296)+LEN(I296)+LEN(K296)+LEN(L296)+LEN(M296)+LEN(N296)</f>
        <v>47</v>
      </c>
    </row>
    <row r="297" customFormat="false" ht="15" hidden="false" customHeight="false" outlineLevel="0" collapsed="false">
      <c r="A297" s="0" t="s">
        <v>1035</v>
      </c>
      <c r="B297" s="0" t="n">
        <v>1916</v>
      </c>
      <c r="C297" s="0" t="s">
        <v>1036</v>
      </c>
      <c r="D297" s="0" t="s">
        <v>152</v>
      </c>
      <c r="E297" s="0" t="s">
        <v>152</v>
      </c>
      <c r="F297" s="0" t="s">
        <v>152</v>
      </c>
      <c r="G297" s="0" t="s">
        <v>152</v>
      </c>
      <c r="H297" s="0" t="s">
        <v>152</v>
      </c>
      <c r="I297" s="0" t="s">
        <v>117</v>
      </c>
      <c r="J297" s="0" t="s">
        <v>1037</v>
      </c>
      <c r="K297" s="0" t="s">
        <v>152</v>
      </c>
      <c r="L297" s="0" t="s">
        <v>152</v>
      </c>
      <c r="M297" s="0" t="s">
        <v>152</v>
      </c>
      <c r="N297" s="0" t="s">
        <v>152</v>
      </c>
      <c r="O297" s="0" t="s">
        <v>69</v>
      </c>
      <c r="Z297" s="0" t="n">
        <v>1</v>
      </c>
      <c r="AA297" s="0" t="n">
        <f aca="false">LEN(C297)</f>
        <v>25</v>
      </c>
    </row>
    <row r="298" s="3" customFormat="true" ht="15" hidden="false" customHeight="false" outlineLevel="0" collapsed="false">
      <c r="A298" s="3" t="s">
        <v>1038</v>
      </c>
      <c r="B298" s="3" t="n">
        <v>1916</v>
      </c>
      <c r="C298" s="3" t="s">
        <v>1039</v>
      </c>
      <c r="I298" s="3" t="s">
        <v>361</v>
      </c>
      <c r="J298" s="3" t="s">
        <v>1040</v>
      </c>
      <c r="AA298" s="3" t="n">
        <f aca="false">LEN(C298)+LEN(D298)+LEN(E298)+LEN(F298)+LEN(G298)+LEN(H298)+LEN(I298)+LEN(K298)+LEN(L298)+LEN(M298)+LEN(N298)</f>
        <v>27</v>
      </c>
    </row>
    <row r="299" customFormat="false" ht="15" hidden="false" customHeight="false" outlineLevel="0" collapsed="false">
      <c r="A299" s="0" t="s">
        <v>1041</v>
      </c>
      <c r="B299" s="0" t="n">
        <v>1916</v>
      </c>
      <c r="C299" s="0" t="s">
        <v>1042</v>
      </c>
      <c r="I299" s="0" t="s">
        <v>582</v>
      </c>
      <c r="J299" s="0" t="s">
        <v>1043</v>
      </c>
      <c r="O299" s="0" t="s">
        <v>29</v>
      </c>
      <c r="AA299" s="0" t="n">
        <f aca="false">LEN(C299)+LEN(D299)+LEN(E299)+LEN(F299)+LEN(G299)+LEN(H299)+LEN(I299)+LEN(K299)+LEN(L299)+LEN(M299)+LEN(N299)</f>
        <v>33</v>
      </c>
    </row>
    <row r="300" customFormat="false" ht="15" hidden="false" customHeight="false" outlineLevel="0" collapsed="false">
      <c r="A300" s="0" t="s">
        <v>1044</v>
      </c>
      <c r="B300" s="0" t="n">
        <v>1916</v>
      </c>
      <c r="C300" s="0" t="s">
        <v>1045</v>
      </c>
      <c r="I300" s="0" t="s">
        <v>1046</v>
      </c>
      <c r="J300" s="0" t="s">
        <v>1047</v>
      </c>
      <c r="O300" s="6" t="s">
        <v>29</v>
      </c>
      <c r="U300" s="0" t="s">
        <v>29</v>
      </c>
      <c r="AA300" s="0" t="n">
        <f aca="false">LEN(C300)+LEN(D300)+LEN(E300)+LEN(F300)+LEN(G300)+LEN(H300)+LEN(I300)+LEN(K300)+LEN(L300)+LEN(M300)+LEN(N300)</f>
        <v>45</v>
      </c>
    </row>
    <row r="301" customFormat="false" ht="15" hidden="false" customHeight="false" outlineLevel="0" collapsed="false">
      <c r="A301" s="0" t="s">
        <v>1048</v>
      </c>
      <c r="B301" s="0" t="n">
        <v>1916</v>
      </c>
      <c r="C301" s="0" t="s">
        <v>1049</v>
      </c>
      <c r="I301" s="0" t="s">
        <v>1050</v>
      </c>
      <c r="J301" s="0" t="s">
        <v>1051</v>
      </c>
      <c r="AA301" s="0" t="n">
        <f aca="false">LEN(C301)+LEN(D301)+LEN(E301)+LEN(F301)+LEN(G301)+LEN(H301)+LEN(I301)+LEN(K301)+LEN(L301)+LEN(M301)+LEN(N301)</f>
        <v>49</v>
      </c>
    </row>
    <row r="302" customFormat="false" ht="15" hidden="false" customHeight="false" outlineLevel="0" collapsed="false">
      <c r="A302" s="0" t="s">
        <v>1052</v>
      </c>
      <c r="B302" s="0" t="n">
        <v>1916</v>
      </c>
      <c r="C302" s="0" t="s">
        <v>1053</v>
      </c>
      <c r="I302" s="0" t="s">
        <v>1054</v>
      </c>
      <c r="J302" s="0" t="s">
        <v>1055</v>
      </c>
      <c r="O302" s="6" t="s">
        <v>29</v>
      </c>
      <c r="U302" s="0" t="s">
        <v>29</v>
      </c>
      <c r="AA302" s="0" t="n">
        <f aca="false">LEN(C302)+LEN(D302)+LEN(E302)+LEN(F302)+LEN(G302)+LEN(H302)+LEN(I302)+LEN(K302)+LEN(L302)+LEN(M302)+LEN(N302)</f>
        <v>36</v>
      </c>
    </row>
    <row r="303" customFormat="false" ht="15" hidden="false" customHeight="false" outlineLevel="0" collapsed="false">
      <c r="A303" s="0" t="s">
        <v>1056</v>
      </c>
      <c r="B303" s="0" t="n">
        <v>1916</v>
      </c>
      <c r="C303" s="0" t="s">
        <v>1053</v>
      </c>
      <c r="I303" s="0" t="s">
        <v>1054</v>
      </c>
      <c r="J303" s="0" t="s">
        <v>1057</v>
      </c>
      <c r="O303" s="6" t="s">
        <v>29</v>
      </c>
      <c r="U303" s="0" t="s">
        <v>29</v>
      </c>
      <c r="AA303" s="0" t="n">
        <f aca="false">LEN(C303)+LEN(D303)+LEN(E303)+LEN(F303)+LEN(G303)+LEN(H303)+LEN(I303)+LEN(K303)+LEN(L303)+LEN(M303)+LEN(N303)</f>
        <v>36</v>
      </c>
    </row>
    <row r="304" s="3" customFormat="true" ht="15" hidden="false" customHeight="false" outlineLevel="0" collapsed="false">
      <c r="A304" s="3" t="s">
        <v>1058</v>
      </c>
      <c r="B304" s="3" t="n">
        <v>1916</v>
      </c>
      <c r="C304" s="3" t="s">
        <v>1059</v>
      </c>
      <c r="I304" s="3" t="s">
        <v>413</v>
      </c>
      <c r="J304" s="3" t="s">
        <v>1060</v>
      </c>
      <c r="AA304" s="3" t="n">
        <f aca="false">LEN(C304)+LEN(D304)+LEN(E304)+LEN(F304)+LEN(G304)+LEN(H304)+LEN(I304)+LEN(K304)+LEN(L304)+LEN(M304)+LEN(N304)</f>
        <v>46</v>
      </c>
    </row>
    <row r="305" customFormat="false" ht="15" hidden="false" customHeight="false" outlineLevel="0" collapsed="false">
      <c r="A305" s="0" t="s">
        <v>1061</v>
      </c>
      <c r="B305" s="0" t="n">
        <v>1916</v>
      </c>
      <c r="C305" s="0" t="s">
        <v>1062</v>
      </c>
      <c r="D305" s="0" t="s">
        <v>152</v>
      </c>
      <c r="E305" s="0" t="s">
        <v>152</v>
      </c>
      <c r="F305" s="0" t="s">
        <v>152</v>
      </c>
      <c r="G305" s="0" t="s">
        <v>152</v>
      </c>
      <c r="H305" s="0" t="s">
        <v>152</v>
      </c>
      <c r="I305" s="0" t="s">
        <v>893</v>
      </c>
      <c r="J305" s="0" t="s">
        <v>1063</v>
      </c>
      <c r="K305" s="0" t="s">
        <v>152</v>
      </c>
      <c r="L305" s="0" t="s">
        <v>152</v>
      </c>
      <c r="M305" s="0" t="s">
        <v>152</v>
      </c>
      <c r="N305" s="0" t="s">
        <v>152</v>
      </c>
      <c r="O305" s="0" t="s">
        <v>69</v>
      </c>
      <c r="Z305" s="0" t="n">
        <v>2</v>
      </c>
      <c r="AA305" s="0" t="n">
        <f aca="false">LEN(C305)</f>
        <v>18</v>
      </c>
    </row>
    <row r="306" customFormat="false" ht="15" hidden="false" customHeight="false" outlineLevel="0" collapsed="false">
      <c r="A306" s="0" t="s">
        <v>1064</v>
      </c>
      <c r="B306" s="0" t="n">
        <v>1916</v>
      </c>
      <c r="C306" s="0" t="s">
        <v>1062</v>
      </c>
      <c r="D306" s="0" t="s">
        <v>152</v>
      </c>
      <c r="E306" s="0" t="s">
        <v>152</v>
      </c>
      <c r="F306" s="0" t="s">
        <v>152</v>
      </c>
      <c r="G306" s="0" t="s">
        <v>152</v>
      </c>
      <c r="H306" s="0" t="s">
        <v>152</v>
      </c>
      <c r="I306" s="0" t="s">
        <v>706</v>
      </c>
      <c r="J306" s="0" t="s">
        <v>1065</v>
      </c>
      <c r="K306" s="0" t="s">
        <v>152</v>
      </c>
      <c r="L306" s="0" t="s">
        <v>152</v>
      </c>
      <c r="M306" s="0" t="s">
        <v>152</v>
      </c>
      <c r="N306" s="0" t="s">
        <v>152</v>
      </c>
      <c r="O306" s="0" t="s">
        <v>69</v>
      </c>
      <c r="U306" s="0" t="s">
        <v>29</v>
      </c>
      <c r="Z306" s="0" t="n">
        <v>2</v>
      </c>
      <c r="AA306" s="0" t="n">
        <f aca="false">LEN(C306)</f>
        <v>18</v>
      </c>
    </row>
    <row r="307" customFormat="false" ht="15" hidden="false" customHeight="false" outlineLevel="0" collapsed="false">
      <c r="A307" s="0" t="s">
        <v>1066</v>
      </c>
      <c r="B307" s="0" t="n">
        <v>1916</v>
      </c>
      <c r="C307" s="0" t="s">
        <v>1067</v>
      </c>
      <c r="I307" s="0" t="s">
        <v>1068</v>
      </c>
      <c r="J307" s="0" t="s">
        <v>1069</v>
      </c>
      <c r="O307" s="0" t="s">
        <v>29</v>
      </c>
      <c r="AA307" s="0" t="n">
        <f aca="false">LEN(C307)+LEN(D307)+LEN(E307)+LEN(F307)+LEN(G307)+LEN(H307)+LEN(I307)+LEN(K307)+LEN(L307)+LEN(M307)+LEN(N307)</f>
        <v>50</v>
      </c>
    </row>
    <row r="308" customFormat="false" ht="15" hidden="false" customHeight="false" outlineLevel="0" collapsed="false">
      <c r="A308" s="0" t="s">
        <v>1070</v>
      </c>
      <c r="B308" s="0" t="n">
        <v>1916</v>
      </c>
      <c r="C308" s="0" t="s">
        <v>1071</v>
      </c>
      <c r="I308" s="0" t="s">
        <v>32</v>
      </c>
      <c r="J308" s="0" t="s">
        <v>1072</v>
      </c>
      <c r="O308" s="0" t="s">
        <v>29</v>
      </c>
      <c r="AA308" s="0" t="n">
        <f aca="false">LEN(C308)+LEN(D308)+LEN(E308)+LEN(F308)+LEN(G308)+LEN(H308)+LEN(I308)+LEN(K308)+LEN(L308)+LEN(M308)+LEN(N308)</f>
        <v>39</v>
      </c>
    </row>
    <row r="309" customFormat="false" ht="15" hidden="false" customHeight="false" outlineLevel="0" collapsed="false">
      <c r="A309" s="0" t="s">
        <v>1073</v>
      </c>
      <c r="B309" s="0" t="n">
        <v>1916</v>
      </c>
      <c r="C309" s="0" t="s">
        <v>873</v>
      </c>
      <c r="I309" s="0" t="s">
        <v>32</v>
      </c>
      <c r="J309" s="0" t="s">
        <v>1074</v>
      </c>
      <c r="AA309" s="0" t="n">
        <f aca="false">LEN(C309)+LEN(D309)+LEN(E309)+LEN(F309)+LEN(G309)+LEN(H309)+LEN(I309)+LEN(K309)+LEN(L309)+LEN(M309)+LEN(N309)</f>
        <v>32</v>
      </c>
    </row>
    <row r="310" s="5" customFormat="true" ht="15" hidden="false" customHeight="false" outlineLevel="0" collapsed="false">
      <c r="A310" s="5" t="s">
        <v>1075</v>
      </c>
      <c r="B310" s="5" t="n">
        <v>1916</v>
      </c>
      <c r="C310" s="5" t="s">
        <v>1076</v>
      </c>
      <c r="D310" s="5" t="s">
        <v>152</v>
      </c>
      <c r="E310" s="5" t="s">
        <v>152</v>
      </c>
      <c r="F310" s="5" t="s">
        <v>152</v>
      </c>
      <c r="G310" s="5" t="s">
        <v>152</v>
      </c>
      <c r="H310" s="5" t="s">
        <v>152</v>
      </c>
      <c r="I310" s="5" t="s">
        <v>1077</v>
      </c>
      <c r="J310" s="5" t="s">
        <v>1078</v>
      </c>
      <c r="K310" s="5" t="s">
        <v>152</v>
      </c>
      <c r="L310" s="5" t="s">
        <v>152</v>
      </c>
      <c r="M310" s="5" t="s">
        <v>152</v>
      </c>
      <c r="N310" s="5" t="s">
        <v>152</v>
      </c>
      <c r="O310" s="5" t="s">
        <v>69</v>
      </c>
      <c r="U310" s="5" t="s">
        <v>29</v>
      </c>
      <c r="Z310" s="5" t="n">
        <v>5</v>
      </c>
      <c r="AA310" s="5" t="n">
        <f aca="false">LEN(C310)</f>
        <v>32</v>
      </c>
    </row>
    <row r="311" customFormat="false" ht="15" hidden="false" customHeight="false" outlineLevel="0" collapsed="false">
      <c r="A311" s="0" t="s">
        <v>1079</v>
      </c>
      <c r="B311" s="0" t="n">
        <v>1917</v>
      </c>
      <c r="C311" s="0" t="s">
        <v>1080</v>
      </c>
      <c r="I311" s="0" t="s">
        <v>32</v>
      </c>
      <c r="J311" s="0" t="s">
        <v>1081</v>
      </c>
      <c r="AA311" s="0" t="n">
        <f aca="false">LEN(C311)+LEN(D311)+LEN(E311)+LEN(F311)+LEN(G311)+LEN(H311)+LEN(I311)+LEN(K311)+LEN(L311)+LEN(M311)+LEN(N311)</f>
        <v>18</v>
      </c>
    </row>
    <row r="312" customFormat="false" ht="15" hidden="false" customHeight="false" outlineLevel="0" collapsed="false">
      <c r="A312" s="0" t="s">
        <v>1082</v>
      </c>
      <c r="B312" s="0" t="n">
        <v>1917</v>
      </c>
      <c r="C312" s="0" t="s">
        <v>1080</v>
      </c>
      <c r="I312" s="0" t="s">
        <v>1083</v>
      </c>
      <c r="J312" s="0" t="s">
        <v>1084</v>
      </c>
      <c r="O312" s="0" t="s">
        <v>29</v>
      </c>
      <c r="AA312" s="0" t="n">
        <f aca="false">LEN(C312)+LEN(D312)+LEN(E312)+LEN(F312)+LEN(G312)+LEN(H312)+LEN(I312)+LEN(K312)+LEN(L312)+LEN(M312)+LEN(N312)</f>
        <v>18</v>
      </c>
    </row>
    <row r="313" customFormat="false" ht="15" hidden="false" customHeight="false" outlineLevel="0" collapsed="false">
      <c r="A313" s="0" t="s">
        <v>1085</v>
      </c>
      <c r="B313" s="0" t="n">
        <v>1917</v>
      </c>
      <c r="C313" s="0" t="s">
        <v>1086</v>
      </c>
      <c r="I313" s="0" t="s">
        <v>503</v>
      </c>
      <c r="J313" s="0" t="s">
        <v>1087</v>
      </c>
      <c r="O313" s="0" t="s">
        <v>29</v>
      </c>
      <c r="U313" s="0" t="s">
        <v>29</v>
      </c>
      <c r="AA313" s="0" t="n">
        <f aca="false">LEN(C313)+LEN(D313)+LEN(E313)+LEN(F313)+LEN(G313)+LEN(H313)+LEN(I313)+LEN(K313)+LEN(L313)+LEN(M313)+LEN(N313)</f>
        <v>38</v>
      </c>
    </row>
    <row r="314" customFormat="false" ht="15" hidden="false" customHeight="false" outlineLevel="0" collapsed="false">
      <c r="A314" s="0" t="s">
        <v>1088</v>
      </c>
      <c r="B314" s="0" t="n">
        <v>1917</v>
      </c>
      <c r="C314" s="0" t="s">
        <v>1089</v>
      </c>
      <c r="I314" s="0" t="s">
        <v>92</v>
      </c>
      <c r="J314" s="0" t="s">
        <v>1090</v>
      </c>
      <c r="O314" s="6" t="s">
        <v>29</v>
      </c>
      <c r="AA314" s="0" t="n">
        <f aca="false">LEN(C314)+LEN(D314)+LEN(E314)+LEN(F314)+LEN(G314)+LEN(H314)+LEN(I314)+LEN(K314)+LEN(L314)+LEN(M314)+LEN(N314)</f>
        <v>40</v>
      </c>
    </row>
    <row r="315" customFormat="false" ht="15" hidden="false" customHeight="false" outlineLevel="0" collapsed="false">
      <c r="A315" s="0" t="s">
        <v>1091</v>
      </c>
      <c r="B315" s="0" t="n">
        <v>1917</v>
      </c>
      <c r="C315" s="0" t="s">
        <v>1092</v>
      </c>
      <c r="I315" s="0" t="s">
        <v>32</v>
      </c>
      <c r="J315" s="0" t="s">
        <v>1093</v>
      </c>
      <c r="O315" s="0" t="s">
        <v>29</v>
      </c>
      <c r="AA315" s="0" t="n">
        <f aca="false">LEN(C315)+LEN(D315)+LEN(E315)+LEN(F315)+LEN(G315)+LEN(H315)+LEN(I315)+LEN(K315)+LEN(L315)+LEN(M315)+LEN(N315)</f>
        <v>30</v>
      </c>
    </row>
    <row r="316" customFormat="false" ht="15" hidden="false" customHeight="false" outlineLevel="0" collapsed="false">
      <c r="A316" s="0" t="s">
        <v>1094</v>
      </c>
      <c r="B316" s="0" t="n">
        <v>1917</v>
      </c>
      <c r="C316" s="0" t="s">
        <v>843</v>
      </c>
      <c r="D316" s="7" t="n">
        <v>15000000</v>
      </c>
      <c r="I316" s="0" t="s">
        <v>520</v>
      </c>
      <c r="J316" s="0" t="s">
        <v>1095</v>
      </c>
      <c r="O316" s="0" t="s">
        <v>29</v>
      </c>
      <c r="AA316" s="0" t="n">
        <f aca="false">LEN(C316)+LEN(D316)+LEN(E316)+LEN(F316)+LEN(G316)+LEN(H316)+LEN(I316)+LEN(K316)+LEN(L316)+LEN(M316)+LEN(N316)</f>
        <v>64</v>
      </c>
    </row>
    <row r="317" customFormat="false" ht="15" hidden="false" customHeight="false" outlineLevel="0" collapsed="false">
      <c r="A317" s="0" t="s">
        <v>1096</v>
      </c>
      <c r="B317" s="0" t="n">
        <v>1917</v>
      </c>
      <c r="C317" s="0" t="s">
        <v>1097</v>
      </c>
      <c r="I317" s="0" t="s">
        <v>598</v>
      </c>
      <c r="J317" s="0" t="s">
        <v>1098</v>
      </c>
      <c r="AA317" s="0" t="n">
        <f aca="false">LEN(C317)+LEN(D317)+LEN(E317)+LEN(F317)+LEN(G317)+LEN(H317)+LEN(I317)+LEN(K317)+LEN(L317)+LEN(M317)+LEN(N317)</f>
        <v>44</v>
      </c>
    </row>
    <row r="318" customFormat="false" ht="15" hidden="false" customHeight="false" outlineLevel="0" collapsed="false">
      <c r="A318" s="0" t="s">
        <v>1099</v>
      </c>
      <c r="B318" s="0" t="n">
        <v>1917</v>
      </c>
      <c r="C318" s="0" t="s">
        <v>1100</v>
      </c>
      <c r="D318" s="0" t="s">
        <v>152</v>
      </c>
      <c r="E318" s="0" t="s">
        <v>152</v>
      </c>
      <c r="F318" s="0" t="s">
        <v>152</v>
      </c>
      <c r="G318" s="0" t="s">
        <v>152</v>
      </c>
      <c r="H318" s="0" t="s">
        <v>152</v>
      </c>
      <c r="I318" s="0" t="s">
        <v>32</v>
      </c>
      <c r="J318" s="0" t="s">
        <v>1101</v>
      </c>
      <c r="K318" s="0" t="s">
        <v>152</v>
      </c>
      <c r="L318" s="0" t="s">
        <v>152</v>
      </c>
      <c r="M318" s="0" t="s">
        <v>152</v>
      </c>
      <c r="N318" s="0" t="s">
        <v>152</v>
      </c>
      <c r="O318" s="0" t="s">
        <v>69</v>
      </c>
      <c r="Z318" s="0" t="n">
        <v>1</v>
      </c>
      <c r="AA318" s="0" t="n">
        <f aca="false">LEN(C318)</f>
        <v>16</v>
      </c>
    </row>
    <row r="319" s="3" customFormat="true" ht="15" hidden="false" customHeight="false" outlineLevel="0" collapsed="false">
      <c r="A319" s="3" t="s">
        <v>1102</v>
      </c>
      <c r="B319" s="3" t="n">
        <v>1917</v>
      </c>
      <c r="C319" s="3" t="s">
        <v>1103</v>
      </c>
      <c r="I319" s="3" t="s">
        <v>293</v>
      </c>
      <c r="J319" s="3" t="s">
        <v>1104</v>
      </c>
      <c r="AA319" s="3" t="n">
        <f aca="false">LEN(C319)+LEN(D319)+LEN(E319)+LEN(F319)+LEN(G319)+LEN(H319)+LEN(I319)+LEN(K319)+LEN(L319)+LEN(M319)+LEN(N319)</f>
        <v>31</v>
      </c>
    </row>
    <row r="320" customFormat="false" ht="15" hidden="false" customHeight="false" outlineLevel="0" collapsed="false">
      <c r="A320" s="0" t="s">
        <v>1105</v>
      </c>
      <c r="B320" s="0" t="n">
        <v>1917</v>
      </c>
      <c r="C320" s="0" t="s">
        <v>1106</v>
      </c>
      <c r="I320" s="0" t="s">
        <v>32</v>
      </c>
      <c r="J320" s="0" t="s">
        <v>1107</v>
      </c>
      <c r="AA320" s="0" t="n">
        <f aca="false">LEN(C320)+LEN(D320)+LEN(E320)+LEN(F320)+LEN(G320)+LEN(H320)+LEN(I320)+LEN(K320)+LEN(L320)+LEN(M320)+LEN(N320)</f>
        <v>23</v>
      </c>
    </row>
    <row r="321" customFormat="false" ht="15" hidden="false" customHeight="false" outlineLevel="0" collapsed="false">
      <c r="A321" s="0" t="s">
        <v>1108</v>
      </c>
      <c r="B321" s="0" t="n">
        <v>1917</v>
      </c>
      <c r="C321" s="0" t="s">
        <v>1109</v>
      </c>
      <c r="I321" s="0" t="s">
        <v>145</v>
      </c>
      <c r="J321" s="0" t="s">
        <v>1110</v>
      </c>
      <c r="O321" s="0" t="s">
        <v>29</v>
      </c>
      <c r="AA321" s="0" t="n">
        <f aca="false">LEN(C321)+LEN(D321)+LEN(E321)+LEN(F321)+LEN(G321)+LEN(H321)+LEN(I321)+LEN(K321)+LEN(L321)+LEN(M321)+LEN(N321)</f>
        <v>44</v>
      </c>
    </row>
    <row r="322" customFormat="false" ht="15" hidden="false" customHeight="false" outlineLevel="0" collapsed="false">
      <c r="A322" s="0" t="s">
        <v>1111</v>
      </c>
      <c r="B322" s="0" t="n">
        <v>1917</v>
      </c>
      <c r="C322" s="0" t="s">
        <v>1112</v>
      </c>
      <c r="I322" s="0" t="s">
        <v>177</v>
      </c>
      <c r="J322" s="0" t="s">
        <v>1113</v>
      </c>
      <c r="O322" s="0" t="s">
        <v>29</v>
      </c>
      <c r="AA322" s="0" t="n">
        <f aca="false">LEN(C322)+LEN(D322)+LEN(E322)+LEN(F322)+LEN(G322)+LEN(H322)+LEN(I322)+LEN(K322)+LEN(L322)+LEN(M322)+LEN(N322)</f>
        <v>39</v>
      </c>
    </row>
    <row r="323" customFormat="false" ht="15" hidden="false" customHeight="false" outlineLevel="0" collapsed="false">
      <c r="A323" s="0" t="s">
        <v>1114</v>
      </c>
      <c r="B323" s="0" t="n">
        <v>1917</v>
      </c>
      <c r="C323" s="0" t="s">
        <v>1115</v>
      </c>
      <c r="I323" s="0" t="s">
        <v>582</v>
      </c>
      <c r="J323" s="0" t="s">
        <v>1116</v>
      </c>
      <c r="AA323" s="0" t="n">
        <f aca="false">LEN(C323)+LEN(D323)+LEN(E323)+LEN(F323)+LEN(G323)+LEN(H323)+LEN(I323)+LEN(K323)+LEN(L323)+LEN(M323)+LEN(N323)</f>
        <v>44</v>
      </c>
    </row>
    <row r="324" customFormat="false" ht="15" hidden="false" customHeight="false" outlineLevel="0" collapsed="false">
      <c r="A324" s="0" t="s">
        <v>1117</v>
      </c>
      <c r="B324" s="0" t="n">
        <v>1917</v>
      </c>
      <c r="C324" s="0" t="s">
        <v>1118</v>
      </c>
      <c r="I324" s="0" t="s">
        <v>533</v>
      </c>
      <c r="J324" s="0" t="s">
        <v>1119</v>
      </c>
      <c r="O324" s="0" t="s">
        <v>134</v>
      </c>
      <c r="AA324" s="0" t="n">
        <f aca="false">LEN(C324)+LEN(D324)+LEN(E324)+LEN(F324)+LEN(G324)+LEN(H324)+LEN(I324)+LEN(K324)+LEN(L324)+LEN(M324)+LEN(N324)</f>
        <v>35</v>
      </c>
    </row>
    <row r="325" customFormat="false" ht="15" hidden="false" customHeight="false" outlineLevel="0" collapsed="false">
      <c r="A325" s="0" t="s">
        <v>1120</v>
      </c>
      <c r="B325" s="0" t="n">
        <v>1917</v>
      </c>
      <c r="C325" s="0" t="s">
        <v>1121</v>
      </c>
      <c r="I325" s="0" t="s">
        <v>1046</v>
      </c>
      <c r="J325" s="0" t="s">
        <v>1122</v>
      </c>
      <c r="O325" s="0" t="s">
        <v>29</v>
      </c>
      <c r="U325" s="0" t="s">
        <v>29</v>
      </c>
      <c r="AA325" s="0" t="n">
        <f aca="false">LEN(C325)+LEN(D325)+LEN(E325)+LEN(F325)+LEN(G325)+LEN(H325)+LEN(I325)+LEN(K325)+LEN(L325)+LEN(M325)+LEN(N325)</f>
        <v>15</v>
      </c>
    </row>
    <row r="326" customFormat="false" ht="15" hidden="false" customHeight="false" outlineLevel="0" collapsed="false">
      <c r="A326" s="0" t="s">
        <v>1123</v>
      </c>
      <c r="B326" s="0" t="n">
        <v>1917</v>
      </c>
      <c r="C326" s="0" t="s">
        <v>1124</v>
      </c>
      <c r="I326" s="0" t="s">
        <v>1125</v>
      </c>
      <c r="J326" s="0" t="s">
        <v>1126</v>
      </c>
      <c r="O326" s="6" t="s">
        <v>134</v>
      </c>
      <c r="P326" s="0" t="s">
        <v>29</v>
      </c>
      <c r="AA326" s="0" t="n">
        <f aca="false">LEN(C326)+LEN(D326)+LEN(E326)+LEN(F326)+LEN(G326)+LEN(H326)+LEN(I326)+LEN(K326)+LEN(L326)+LEN(M326)+LEN(N326)</f>
        <v>35</v>
      </c>
    </row>
    <row r="327" customFormat="false" ht="15" hidden="false" customHeight="false" outlineLevel="0" collapsed="false">
      <c r="A327" s="0" t="s">
        <v>1127</v>
      </c>
      <c r="B327" s="0" t="n">
        <v>1917</v>
      </c>
      <c r="C327" s="0" t="s">
        <v>1128</v>
      </c>
      <c r="I327" s="0" t="s">
        <v>1129</v>
      </c>
      <c r="J327" s="0" t="s">
        <v>1130</v>
      </c>
      <c r="O327" s="0" t="s">
        <v>29</v>
      </c>
      <c r="AA327" s="0" t="n">
        <f aca="false">LEN(C327)+LEN(D327)+LEN(E327)+LEN(F327)+LEN(G327)+LEN(H327)+LEN(I327)+LEN(K327)+LEN(L327)+LEN(M327)+LEN(N327)</f>
        <v>49</v>
      </c>
    </row>
    <row r="328" customFormat="false" ht="15" hidden="false" customHeight="false" outlineLevel="0" collapsed="false">
      <c r="A328" s="0" t="s">
        <v>1131</v>
      </c>
      <c r="B328" s="0" t="n">
        <v>1917</v>
      </c>
      <c r="C328" s="0" t="s">
        <v>1132</v>
      </c>
      <c r="J328" s="0" t="s">
        <v>1133</v>
      </c>
      <c r="U328" s="0" t="s">
        <v>29</v>
      </c>
      <c r="AA328" s="0" t="n">
        <f aca="false">LEN(C328)+LEN(D328)+LEN(E328)+LEN(F328)+LEN(G328)+LEN(H328)+LEN(I328)+LEN(K328)+LEN(L328)+LEN(M328)+LEN(N328)</f>
        <v>24</v>
      </c>
    </row>
    <row r="329" customFormat="false" ht="15" hidden="false" customHeight="false" outlineLevel="0" collapsed="false">
      <c r="A329" s="0" t="s">
        <v>1134</v>
      </c>
      <c r="B329" s="0" t="n">
        <v>1917</v>
      </c>
      <c r="C329" s="0" t="s">
        <v>1135</v>
      </c>
      <c r="I329" s="0" t="s">
        <v>32</v>
      </c>
      <c r="J329" s="0" t="s">
        <v>1136</v>
      </c>
      <c r="O329" s="0" t="s">
        <v>29</v>
      </c>
      <c r="AA329" s="0" t="n">
        <f aca="false">LEN(C329)+LEN(D329)+LEN(E329)+LEN(F329)+LEN(G329)+LEN(H329)+LEN(I329)+LEN(K329)+LEN(L329)+LEN(M329)+LEN(N329)</f>
        <v>25</v>
      </c>
    </row>
    <row r="330" customFormat="false" ht="15" hidden="false" customHeight="false" outlineLevel="0" collapsed="false">
      <c r="A330" s="0" t="s">
        <v>1137</v>
      </c>
      <c r="B330" s="0" t="n">
        <v>1917</v>
      </c>
      <c r="C330" s="0" t="s">
        <v>1138</v>
      </c>
      <c r="I330" s="0" t="s">
        <v>559</v>
      </c>
      <c r="J330" s="0" t="s">
        <v>1139</v>
      </c>
      <c r="K330" s="0" t="s">
        <v>1140</v>
      </c>
      <c r="L330" s="0" t="s">
        <v>393</v>
      </c>
      <c r="N330" s="0" t="s">
        <v>110</v>
      </c>
      <c r="O330" s="0" t="s">
        <v>29</v>
      </c>
      <c r="V330" s="0" t="s">
        <v>29</v>
      </c>
      <c r="W330" s="0" t="s">
        <v>29</v>
      </c>
      <c r="X330" s="0" t="s">
        <v>29</v>
      </c>
      <c r="AA330" s="0" t="n">
        <f aca="false">LEN(C330)+LEN(D330)+LEN(E330)+LEN(F330)+LEN(G330)+LEN(H330)+LEN(I330)+LEN(K330)+LEN(L330)+LEN(M330)+LEN(N330)</f>
        <v>56</v>
      </c>
    </row>
    <row r="331" customFormat="false" ht="15" hidden="false" customHeight="false" outlineLevel="0" collapsed="false">
      <c r="A331" s="0" t="s">
        <v>1141</v>
      </c>
      <c r="B331" s="0" t="n">
        <v>1917</v>
      </c>
      <c r="C331" s="0" t="s">
        <v>1142</v>
      </c>
      <c r="I331" s="0" t="s">
        <v>32</v>
      </c>
      <c r="J331" s="0" t="s">
        <v>1143</v>
      </c>
      <c r="O331" s="0" t="s">
        <v>29</v>
      </c>
      <c r="AA331" s="0" t="n">
        <f aca="false">LEN(C331)+LEN(D331)+LEN(E331)+LEN(F331)+LEN(G331)+LEN(H331)+LEN(I331)+LEN(K331)+LEN(L331)+LEN(M331)+LEN(N331)</f>
        <v>27</v>
      </c>
    </row>
    <row r="332" customFormat="false" ht="15" hidden="false" customHeight="false" outlineLevel="0" collapsed="false">
      <c r="A332" s="0" t="s">
        <v>1144</v>
      </c>
      <c r="B332" s="0" t="n">
        <v>1917</v>
      </c>
      <c r="C332" s="0" t="s">
        <v>1145</v>
      </c>
      <c r="D332" s="0" t="s">
        <v>152</v>
      </c>
      <c r="E332" s="0" t="s">
        <v>152</v>
      </c>
      <c r="F332" s="0" t="s">
        <v>152</v>
      </c>
      <c r="G332" s="0" t="s">
        <v>152</v>
      </c>
      <c r="H332" s="0" t="s">
        <v>152</v>
      </c>
      <c r="I332" s="0" t="s">
        <v>503</v>
      </c>
      <c r="J332" s="0" t="s">
        <v>1146</v>
      </c>
      <c r="K332" s="0" t="s">
        <v>152</v>
      </c>
      <c r="L332" s="0" t="s">
        <v>152</v>
      </c>
      <c r="M332" s="0" t="s">
        <v>152</v>
      </c>
      <c r="N332" s="0" t="s">
        <v>152</v>
      </c>
      <c r="O332" s="0" t="s">
        <v>69</v>
      </c>
      <c r="U332" s="0" t="s">
        <v>29</v>
      </c>
      <c r="Z332" s="0" t="n">
        <v>1</v>
      </c>
      <c r="AA332" s="0" t="n">
        <f aca="false">LEN(C332)</f>
        <v>20</v>
      </c>
    </row>
    <row r="333" customFormat="false" ht="15" hidden="false" customHeight="false" outlineLevel="0" collapsed="false">
      <c r="A333" s="0" t="s">
        <v>1147</v>
      </c>
      <c r="B333" s="0" t="n">
        <v>1917</v>
      </c>
      <c r="C333" s="0" t="s">
        <v>1148</v>
      </c>
      <c r="I333" s="0" t="s">
        <v>32</v>
      </c>
      <c r="J333" s="0" t="s">
        <v>1149</v>
      </c>
      <c r="O333" s="0" t="s">
        <v>134</v>
      </c>
      <c r="Q333" s="0" t="s">
        <v>29</v>
      </c>
      <c r="AA333" s="0" t="n">
        <f aca="false">LEN(C333)+LEN(D333)+LEN(E333)+LEN(F333)+LEN(G333)+LEN(H333)+LEN(I333)+LEN(K333)+LEN(L333)+LEN(M333)+LEN(N333)</f>
        <v>21</v>
      </c>
    </row>
    <row r="334" customFormat="false" ht="15" hidden="false" customHeight="false" outlineLevel="0" collapsed="false">
      <c r="A334" s="0" t="s">
        <v>1150</v>
      </c>
      <c r="B334" s="0" t="n">
        <v>1917</v>
      </c>
      <c r="C334" s="0" t="s">
        <v>1151</v>
      </c>
      <c r="I334" s="0" t="s">
        <v>227</v>
      </c>
      <c r="J334" s="0" t="s">
        <v>1152</v>
      </c>
      <c r="O334" s="0" t="s">
        <v>29</v>
      </c>
      <c r="U334" s="0" t="s">
        <v>29</v>
      </c>
      <c r="AA334" s="0" t="n">
        <f aca="false">LEN(C334)+LEN(D334)+LEN(E334)+LEN(F334)+LEN(G334)+LEN(H334)+LEN(I334)+LEN(K334)+LEN(L334)+LEN(M334)+LEN(N334)</f>
        <v>45</v>
      </c>
    </row>
    <row r="335" customFormat="false" ht="15" hidden="false" customHeight="false" outlineLevel="0" collapsed="false">
      <c r="A335" s="0" t="s">
        <v>1153</v>
      </c>
      <c r="B335" s="0" t="n">
        <v>1917</v>
      </c>
      <c r="C335" s="0" t="s">
        <v>1154</v>
      </c>
      <c r="I335" s="0" t="s">
        <v>32</v>
      </c>
      <c r="J335" s="0" t="s">
        <v>1155</v>
      </c>
      <c r="O335" s="0" t="s">
        <v>134</v>
      </c>
      <c r="Q335" s="0" t="s">
        <v>29</v>
      </c>
      <c r="AA335" s="0" t="n">
        <f aca="false">LEN(C335)+LEN(D335)+LEN(E335)+LEN(F335)+LEN(G335)+LEN(H335)+LEN(I335)+LEN(K335)+LEN(L335)+LEN(M335)+LEN(N335)</f>
        <v>41</v>
      </c>
    </row>
    <row r="336" customFormat="false" ht="15" hidden="false" customHeight="false" outlineLevel="0" collapsed="false">
      <c r="A336" s="0" t="s">
        <v>1156</v>
      </c>
      <c r="B336" s="0" t="n">
        <v>1917</v>
      </c>
      <c r="C336" s="0" t="s">
        <v>1157</v>
      </c>
      <c r="I336" s="0" t="s">
        <v>32</v>
      </c>
      <c r="J336" s="0" t="s">
        <v>1158</v>
      </c>
      <c r="AA336" s="0" t="n">
        <f aca="false">LEN(C336)+LEN(D336)+LEN(E336)+LEN(F336)+LEN(G336)+LEN(H336)+LEN(I336)+LEN(K336)+LEN(L336)+LEN(M336)+LEN(N336)</f>
        <v>30</v>
      </c>
    </row>
    <row r="337" customFormat="false" ht="15" hidden="false" customHeight="false" outlineLevel="0" collapsed="false">
      <c r="A337" s="0" t="s">
        <v>1159</v>
      </c>
      <c r="B337" s="0" t="n">
        <v>1919</v>
      </c>
      <c r="C337" s="0" t="s">
        <v>1160</v>
      </c>
      <c r="I337" s="0" t="s">
        <v>145</v>
      </c>
      <c r="J337" s="0" t="s">
        <v>1161</v>
      </c>
      <c r="O337" s="0" t="s">
        <v>29</v>
      </c>
      <c r="AA337" s="0" t="n">
        <f aca="false">LEN(C337)+LEN(D337)+LEN(E337)+LEN(F337)+LEN(G337)+LEN(H337)+LEN(I337)+LEN(K337)+LEN(L337)+LEN(M337)+LEN(N337)</f>
        <v>37</v>
      </c>
    </row>
    <row r="338" customFormat="false" ht="15" hidden="false" customHeight="false" outlineLevel="0" collapsed="false">
      <c r="A338" s="0" t="s">
        <v>1162</v>
      </c>
      <c r="B338" s="0" t="n">
        <v>1919</v>
      </c>
      <c r="C338" s="0" t="s">
        <v>1163</v>
      </c>
      <c r="I338" s="0" t="s">
        <v>1018</v>
      </c>
      <c r="J338" s="0" t="s">
        <v>1164</v>
      </c>
      <c r="O338" s="0" t="s">
        <v>29</v>
      </c>
      <c r="AA338" s="0" t="n">
        <f aca="false">LEN(C338)+LEN(D338)+LEN(E338)+LEN(F338)+LEN(G338)+LEN(H338)+LEN(I338)+LEN(K338)+LEN(L338)+LEN(M338)+LEN(N338)</f>
        <v>15</v>
      </c>
    </row>
    <row r="339" customFormat="false" ht="15" hidden="false" customHeight="false" outlineLevel="0" collapsed="false">
      <c r="A339" s="0" t="s">
        <v>1165</v>
      </c>
      <c r="B339" s="0" t="n">
        <v>1919</v>
      </c>
      <c r="C339" s="0" t="s">
        <v>1166</v>
      </c>
      <c r="I339" s="0" t="s">
        <v>88</v>
      </c>
      <c r="J339" s="0" t="s">
        <v>1167</v>
      </c>
      <c r="O339" s="0" t="s">
        <v>29</v>
      </c>
      <c r="AA339" s="0" t="n">
        <f aca="false">LEN(C339)+LEN(D339)+LEN(E339)+LEN(F339)+LEN(G339)+LEN(H339)+LEN(I339)+LEN(K339)+LEN(L339)+LEN(M339)+LEN(N339)</f>
        <v>44</v>
      </c>
    </row>
    <row r="340" customFormat="false" ht="15" hidden="false" customHeight="false" outlineLevel="0" collapsed="false">
      <c r="A340" s="0" t="s">
        <v>1168</v>
      </c>
      <c r="B340" s="0" t="n">
        <v>1919</v>
      </c>
      <c r="C340" s="0" t="s">
        <v>1169</v>
      </c>
      <c r="I340" s="0" t="s">
        <v>32</v>
      </c>
      <c r="J340" s="0" t="s">
        <v>1170</v>
      </c>
      <c r="O340" s="6" t="s">
        <v>29</v>
      </c>
      <c r="AA340" s="0" t="n">
        <f aca="false">LEN(C340)+LEN(D340)+LEN(E340)+LEN(F340)+LEN(G340)+LEN(H340)+LEN(I340)+LEN(K340)+LEN(L340)+LEN(M340)+LEN(N340)</f>
        <v>33</v>
      </c>
    </row>
    <row r="341" customFormat="false" ht="15" hidden="false" customHeight="false" outlineLevel="0" collapsed="false">
      <c r="A341" s="0" t="s">
        <v>1171</v>
      </c>
      <c r="B341" s="0" t="n">
        <v>1919</v>
      </c>
      <c r="C341" s="0" t="s">
        <v>1172</v>
      </c>
      <c r="I341" s="0" t="s">
        <v>137</v>
      </c>
      <c r="J341" s="0" t="s">
        <v>1173</v>
      </c>
      <c r="K341" s="0" t="s">
        <v>1174</v>
      </c>
      <c r="L341" s="0" t="s">
        <v>29</v>
      </c>
      <c r="N341" s="0" t="s">
        <v>214</v>
      </c>
      <c r="V341" s="0" t="s">
        <v>29</v>
      </c>
      <c r="W341" s="0" t="s">
        <v>29</v>
      </c>
      <c r="X341" s="0" t="s">
        <v>29</v>
      </c>
      <c r="AA341" s="0" t="n">
        <f aca="false">LEN(C341)+LEN(D341)+LEN(E341)+LEN(F341)+LEN(G341)+LEN(H341)+LEN(I341)+LEN(K341)+LEN(L341)+LEN(M341)+LEN(N341)</f>
        <v>61</v>
      </c>
    </row>
    <row r="342" customFormat="false" ht="15" hidden="false" customHeight="false" outlineLevel="0" collapsed="false">
      <c r="A342" s="0" t="s">
        <v>1175</v>
      </c>
      <c r="B342" s="0" t="n">
        <v>1919</v>
      </c>
      <c r="C342" s="0" t="s">
        <v>1176</v>
      </c>
      <c r="I342" s="0" t="s">
        <v>1177</v>
      </c>
      <c r="J342" s="0" t="s">
        <v>1178</v>
      </c>
      <c r="O342" s="6" t="s">
        <v>29</v>
      </c>
      <c r="U342" s="0" t="s">
        <v>29</v>
      </c>
      <c r="AA342" s="0" t="n">
        <f aca="false">LEN(C342)+LEN(D342)+LEN(E342)+LEN(F342)+LEN(G342)+LEN(H342)+LEN(I342)+LEN(K342)+LEN(L342)+LEN(M342)+LEN(N342)</f>
        <v>22</v>
      </c>
    </row>
    <row r="343" customFormat="false" ht="15" hidden="false" customHeight="false" outlineLevel="0" collapsed="false">
      <c r="A343" s="0" t="s">
        <v>1179</v>
      </c>
      <c r="B343" s="0" t="n">
        <v>1919</v>
      </c>
      <c r="C343" s="0" t="s">
        <v>1180</v>
      </c>
      <c r="I343" s="0" t="s">
        <v>32</v>
      </c>
      <c r="J343" s="0" t="s">
        <v>1181</v>
      </c>
      <c r="O343" s="0" t="s">
        <v>29</v>
      </c>
      <c r="Q343" s="0" t="s">
        <v>29</v>
      </c>
      <c r="AA343" s="0" t="n">
        <f aca="false">LEN(C343)+LEN(D343)+LEN(E343)+LEN(F343)+LEN(G343)+LEN(H343)+LEN(I343)+LEN(K343)+LEN(L343)+LEN(M343)+LEN(N343)</f>
        <v>20</v>
      </c>
    </row>
    <row r="344" customFormat="false" ht="15" hidden="false" customHeight="false" outlineLevel="0" collapsed="false">
      <c r="A344" s="0" t="s">
        <v>1182</v>
      </c>
      <c r="B344" s="0" t="n">
        <v>1919</v>
      </c>
      <c r="C344" s="0" t="s">
        <v>1183</v>
      </c>
      <c r="I344" s="0" t="s">
        <v>1184</v>
      </c>
      <c r="J344" s="0" t="s">
        <v>1185</v>
      </c>
      <c r="U344" s="0" t="s">
        <v>29</v>
      </c>
      <c r="AA344" s="0" t="n">
        <f aca="false">LEN(C344)+LEN(D344)+LEN(E344)+LEN(F344)+LEN(G344)+LEN(H344)+LEN(I344)+LEN(K344)+LEN(L344)+LEN(M344)+LEN(N344)</f>
        <v>45</v>
      </c>
    </row>
    <row r="345" customFormat="false" ht="15" hidden="false" customHeight="false" outlineLevel="0" collapsed="false">
      <c r="A345" s="0" t="s">
        <v>1186</v>
      </c>
      <c r="B345" s="0" t="n">
        <v>1919</v>
      </c>
      <c r="C345" s="0" t="s">
        <v>1187</v>
      </c>
      <c r="I345" s="0" t="s">
        <v>32</v>
      </c>
      <c r="J345" s="0" t="s">
        <v>1188</v>
      </c>
      <c r="K345" s="0" t="s">
        <v>1189</v>
      </c>
      <c r="L345" s="0" t="s">
        <v>1190</v>
      </c>
      <c r="M345" s="0" t="s">
        <v>964</v>
      </c>
      <c r="N345" s="0" t="s">
        <v>110</v>
      </c>
      <c r="O345" s="0" t="s">
        <v>134</v>
      </c>
      <c r="V345" s="0" t="s">
        <v>29</v>
      </c>
      <c r="W345" s="0" t="s">
        <v>29</v>
      </c>
      <c r="X345" s="0" t="s">
        <v>29</v>
      </c>
      <c r="Y345" s="0" t="s">
        <v>29</v>
      </c>
      <c r="AA345" s="0" t="n">
        <f aca="false">LEN(C345)+LEN(D345)+LEN(E345)+LEN(F345)+LEN(G345)+LEN(H345)+LEN(I345)+LEN(K345)+LEN(L345)+LEN(M345)+LEN(N345)</f>
        <v>45</v>
      </c>
    </row>
    <row r="346" customFormat="false" ht="15" hidden="false" customHeight="false" outlineLevel="0" collapsed="false">
      <c r="A346" s="0" t="s">
        <v>1191</v>
      </c>
      <c r="B346" s="0" t="n">
        <v>1919</v>
      </c>
      <c r="C346" s="0" t="s">
        <v>1192</v>
      </c>
      <c r="I346" s="0" t="s">
        <v>177</v>
      </c>
      <c r="J346" s="0" t="s">
        <v>1193</v>
      </c>
      <c r="O346" s="0" t="s">
        <v>29</v>
      </c>
      <c r="AA346" s="0" t="n">
        <f aca="false">LEN(C346)+LEN(D346)+LEN(E346)+LEN(F346)+LEN(G346)+LEN(H346)+LEN(I346)+LEN(K346)+LEN(L346)+LEN(M346)+LEN(N346)</f>
        <v>39</v>
      </c>
    </row>
    <row r="347" customFormat="false" ht="15" hidden="false" customHeight="false" outlineLevel="0" collapsed="false">
      <c r="A347" s="0" t="s">
        <v>1194</v>
      </c>
      <c r="B347" s="0" t="n">
        <v>1919</v>
      </c>
      <c r="C347" s="0" t="s">
        <v>1195</v>
      </c>
      <c r="I347" s="0" t="s">
        <v>1196</v>
      </c>
      <c r="J347" s="0" t="s">
        <v>1197</v>
      </c>
      <c r="U347" s="0" t="s">
        <v>29</v>
      </c>
      <c r="AA347" s="0" t="n">
        <f aca="false">LEN(C347)+LEN(D347)+LEN(E347)+LEN(F347)+LEN(G347)+LEN(H347)+LEN(I347)+LEN(K347)+LEN(L347)+LEN(M347)+LEN(N347)</f>
        <v>78</v>
      </c>
    </row>
    <row r="348" customFormat="false" ht="15" hidden="false" customHeight="false" outlineLevel="0" collapsed="false">
      <c r="A348" s="0" t="s">
        <v>1198</v>
      </c>
      <c r="B348" s="0" t="n">
        <v>1919</v>
      </c>
      <c r="C348" s="0" t="s">
        <v>1199</v>
      </c>
      <c r="I348" s="0" t="s">
        <v>1200</v>
      </c>
      <c r="J348" s="0" t="s">
        <v>1201</v>
      </c>
      <c r="O348" s="0" t="s">
        <v>29</v>
      </c>
      <c r="AA348" s="0" t="n">
        <f aca="false">LEN(C348)+LEN(D348)+LEN(E348)+LEN(F348)+LEN(G348)+LEN(H348)+LEN(I348)+LEN(K348)+LEN(L348)+LEN(M348)+LEN(N348)</f>
        <v>39</v>
      </c>
    </row>
    <row r="349" s="3" customFormat="true" ht="15" hidden="false" customHeight="false" outlineLevel="0" collapsed="false">
      <c r="A349" s="3" t="s">
        <v>1202</v>
      </c>
      <c r="B349" s="3" t="n">
        <v>1919</v>
      </c>
      <c r="C349" s="3" t="s">
        <v>1203</v>
      </c>
      <c r="I349" s="3" t="s">
        <v>32</v>
      </c>
      <c r="J349" s="3" t="s">
        <v>1204</v>
      </c>
      <c r="P349" s="3" t="s">
        <v>29</v>
      </c>
      <c r="AA349" s="3" t="n">
        <f aca="false">LEN(C349)+LEN(D349)+LEN(E349)+LEN(F349)+LEN(G349)+LEN(H349)+LEN(I349)+LEN(K349)+LEN(L349)+LEN(M349)+LEN(N349)</f>
        <v>14</v>
      </c>
    </row>
    <row r="350" customFormat="false" ht="15" hidden="false" customHeight="false" outlineLevel="0" collapsed="false">
      <c r="A350" s="0" t="s">
        <v>1205</v>
      </c>
      <c r="B350" s="0" t="n">
        <v>1920</v>
      </c>
      <c r="C350" s="0" t="s">
        <v>1206</v>
      </c>
      <c r="J350" s="0" t="s">
        <v>1207</v>
      </c>
      <c r="O350" s="0" t="s">
        <v>29</v>
      </c>
      <c r="AA350" s="0" t="n">
        <f aca="false">LEN(C350)+LEN(D350)+LEN(E350)+LEN(F350)+LEN(G350)+LEN(H350)+LEN(I350)+LEN(K350)+LEN(L350)+LEN(M350)+LEN(N350)</f>
        <v>21</v>
      </c>
    </row>
    <row r="351" customFormat="false" ht="15" hidden="false" customHeight="false" outlineLevel="0" collapsed="false">
      <c r="A351" s="0" t="s">
        <v>1208</v>
      </c>
      <c r="B351" s="0" t="n">
        <v>1920</v>
      </c>
      <c r="C351" s="0" t="s">
        <v>1209</v>
      </c>
      <c r="I351" s="0" t="s">
        <v>1210</v>
      </c>
      <c r="J351" s="0" t="s">
        <v>1211</v>
      </c>
      <c r="O351" s="0" t="s">
        <v>29</v>
      </c>
      <c r="AA351" s="0" t="n">
        <f aca="false">LEN(C351)+LEN(D351)+LEN(E351)+LEN(F351)+LEN(G351)+LEN(H351)+LEN(I351)+LEN(K351)+LEN(L351)+LEN(M351)+LEN(N351)</f>
        <v>28</v>
      </c>
    </row>
    <row r="352" customFormat="false" ht="15" hidden="false" customHeight="false" outlineLevel="0" collapsed="false">
      <c r="A352" s="0" t="s">
        <v>1212</v>
      </c>
      <c r="B352" s="0" t="n">
        <v>1920</v>
      </c>
      <c r="C352" s="0" t="s">
        <v>1213</v>
      </c>
      <c r="I352" s="0" t="s">
        <v>32</v>
      </c>
      <c r="J352" s="0" t="s">
        <v>1214</v>
      </c>
      <c r="O352" s="0" t="s">
        <v>29</v>
      </c>
      <c r="AA352" s="0" t="n">
        <f aca="false">LEN(C352)+LEN(D352)+LEN(E352)+LEN(F352)+LEN(G352)+LEN(H352)+LEN(I352)+LEN(K352)+LEN(L352)+LEN(M352)+LEN(N352)</f>
        <v>34</v>
      </c>
    </row>
    <row r="353" customFormat="false" ht="15" hidden="false" customHeight="false" outlineLevel="0" collapsed="false">
      <c r="A353" s="0" t="s">
        <v>1215</v>
      </c>
      <c r="B353" s="0" t="n">
        <v>1920</v>
      </c>
      <c r="C353" s="0" t="s">
        <v>1216</v>
      </c>
      <c r="I353" s="0" t="s">
        <v>44</v>
      </c>
      <c r="J353" s="0" t="s">
        <v>1217</v>
      </c>
      <c r="O353" s="0" t="s">
        <v>29</v>
      </c>
      <c r="U353" s="0" t="s">
        <v>29</v>
      </c>
      <c r="AA353" s="0" t="n">
        <f aca="false">LEN(C353)+LEN(D353)+LEN(E353)+LEN(F353)+LEN(G353)+LEN(H353)+LEN(I353)+LEN(K353)+LEN(L353)+LEN(M353)+LEN(N353)</f>
        <v>31</v>
      </c>
    </row>
    <row r="354" customFormat="false" ht="15" hidden="false" customHeight="false" outlineLevel="0" collapsed="false">
      <c r="A354" s="0" t="s">
        <v>1218</v>
      </c>
      <c r="B354" s="0" t="n">
        <v>1920</v>
      </c>
      <c r="C354" s="0" t="s">
        <v>1219</v>
      </c>
      <c r="D354" s="0" t="s">
        <v>152</v>
      </c>
      <c r="E354" s="0" t="s">
        <v>152</v>
      </c>
      <c r="F354" s="0" t="s">
        <v>152</v>
      </c>
      <c r="G354" s="0" t="s">
        <v>152</v>
      </c>
      <c r="H354" s="0" t="s">
        <v>152</v>
      </c>
      <c r="I354" s="0" t="s">
        <v>922</v>
      </c>
      <c r="J354" s="0" t="s">
        <v>1220</v>
      </c>
      <c r="K354" s="0" t="s">
        <v>1221</v>
      </c>
      <c r="L354" s="0" t="s">
        <v>1222</v>
      </c>
      <c r="M354" s="0" t="s">
        <v>391</v>
      </c>
      <c r="N354" s="0" t="s">
        <v>110</v>
      </c>
      <c r="O354" s="0" t="s">
        <v>69</v>
      </c>
      <c r="U354" s="0" t="s">
        <v>29</v>
      </c>
      <c r="V354" s="0" t="s">
        <v>29</v>
      </c>
      <c r="W354" s="0" t="s">
        <v>29</v>
      </c>
      <c r="X354" s="0" t="s">
        <v>29</v>
      </c>
      <c r="Y354" s="0" t="s">
        <v>29</v>
      </c>
      <c r="Z354" s="0" t="n">
        <v>1</v>
      </c>
      <c r="AA354" s="0" t="n">
        <f aca="false">LEN(C354)</f>
        <v>23</v>
      </c>
    </row>
    <row r="355" customFormat="false" ht="15" hidden="false" customHeight="false" outlineLevel="0" collapsed="false">
      <c r="A355" s="0" t="s">
        <v>1223</v>
      </c>
      <c r="B355" s="0" t="n">
        <v>1920</v>
      </c>
      <c r="C355" s="0" t="s">
        <v>1224</v>
      </c>
      <c r="I355" s="0" t="s">
        <v>184</v>
      </c>
      <c r="J355" s="0" t="s">
        <v>1225</v>
      </c>
      <c r="U355" s="0" t="s">
        <v>29</v>
      </c>
      <c r="AA355" s="0" t="n">
        <f aca="false">LEN(C355)+LEN(D355)+LEN(E355)+LEN(F355)+LEN(G355)+LEN(H355)+LEN(I355)+LEN(K355)+LEN(L355)+LEN(M355)+LEN(N355)</f>
        <v>46</v>
      </c>
    </row>
    <row r="356" customFormat="false" ht="15" hidden="false" customHeight="false" outlineLevel="0" collapsed="false">
      <c r="A356" s="0" t="s">
        <v>1226</v>
      </c>
      <c r="B356" s="0" t="n">
        <v>1920</v>
      </c>
      <c r="C356" s="0" t="s">
        <v>1049</v>
      </c>
      <c r="I356" s="0" t="s">
        <v>1227</v>
      </c>
      <c r="J356" s="0" t="s">
        <v>1228</v>
      </c>
      <c r="O356" s="0" t="s">
        <v>29</v>
      </c>
      <c r="AA356" s="0" t="n">
        <f aca="false">LEN(C356)+LEN(D356)+LEN(E356)+LEN(F356)+LEN(G356)+LEN(H356)+LEN(I356)+LEN(K356)+LEN(L356)+LEN(M356)+LEN(N356)</f>
        <v>45</v>
      </c>
    </row>
    <row r="357" customFormat="false" ht="15" hidden="false" customHeight="false" outlineLevel="0" collapsed="false">
      <c r="A357" s="0" t="s">
        <v>1229</v>
      </c>
      <c r="B357" s="0" t="n">
        <v>1920</v>
      </c>
      <c r="C357" s="0" t="s">
        <v>1230</v>
      </c>
      <c r="I357" s="0" t="s">
        <v>32</v>
      </c>
      <c r="J357" s="0" t="s">
        <v>1231</v>
      </c>
      <c r="AA357" s="0" t="n">
        <f aca="false">LEN(C357)+LEN(D357)+LEN(E357)+LEN(F357)+LEN(G357)+LEN(H357)+LEN(I357)+LEN(K357)+LEN(L357)+LEN(M357)+LEN(N357)</f>
        <v>59</v>
      </c>
    </row>
    <row r="358" customFormat="false" ht="15" hidden="false" customHeight="false" outlineLevel="0" collapsed="false">
      <c r="A358" s="0" t="s">
        <v>1232</v>
      </c>
      <c r="B358" s="0" t="n">
        <v>1920</v>
      </c>
      <c r="C358" s="0" t="s">
        <v>1233</v>
      </c>
      <c r="I358" s="0" t="s">
        <v>1234</v>
      </c>
      <c r="J358" s="0" t="s">
        <v>1235</v>
      </c>
      <c r="U358" s="0" t="s">
        <v>29</v>
      </c>
      <c r="AA358" s="0" t="n">
        <f aca="false">LEN(C358)+LEN(D358)+LEN(E358)+LEN(F358)+LEN(G358)+LEN(H358)+LEN(I358)+LEN(K358)+LEN(L358)+LEN(M358)+LEN(N358)</f>
        <v>37</v>
      </c>
    </row>
    <row r="359" customFormat="false" ht="15" hidden="false" customHeight="false" outlineLevel="0" collapsed="false">
      <c r="A359" s="0" t="s">
        <v>1236</v>
      </c>
      <c r="B359" s="0" t="n">
        <v>1921</v>
      </c>
      <c r="C359" s="0" t="s">
        <v>1237</v>
      </c>
      <c r="I359" s="0" t="s">
        <v>413</v>
      </c>
      <c r="J359" s="0" t="s">
        <v>1238</v>
      </c>
      <c r="O359" s="0" t="s">
        <v>29</v>
      </c>
      <c r="AA359" s="0" t="n">
        <f aca="false">LEN(C359)+LEN(D359)+LEN(E359)+LEN(F359)+LEN(G359)+LEN(H359)+LEN(I359)+LEN(K359)+LEN(L359)+LEN(M359)+LEN(N359)</f>
        <v>40</v>
      </c>
    </row>
    <row r="360" customFormat="false" ht="15" hidden="false" customHeight="false" outlineLevel="0" collapsed="false">
      <c r="A360" s="0" t="s">
        <v>1239</v>
      </c>
      <c r="B360" s="0" t="n">
        <v>1921</v>
      </c>
      <c r="C360" s="0" t="s">
        <v>1240</v>
      </c>
      <c r="I360" s="0" t="s">
        <v>32</v>
      </c>
      <c r="J360" s="0" t="s">
        <v>1241</v>
      </c>
      <c r="O360" s="0" t="s">
        <v>29</v>
      </c>
      <c r="U360" s="0" t="s">
        <v>29</v>
      </c>
      <c r="AA360" s="0" t="n">
        <f aca="false">LEN(C360)+LEN(D360)+LEN(E360)+LEN(F360)+LEN(G360)+LEN(H360)+LEN(I360)+LEN(K360)+LEN(L360)+LEN(M360)+LEN(N360)</f>
        <v>46</v>
      </c>
    </row>
    <row r="361" customFormat="false" ht="15" hidden="false" customHeight="false" outlineLevel="0" collapsed="false">
      <c r="A361" s="0" t="s">
        <v>1242</v>
      </c>
      <c r="B361" s="0" t="n">
        <v>1921</v>
      </c>
      <c r="C361" s="0" t="s">
        <v>1243</v>
      </c>
      <c r="I361" s="0" t="s">
        <v>1244</v>
      </c>
      <c r="J361" s="0" t="s">
        <v>1245</v>
      </c>
      <c r="AA361" s="0" t="n">
        <f aca="false">LEN(C361)+LEN(D361)+LEN(E361)+LEN(F361)+LEN(G361)+LEN(H361)+LEN(I361)+LEN(K361)+LEN(L361)+LEN(M361)+LEN(N361)</f>
        <v>37</v>
      </c>
    </row>
    <row r="362" s="3" customFormat="true" ht="15" hidden="false" customHeight="false" outlineLevel="0" collapsed="false">
      <c r="A362" s="3" t="s">
        <v>1246</v>
      </c>
      <c r="B362" s="3" t="n">
        <v>1921</v>
      </c>
      <c r="C362" s="3" t="s">
        <v>1247</v>
      </c>
      <c r="I362" s="3" t="s">
        <v>378</v>
      </c>
      <c r="J362" s="3" t="s">
        <v>1248</v>
      </c>
      <c r="AA362" s="3" t="n">
        <f aca="false">LEN(C362)+LEN(D362)+LEN(E362)+LEN(F362)+LEN(G362)+LEN(H362)+LEN(I362)+LEN(K362)+LEN(L362)+LEN(M362)+LEN(N362)</f>
        <v>34</v>
      </c>
    </row>
    <row r="363" customFormat="false" ht="15" hidden="false" customHeight="false" outlineLevel="0" collapsed="false">
      <c r="A363" s="0" t="s">
        <v>1249</v>
      </c>
      <c r="B363" s="0" t="n">
        <v>1921</v>
      </c>
      <c r="C363" s="0" t="s">
        <v>1250</v>
      </c>
      <c r="I363" s="0" t="s">
        <v>413</v>
      </c>
      <c r="J363" s="0" t="s">
        <v>1250</v>
      </c>
      <c r="O363" s="0" t="s">
        <v>29</v>
      </c>
      <c r="U363" s="0" t="s">
        <v>29</v>
      </c>
      <c r="AA363" s="0" t="n">
        <f aca="false">LEN(C363)+LEN(D363)+LEN(E363)+LEN(F363)+LEN(G363)+LEN(H363)+LEN(I363)+LEN(K363)+LEN(L363)+LEN(M363)+LEN(N363)</f>
        <v>22</v>
      </c>
    </row>
    <row r="364" customFormat="false" ht="15" hidden="false" customHeight="false" outlineLevel="0" collapsed="false">
      <c r="A364" s="0" t="s">
        <v>1251</v>
      </c>
      <c r="B364" s="0" t="n">
        <v>1921</v>
      </c>
      <c r="C364" s="0" t="s">
        <v>1252</v>
      </c>
      <c r="I364" s="0" t="s">
        <v>1253</v>
      </c>
      <c r="J364" s="0" t="s">
        <v>1254</v>
      </c>
      <c r="U364" s="0" t="s">
        <v>29</v>
      </c>
      <c r="AA364" s="0" t="n">
        <f aca="false">LEN(C364)+LEN(D364)+LEN(E364)+LEN(F364)+LEN(G364)+LEN(H364)+LEN(I364)+LEN(K364)+LEN(L364)+LEN(M364)+LEN(N364)</f>
        <v>27</v>
      </c>
    </row>
    <row r="365" customFormat="false" ht="15" hidden="false" customHeight="false" outlineLevel="0" collapsed="false">
      <c r="A365" s="0" t="s">
        <v>1255</v>
      </c>
      <c r="B365" s="0" t="n">
        <v>1921</v>
      </c>
      <c r="C365" s="0" t="s">
        <v>1256</v>
      </c>
      <c r="I365" s="0" t="s">
        <v>549</v>
      </c>
      <c r="J365" s="0" t="s">
        <v>1257</v>
      </c>
      <c r="O365" s="0" t="s">
        <v>134</v>
      </c>
      <c r="AA365" s="0" t="n">
        <f aca="false">LEN(C365)+LEN(D365)+LEN(E365)+LEN(F365)+LEN(G365)+LEN(H365)+LEN(I365)+LEN(K365)+LEN(L365)+LEN(M365)+LEN(N365)</f>
        <v>44</v>
      </c>
    </row>
    <row r="366" customFormat="false" ht="15" hidden="false" customHeight="false" outlineLevel="0" collapsed="false">
      <c r="A366" s="0" t="s">
        <v>1258</v>
      </c>
      <c r="B366" s="0" t="n">
        <v>1921</v>
      </c>
      <c r="C366" s="0" t="s">
        <v>1259</v>
      </c>
      <c r="D366" s="0" t="s">
        <v>152</v>
      </c>
      <c r="E366" s="0" t="s">
        <v>152</v>
      </c>
      <c r="F366" s="0" t="s">
        <v>152</v>
      </c>
      <c r="G366" s="0" t="s">
        <v>152</v>
      </c>
      <c r="H366" s="0" t="s">
        <v>152</v>
      </c>
      <c r="I366" s="0" t="s">
        <v>1260</v>
      </c>
      <c r="J366" s="0" t="s">
        <v>1261</v>
      </c>
      <c r="K366" s="0" t="s">
        <v>1260</v>
      </c>
      <c r="L366" s="0" t="s">
        <v>1262</v>
      </c>
      <c r="M366" s="0" t="s">
        <v>1263</v>
      </c>
      <c r="N366" s="0" t="s">
        <v>110</v>
      </c>
      <c r="O366" s="0" t="s">
        <v>69</v>
      </c>
      <c r="U366" s="0" t="s">
        <v>29</v>
      </c>
      <c r="V366" s="0" t="s">
        <v>29</v>
      </c>
      <c r="X366" s="0" t="s">
        <v>29</v>
      </c>
      <c r="Z366" s="0" t="n">
        <v>6</v>
      </c>
      <c r="AA366" s="0" t="n">
        <f aca="false">LEN(C366)</f>
        <v>39</v>
      </c>
    </row>
    <row r="367" customFormat="false" ht="15" hidden="false" customHeight="false" outlineLevel="0" collapsed="false">
      <c r="A367" s="0" t="s">
        <v>1258</v>
      </c>
      <c r="B367" s="0" t="n">
        <v>1921</v>
      </c>
      <c r="C367" s="0" t="s">
        <v>1259</v>
      </c>
      <c r="D367" s="0" t="s">
        <v>152</v>
      </c>
      <c r="E367" s="0" t="s">
        <v>152</v>
      </c>
      <c r="F367" s="0" t="s">
        <v>152</v>
      </c>
      <c r="G367" s="0" t="s">
        <v>152</v>
      </c>
      <c r="H367" s="0" t="s">
        <v>152</v>
      </c>
      <c r="I367" s="0" t="s">
        <v>1260</v>
      </c>
      <c r="J367" s="0" t="s">
        <v>1261</v>
      </c>
      <c r="K367" s="0" t="s">
        <v>1264</v>
      </c>
      <c r="L367" s="0" t="s">
        <v>1265</v>
      </c>
      <c r="M367" s="0" t="s">
        <v>152</v>
      </c>
      <c r="N367" s="0" t="s">
        <v>214</v>
      </c>
      <c r="O367" s="0" t="s">
        <v>69</v>
      </c>
      <c r="U367" s="0" t="s">
        <v>29</v>
      </c>
      <c r="V367" s="0" t="s">
        <v>29</v>
      </c>
      <c r="Z367" s="0" t="n">
        <v>6</v>
      </c>
      <c r="AA367" s="0" t="n">
        <f aca="false">LEN(C367)</f>
        <v>39</v>
      </c>
    </row>
    <row r="368" customFormat="false" ht="15" hidden="false" customHeight="false" outlineLevel="0" collapsed="false">
      <c r="A368" s="0" t="s">
        <v>1258</v>
      </c>
      <c r="B368" s="0" t="n">
        <v>1921</v>
      </c>
      <c r="C368" s="0" t="s">
        <v>1259</v>
      </c>
      <c r="D368" s="0" t="s">
        <v>152</v>
      </c>
      <c r="E368" s="0" t="s">
        <v>152</v>
      </c>
      <c r="F368" s="0" t="s">
        <v>152</v>
      </c>
      <c r="G368" s="0" t="s">
        <v>152</v>
      </c>
      <c r="H368" s="0" t="s">
        <v>152</v>
      </c>
      <c r="I368" s="0" t="s">
        <v>1260</v>
      </c>
      <c r="J368" s="0" t="s">
        <v>1261</v>
      </c>
      <c r="K368" s="0" t="s">
        <v>1266</v>
      </c>
      <c r="L368" s="0" t="s">
        <v>1267</v>
      </c>
      <c r="M368" s="0" t="s">
        <v>394</v>
      </c>
      <c r="N368" s="0" t="s">
        <v>110</v>
      </c>
      <c r="O368" s="0" t="s">
        <v>69</v>
      </c>
      <c r="U368" s="0" t="s">
        <v>29</v>
      </c>
      <c r="Z368" s="0" t="n">
        <v>6</v>
      </c>
      <c r="AA368" s="0" t="n">
        <f aca="false">LEN(C368)</f>
        <v>39</v>
      </c>
    </row>
    <row r="369" customFormat="false" ht="15" hidden="false" customHeight="false" outlineLevel="0" collapsed="false">
      <c r="A369" s="0" t="s">
        <v>1258</v>
      </c>
      <c r="B369" s="0" t="n">
        <v>1921</v>
      </c>
      <c r="C369" s="0" t="s">
        <v>1259</v>
      </c>
      <c r="D369" s="0" t="s">
        <v>152</v>
      </c>
      <c r="E369" s="0" t="s">
        <v>152</v>
      </c>
      <c r="F369" s="0" t="s">
        <v>152</v>
      </c>
      <c r="G369" s="0" t="s">
        <v>152</v>
      </c>
      <c r="H369" s="0" t="s">
        <v>152</v>
      </c>
      <c r="I369" s="0" t="s">
        <v>1260</v>
      </c>
      <c r="J369" s="0" t="s">
        <v>1261</v>
      </c>
      <c r="K369" s="0" t="s">
        <v>1268</v>
      </c>
      <c r="L369" s="0" t="s">
        <v>95</v>
      </c>
      <c r="M369" s="0" t="s">
        <v>152</v>
      </c>
      <c r="N369" s="0" t="s">
        <v>110</v>
      </c>
      <c r="O369" s="0" t="s">
        <v>69</v>
      </c>
      <c r="U369" s="0" t="s">
        <v>29</v>
      </c>
      <c r="W369" s="0" t="s">
        <v>29</v>
      </c>
      <c r="Z369" s="0" t="n">
        <v>6</v>
      </c>
      <c r="AA369" s="0" t="n">
        <f aca="false">LEN(C369)</f>
        <v>39</v>
      </c>
    </row>
    <row r="370" customFormat="false" ht="15" hidden="false" customHeight="false" outlineLevel="0" collapsed="false">
      <c r="A370" s="0" t="s">
        <v>1269</v>
      </c>
      <c r="B370" s="0" t="n">
        <v>1921</v>
      </c>
      <c r="C370" s="0" t="s">
        <v>1270</v>
      </c>
      <c r="I370" s="0" t="s">
        <v>88</v>
      </c>
      <c r="J370" s="0" t="s">
        <v>1271</v>
      </c>
      <c r="O370" s="6" t="s">
        <v>29</v>
      </c>
      <c r="P370" s="0" t="s">
        <v>29</v>
      </c>
      <c r="AA370" s="0" t="n">
        <f aca="false">LEN(C370)+LEN(D370)+LEN(E370)+LEN(F370)+LEN(G370)+LEN(H370)+LEN(I370)+LEN(K370)+LEN(L370)+LEN(M370)+LEN(N370)</f>
        <v>35</v>
      </c>
    </row>
    <row r="371" customFormat="false" ht="15" hidden="false" customHeight="false" outlineLevel="0" collapsed="false">
      <c r="A371" s="0" t="s">
        <v>1272</v>
      </c>
      <c r="B371" s="0" t="n">
        <v>1921</v>
      </c>
      <c r="C371" s="0" t="s">
        <v>1273</v>
      </c>
      <c r="I371" s="0" t="s">
        <v>32</v>
      </c>
      <c r="J371" s="0" t="s">
        <v>1274</v>
      </c>
      <c r="O371" s="0" t="s">
        <v>29</v>
      </c>
      <c r="AA371" s="0" t="n">
        <f aca="false">LEN(C371)+LEN(D371)+LEN(E371)+LEN(F371)+LEN(G371)+LEN(H371)+LEN(I371)+LEN(K371)+LEN(L371)+LEN(M371)+LEN(N371)</f>
        <v>45</v>
      </c>
    </row>
    <row r="372" customFormat="false" ht="15" hidden="false" customHeight="false" outlineLevel="0" collapsed="false">
      <c r="A372" s="0" t="s">
        <v>1275</v>
      </c>
      <c r="B372" s="0" t="n">
        <v>1921</v>
      </c>
      <c r="C372" s="0" t="s">
        <v>1276</v>
      </c>
      <c r="I372" s="0" t="s">
        <v>121</v>
      </c>
      <c r="J372" s="0" t="s">
        <v>1277</v>
      </c>
      <c r="K372" s="0" t="s">
        <v>1278</v>
      </c>
      <c r="L372" s="0" t="s">
        <v>568</v>
      </c>
      <c r="N372" s="0" t="s">
        <v>110</v>
      </c>
      <c r="O372" s="6" t="s">
        <v>29</v>
      </c>
      <c r="AA372" s="0" t="n">
        <f aca="false">LEN(C372)+LEN(D372)+LEN(E372)+LEN(F372)+LEN(G372)+LEN(H372)+LEN(I372)+LEN(K372)+LEN(L372)+LEN(M372)+LEN(N372)</f>
        <v>43</v>
      </c>
    </row>
    <row r="373" customFormat="false" ht="15" hidden="false" customHeight="false" outlineLevel="0" collapsed="false">
      <c r="A373" s="0" t="s">
        <v>1275</v>
      </c>
      <c r="B373" s="0" t="n">
        <v>1921</v>
      </c>
      <c r="C373" s="0" t="s">
        <v>1276</v>
      </c>
      <c r="I373" s="0" t="s">
        <v>121</v>
      </c>
      <c r="J373" s="0" t="s">
        <v>1277</v>
      </c>
      <c r="K373" s="0" t="s">
        <v>1279</v>
      </c>
      <c r="L373" s="0" t="s">
        <v>394</v>
      </c>
      <c r="M373" s="0" t="s">
        <v>880</v>
      </c>
      <c r="N373" s="0" t="s">
        <v>110</v>
      </c>
      <c r="O373" s="6" t="s">
        <v>29</v>
      </c>
      <c r="V373" s="0" t="s">
        <v>29</v>
      </c>
      <c r="X373" s="0" t="s">
        <v>29</v>
      </c>
      <c r="AA373" s="0" t="n">
        <f aca="false">LEN(C373)+LEN(D373)+LEN(E373)+LEN(F373)+LEN(G373)+LEN(H373)+LEN(I373)+LEN(K373)+LEN(L373)+LEN(M373)+LEN(N373)</f>
        <v>40</v>
      </c>
    </row>
    <row r="374" customFormat="false" ht="15" hidden="false" customHeight="false" outlineLevel="0" collapsed="false">
      <c r="A374" s="0" t="s">
        <v>1280</v>
      </c>
      <c r="B374" s="0" t="n">
        <v>1921</v>
      </c>
      <c r="C374" s="0" t="s">
        <v>1281</v>
      </c>
      <c r="I374" s="0" t="s">
        <v>549</v>
      </c>
      <c r="J374" s="0" t="s">
        <v>1282</v>
      </c>
      <c r="V374" s="0" t="s">
        <v>29</v>
      </c>
      <c r="AA374" s="0" t="n">
        <f aca="false">LEN(C374)+LEN(D374)+LEN(E374)+LEN(F374)+LEN(G374)+LEN(H374)+LEN(I374)+LEN(K374)+LEN(L374)+LEN(M374)+LEN(N374)</f>
        <v>34</v>
      </c>
    </row>
    <row r="375" customFormat="false" ht="15" hidden="false" customHeight="false" outlineLevel="0" collapsed="false">
      <c r="A375" s="0" t="s">
        <v>1283</v>
      </c>
      <c r="B375" s="0" t="n">
        <v>1921</v>
      </c>
      <c r="C375" s="0" t="s">
        <v>1284</v>
      </c>
      <c r="I375" s="0" t="s">
        <v>1285</v>
      </c>
      <c r="J375" s="0" t="s">
        <v>1286</v>
      </c>
      <c r="O375" s="0" t="s">
        <v>29</v>
      </c>
      <c r="AA375" s="0" t="n">
        <f aca="false">LEN(C375)+LEN(D375)+LEN(E375)+LEN(F375)+LEN(G375)+LEN(H375)+LEN(I375)+LEN(K375)+LEN(L375)+LEN(M375)+LEN(N375)</f>
        <v>29</v>
      </c>
    </row>
    <row r="376" customFormat="false" ht="15" hidden="false" customHeight="false" outlineLevel="0" collapsed="false">
      <c r="A376" s="0" t="s">
        <v>1287</v>
      </c>
      <c r="B376" s="0" t="n">
        <v>1921</v>
      </c>
      <c r="C376" s="0" t="s">
        <v>1288</v>
      </c>
      <c r="I376" s="0" t="s">
        <v>32</v>
      </c>
      <c r="J376" s="0" t="s">
        <v>1289</v>
      </c>
      <c r="AA376" s="0" t="n">
        <f aca="false">LEN(C376)+LEN(D376)+LEN(E376)+LEN(F376)+LEN(G376)+LEN(H376)+LEN(I376)+LEN(K376)+LEN(L376)+LEN(M376)+LEN(N376)</f>
        <v>24</v>
      </c>
    </row>
    <row r="377" customFormat="false" ht="15" hidden="false" customHeight="false" outlineLevel="0" collapsed="false">
      <c r="A377" s="0" t="s">
        <v>1290</v>
      </c>
      <c r="B377" s="0" t="n">
        <v>1921</v>
      </c>
      <c r="C377" s="0" t="s">
        <v>1291</v>
      </c>
      <c r="I377" s="0" t="s">
        <v>1253</v>
      </c>
      <c r="J377" s="0" t="s">
        <v>1292</v>
      </c>
      <c r="O377" s="0" t="s">
        <v>29</v>
      </c>
      <c r="U377" s="0" t="s">
        <v>29</v>
      </c>
      <c r="AA377" s="0" t="n">
        <f aca="false">LEN(C377)+LEN(D377)+LEN(E377)+LEN(F377)+LEN(G377)+LEN(H377)+LEN(I377)+LEN(K377)+LEN(L377)+LEN(M377)+LEN(N377)</f>
        <v>31</v>
      </c>
    </row>
    <row r="378" customFormat="false" ht="15" hidden="false" customHeight="false" outlineLevel="0" collapsed="false">
      <c r="A378" s="0" t="s">
        <v>1293</v>
      </c>
      <c r="B378" s="0" t="n">
        <v>1921</v>
      </c>
      <c r="C378" s="0" t="s">
        <v>1294</v>
      </c>
      <c r="I378" s="0" t="s">
        <v>32</v>
      </c>
      <c r="J378" s="0" t="s">
        <v>1295</v>
      </c>
      <c r="O378" s="0" t="s">
        <v>29</v>
      </c>
      <c r="AA378" s="0" t="n">
        <f aca="false">LEN(C378)+LEN(D378)+LEN(E378)+LEN(F378)+LEN(G378)+LEN(H378)+LEN(I378)+LEN(K378)+LEN(L378)+LEN(M378)+LEN(N378)</f>
        <v>35</v>
      </c>
    </row>
    <row r="379" customFormat="false" ht="15" hidden="false" customHeight="false" outlineLevel="0" collapsed="false">
      <c r="A379" s="0" t="s">
        <v>1296</v>
      </c>
      <c r="B379" s="0" t="n">
        <v>1922</v>
      </c>
      <c r="C379" s="0" t="s">
        <v>828</v>
      </c>
      <c r="D379" s="0" t="n">
        <v>13286094</v>
      </c>
      <c r="I379" s="0" t="s">
        <v>32</v>
      </c>
      <c r="J379" s="0" t="s">
        <v>1297</v>
      </c>
      <c r="O379" s="6" t="s">
        <v>29</v>
      </c>
      <c r="AA379" s="0" t="n">
        <f aca="false">LEN(C379)+LEN(D379)+LEN(E379)+LEN(F379)+LEN(G379)+LEN(H379)+LEN(I379)+LEN(K379)+LEN(L379)+LEN(M379)+LEN(N379)</f>
        <v>50</v>
      </c>
    </row>
    <row r="380" s="3" customFormat="true" ht="15" hidden="false" customHeight="false" outlineLevel="0" collapsed="false">
      <c r="A380" s="3" t="s">
        <v>1298</v>
      </c>
      <c r="B380" s="3" t="n">
        <v>1922</v>
      </c>
      <c r="C380" s="3" t="s">
        <v>1299</v>
      </c>
      <c r="I380" s="3" t="s">
        <v>582</v>
      </c>
      <c r="J380" s="3" t="s">
        <v>1300</v>
      </c>
      <c r="AA380" s="3" t="n">
        <f aca="false">LEN(C380)+LEN(D380)+LEN(E380)+LEN(F380)+LEN(G380)+LEN(H380)+LEN(I380)+LEN(K380)+LEN(L380)+LEN(M380)+LEN(N380)</f>
        <v>42</v>
      </c>
    </row>
    <row r="381" customFormat="false" ht="15" hidden="false" customHeight="false" outlineLevel="0" collapsed="false">
      <c r="A381" s="0" t="s">
        <v>1301</v>
      </c>
      <c r="B381" s="0" t="n">
        <v>1922</v>
      </c>
      <c r="C381" s="0" t="s">
        <v>1302</v>
      </c>
      <c r="I381" s="0" t="s">
        <v>1303</v>
      </c>
      <c r="J381" s="0" t="s">
        <v>1304</v>
      </c>
      <c r="K381" s="0" t="s">
        <v>1305</v>
      </c>
      <c r="L381" s="0" t="s">
        <v>1303</v>
      </c>
      <c r="N381" s="0" t="s">
        <v>110</v>
      </c>
      <c r="O381" s="0" t="s">
        <v>29</v>
      </c>
      <c r="V381" s="0" t="s">
        <v>29</v>
      </c>
      <c r="W381" s="0" t="s">
        <v>29</v>
      </c>
      <c r="Y381" s="0" t="s">
        <v>29</v>
      </c>
      <c r="AA381" s="0" t="n">
        <f aca="false">LEN(C381)+LEN(D381)+LEN(E381)+LEN(F381)+LEN(G381)+LEN(H381)+LEN(I381)+LEN(K381)+LEN(L381)+LEN(M381)+LEN(N381)</f>
        <v>44</v>
      </c>
    </row>
    <row r="382" customFormat="false" ht="15" hidden="false" customHeight="false" outlineLevel="0" collapsed="false">
      <c r="A382" s="0" t="s">
        <v>1306</v>
      </c>
      <c r="B382" s="0" t="n">
        <v>1922</v>
      </c>
      <c r="C382" s="0" t="s">
        <v>1307</v>
      </c>
      <c r="I382" s="0" t="s">
        <v>32</v>
      </c>
      <c r="J382" s="0" t="s">
        <v>1308</v>
      </c>
      <c r="AA382" s="0" t="n">
        <f aca="false">LEN(C382)+LEN(D382)+LEN(E382)+LEN(F382)+LEN(G382)+LEN(H382)+LEN(I382)+LEN(K382)+LEN(L382)+LEN(M382)+LEN(N382)</f>
        <v>25</v>
      </c>
    </row>
    <row r="383" customFormat="false" ht="15" hidden="false" customHeight="false" outlineLevel="0" collapsed="false">
      <c r="A383" s="0" t="s">
        <v>1309</v>
      </c>
      <c r="B383" s="0" t="n">
        <v>1922</v>
      </c>
      <c r="C383" s="0" t="s">
        <v>1310</v>
      </c>
      <c r="I383" s="0" t="s">
        <v>32</v>
      </c>
      <c r="J383" s="0" t="s">
        <v>1311</v>
      </c>
      <c r="O383" s="0" t="s">
        <v>29</v>
      </c>
      <c r="AA383" s="0" t="n">
        <f aca="false">LEN(C383)+LEN(D383)+LEN(E383)+LEN(F383)+LEN(G383)+LEN(H383)+LEN(I383)+LEN(K383)+LEN(L383)+LEN(M383)+LEN(N383)</f>
        <v>19</v>
      </c>
    </row>
    <row r="384" customFormat="false" ht="15" hidden="false" customHeight="false" outlineLevel="0" collapsed="false">
      <c r="A384" s="0" t="s">
        <v>1312</v>
      </c>
      <c r="B384" s="0" t="n">
        <v>1922</v>
      </c>
      <c r="C384" s="0" t="s">
        <v>1313</v>
      </c>
      <c r="I384" s="0" t="s">
        <v>177</v>
      </c>
      <c r="J384" s="0" t="s">
        <v>1314</v>
      </c>
      <c r="O384" s="0" t="s">
        <v>29</v>
      </c>
      <c r="AA384" s="0" t="n">
        <f aca="false">LEN(C384)+LEN(D384)+LEN(E384)+LEN(F384)+LEN(G384)+LEN(H384)+LEN(I384)+LEN(K384)+LEN(L384)+LEN(M384)+LEN(N384)</f>
        <v>41</v>
      </c>
    </row>
    <row r="385" customFormat="false" ht="15" hidden="false" customHeight="false" outlineLevel="0" collapsed="false">
      <c r="A385" s="0" t="s">
        <v>1315</v>
      </c>
      <c r="B385" s="0" t="n">
        <v>1922</v>
      </c>
      <c r="C385" s="0" t="s">
        <v>1316</v>
      </c>
      <c r="I385" s="0" t="s">
        <v>559</v>
      </c>
      <c r="J385" s="0" t="s">
        <v>1317</v>
      </c>
      <c r="O385" s="0" t="s">
        <v>29</v>
      </c>
      <c r="R385" s="0" t="s">
        <v>29</v>
      </c>
      <c r="AA385" s="0" t="n">
        <f aca="false">LEN(C385)+LEN(D385)+LEN(E385)+LEN(F385)+LEN(G385)+LEN(H385)+LEN(I385)+LEN(K385)+LEN(L385)+LEN(M385)+LEN(N385)</f>
        <v>29</v>
      </c>
    </row>
    <row r="386" customFormat="false" ht="15" hidden="false" customHeight="false" outlineLevel="0" collapsed="false">
      <c r="A386" s="0" t="s">
        <v>1318</v>
      </c>
      <c r="B386" s="0" t="n">
        <v>1922</v>
      </c>
      <c r="C386" s="0" t="s">
        <v>1319</v>
      </c>
      <c r="I386" s="0" t="s">
        <v>985</v>
      </c>
      <c r="J386" s="0" t="s">
        <v>1320</v>
      </c>
      <c r="O386" s="6" t="s">
        <v>29</v>
      </c>
      <c r="AA386" s="0" t="n">
        <f aca="false">LEN(C386)+LEN(D386)+LEN(E386)+LEN(F386)+LEN(G386)+LEN(H386)+LEN(I386)+LEN(K386)+LEN(L386)+LEN(M386)+LEN(N386)</f>
        <v>38</v>
      </c>
    </row>
    <row r="387" customFormat="false" ht="15" hidden="false" customHeight="false" outlineLevel="0" collapsed="false">
      <c r="A387" s="0" t="s">
        <v>1321</v>
      </c>
      <c r="B387" s="0" t="n">
        <v>1922</v>
      </c>
      <c r="C387" s="0" t="s">
        <v>1322</v>
      </c>
      <c r="I387" s="0" t="s">
        <v>32</v>
      </c>
      <c r="J387" s="0" t="s">
        <v>1323</v>
      </c>
      <c r="O387" s="0" t="s">
        <v>29</v>
      </c>
      <c r="AA387" s="0" t="n">
        <f aca="false">LEN(C387)+LEN(D387)+LEN(E387)+LEN(F387)+LEN(G387)+LEN(H387)+LEN(I387)+LEN(K387)+LEN(L387)+LEN(M387)+LEN(N387)</f>
        <v>21</v>
      </c>
    </row>
    <row r="388" s="3" customFormat="true" ht="15" hidden="false" customHeight="false" outlineLevel="0" collapsed="false">
      <c r="A388" s="3" t="s">
        <v>1324</v>
      </c>
      <c r="B388" s="3" t="n">
        <v>1922</v>
      </c>
      <c r="C388" s="3" t="s">
        <v>1325</v>
      </c>
      <c r="I388" s="3" t="s">
        <v>361</v>
      </c>
      <c r="J388" s="3" t="s">
        <v>1326</v>
      </c>
      <c r="AA388" s="3" t="n">
        <f aca="false">LEN(C388)+LEN(D388)+LEN(E388)+LEN(F388)+LEN(G388)+LEN(H388)+LEN(I388)+LEN(K388)+LEN(L388)+LEN(M388)+LEN(N388)</f>
        <v>32</v>
      </c>
    </row>
    <row r="389" customFormat="false" ht="15" hidden="false" customHeight="false" outlineLevel="0" collapsed="false">
      <c r="A389" s="0" t="s">
        <v>1327</v>
      </c>
      <c r="B389" s="0" t="n">
        <v>1922</v>
      </c>
      <c r="C389" s="0" t="s">
        <v>1328</v>
      </c>
      <c r="I389" s="0" t="s">
        <v>1329</v>
      </c>
      <c r="J389" s="0" t="s">
        <v>1330</v>
      </c>
      <c r="AA389" s="0" t="n">
        <f aca="false">LEN(C389)+LEN(D389)+LEN(E389)+LEN(F389)+LEN(G389)+LEN(H389)+LEN(I389)+LEN(K389)+LEN(L389)+LEN(M389)+LEN(N389)</f>
        <v>50</v>
      </c>
    </row>
    <row r="390" s="3" customFormat="true" ht="15" hidden="false" customHeight="false" outlineLevel="0" collapsed="false">
      <c r="A390" s="3" t="s">
        <v>1331</v>
      </c>
      <c r="B390" s="3" t="n">
        <v>1922</v>
      </c>
      <c r="C390" s="3" t="s">
        <v>1332</v>
      </c>
      <c r="I390" s="3" t="s">
        <v>475</v>
      </c>
      <c r="J390" s="3" t="s">
        <v>1333</v>
      </c>
      <c r="AA390" s="3" t="n">
        <f aca="false">LEN(C390)+LEN(D390)+LEN(E390)+LEN(F390)+LEN(G390)+LEN(H390)+LEN(I390)+LEN(K390)+LEN(L390)+LEN(M390)+LEN(N390)</f>
        <v>46</v>
      </c>
    </row>
    <row r="391" customFormat="false" ht="15" hidden="false" customHeight="false" outlineLevel="0" collapsed="false">
      <c r="A391" s="0" t="s">
        <v>1334</v>
      </c>
      <c r="B391" s="0" t="n">
        <v>1922</v>
      </c>
      <c r="C391" s="0" t="s">
        <v>1335</v>
      </c>
      <c r="I391" s="0" t="s">
        <v>145</v>
      </c>
      <c r="J391" s="0" t="s">
        <v>1336</v>
      </c>
      <c r="K391" s="0" t="s">
        <v>1337</v>
      </c>
      <c r="L391" s="0" t="s">
        <v>394</v>
      </c>
      <c r="M391" s="0" t="s">
        <v>393</v>
      </c>
      <c r="N391" s="0" t="s">
        <v>110</v>
      </c>
      <c r="V391" s="0" t="s">
        <v>29</v>
      </c>
      <c r="AA391" s="0" t="n">
        <f aca="false">LEN(C391)+LEN(D391)+LEN(E391)+LEN(F391)+LEN(G391)+LEN(H391)+LEN(I391)+LEN(K391)+LEN(L391)+LEN(M391)+LEN(N391)</f>
        <v>57</v>
      </c>
    </row>
    <row r="392" customFormat="false" ht="15" hidden="false" customHeight="false" outlineLevel="0" collapsed="false">
      <c r="A392" s="0" t="s">
        <v>1334</v>
      </c>
      <c r="B392" s="0" t="n">
        <v>1922</v>
      </c>
      <c r="C392" s="0" t="s">
        <v>1335</v>
      </c>
      <c r="I392" s="0" t="s">
        <v>145</v>
      </c>
      <c r="J392" s="0" t="s">
        <v>1336</v>
      </c>
      <c r="K392" s="0" t="s">
        <v>499</v>
      </c>
      <c r="L392" s="0" t="s">
        <v>24</v>
      </c>
      <c r="N392" s="0" t="s">
        <v>214</v>
      </c>
      <c r="X392" s="0" t="s">
        <v>29</v>
      </c>
      <c r="AA392" s="0" t="n">
        <f aca="false">LEN(C392)+LEN(D392)+LEN(E392)+LEN(F392)+LEN(G392)+LEN(H392)+LEN(I392)+LEN(K392)+LEN(L392)+LEN(M392)+LEN(N392)</f>
        <v>55</v>
      </c>
    </row>
    <row r="393" customFormat="false" ht="15" hidden="false" customHeight="false" outlineLevel="0" collapsed="false">
      <c r="A393" s="0" t="s">
        <v>1338</v>
      </c>
      <c r="B393" s="0" t="n">
        <v>1922</v>
      </c>
      <c r="C393" s="0" t="s">
        <v>1339</v>
      </c>
      <c r="I393" s="0" t="s">
        <v>549</v>
      </c>
      <c r="J393" s="0" t="s">
        <v>1340</v>
      </c>
      <c r="O393" s="0" t="s">
        <v>29</v>
      </c>
      <c r="U393" s="0" t="s">
        <v>29</v>
      </c>
      <c r="AA393" s="0" t="n">
        <f aca="false">LEN(C393)+LEN(D393)+LEN(E393)+LEN(F393)+LEN(G393)+LEN(H393)+LEN(I393)+LEN(K393)+LEN(L393)+LEN(M393)+LEN(N393)</f>
        <v>38</v>
      </c>
    </row>
    <row r="394" customFormat="false" ht="15" hidden="false" customHeight="false" outlineLevel="0" collapsed="false">
      <c r="A394" s="0" t="s">
        <v>1341</v>
      </c>
      <c r="B394" s="0" t="n">
        <v>1922</v>
      </c>
      <c r="C394" s="0" t="s">
        <v>1233</v>
      </c>
      <c r="G394" s="0" t="s">
        <v>1342</v>
      </c>
      <c r="I394" s="0" t="s">
        <v>1342</v>
      </c>
      <c r="J394" s="0" t="s">
        <v>1343</v>
      </c>
      <c r="O394" s="0" t="s">
        <v>29</v>
      </c>
      <c r="S394" s="0" t="s">
        <v>29</v>
      </c>
      <c r="U394" s="0" t="s">
        <v>29</v>
      </c>
      <c r="AA394" s="0" t="n">
        <f aca="false">LEN(C394)+LEN(D394)+LEN(E394)+LEN(F394)+LEN(G394)+LEN(H394)+LEN(I394)+LEN(K394)+LEN(L394)+LEN(M394)+LEN(N394)</f>
        <v>52</v>
      </c>
    </row>
    <row r="395" customFormat="false" ht="15" hidden="false" customHeight="false" outlineLevel="0" collapsed="false">
      <c r="A395" s="0" t="s">
        <v>1344</v>
      </c>
      <c r="B395" s="0" t="n">
        <v>1923</v>
      </c>
      <c r="C395" s="0" t="s">
        <v>1345</v>
      </c>
      <c r="I395" s="0" t="s">
        <v>32</v>
      </c>
      <c r="J395" s="0" t="s">
        <v>1346</v>
      </c>
      <c r="AA395" s="0" t="n">
        <f aca="false">LEN(C395)+LEN(D395)+LEN(E395)+LEN(F395)+LEN(G395)+LEN(H395)+LEN(I395)+LEN(K395)+LEN(L395)+LEN(M395)+LEN(N395)</f>
        <v>36</v>
      </c>
    </row>
    <row r="396" customFormat="false" ht="15" hidden="false" customHeight="false" outlineLevel="0" collapsed="false">
      <c r="A396" s="0" t="s">
        <v>1347</v>
      </c>
      <c r="B396" s="0" t="n">
        <v>1923</v>
      </c>
      <c r="C396" s="0" t="s">
        <v>1348</v>
      </c>
      <c r="D396" s="0" t="s">
        <v>152</v>
      </c>
      <c r="E396" s="0" t="s">
        <v>152</v>
      </c>
      <c r="F396" s="0" t="s">
        <v>152</v>
      </c>
      <c r="G396" s="0" t="s">
        <v>152</v>
      </c>
      <c r="H396" s="0" t="s">
        <v>152</v>
      </c>
      <c r="I396" s="0" t="s">
        <v>985</v>
      </c>
      <c r="J396" s="0" t="s">
        <v>1349</v>
      </c>
      <c r="K396" s="0" t="s">
        <v>152</v>
      </c>
      <c r="L396" s="0" t="s">
        <v>152</v>
      </c>
      <c r="M396" s="0" t="s">
        <v>152</v>
      </c>
      <c r="N396" s="0" t="s">
        <v>152</v>
      </c>
      <c r="O396" s="0" t="s">
        <v>69</v>
      </c>
      <c r="U396" s="0" t="s">
        <v>29</v>
      </c>
      <c r="Z396" s="0" t="n">
        <v>2</v>
      </c>
      <c r="AA396" s="0" t="n">
        <f aca="false">LEN(C396)</f>
        <v>28</v>
      </c>
    </row>
    <row r="397" customFormat="false" ht="15" hidden="false" customHeight="false" outlineLevel="0" collapsed="false">
      <c r="A397" s="0" t="s">
        <v>1350</v>
      </c>
      <c r="B397" s="0" t="n">
        <v>1923</v>
      </c>
      <c r="C397" s="0" t="s">
        <v>828</v>
      </c>
      <c r="I397" s="0" t="s">
        <v>145</v>
      </c>
      <c r="J397" s="0" t="s">
        <v>1351</v>
      </c>
      <c r="O397" s="6" t="s">
        <v>29</v>
      </c>
      <c r="AA397" s="0" t="n">
        <f aca="false">LEN(C397)+LEN(D397)+LEN(E397)+LEN(F397)+LEN(G397)+LEN(H397)+LEN(I397)+LEN(K397)+LEN(L397)+LEN(M397)+LEN(N397)</f>
        <v>45</v>
      </c>
    </row>
    <row r="398" customFormat="false" ht="15" hidden="false" customHeight="false" outlineLevel="0" collapsed="false">
      <c r="A398" s="0" t="s">
        <v>1352</v>
      </c>
      <c r="B398" s="0" t="n">
        <v>1923</v>
      </c>
      <c r="C398" s="0" t="s">
        <v>1353</v>
      </c>
      <c r="I398" s="0" t="s">
        <v>32</v>
      </c>
      <c r="J398" s="0" t="s">
        <v>1354</v>
      </c>
      <c r="K398" s="0" t="s">
        <v>1355</v>
      </c>
      <c r="L398" s="0" t="s">
        <v>1356</v>
      </c>
      <c r="N398" s="0" t="s">
        <v>1357</v>
      </c>
      <c r="O398" s="0" t="s">
        <v>29</v>
      </c>
      <c r="V398" s="0" t="s">
        <v>29</v>
      </c>
      <c r="X398" s="0" t="s">
        <v>29</v>
      </c>
      <c r="AA398" s="0" t="n">
        <f aca="false">LEN(C398)+LEN(D398)+LEN(E398)+LEN(F398)+LEN(G398)+LEN(H398)+LEN(I398)+LEN(K398)+LEN(L398)+LEN(M398)+LEN(N398)</f>
        <v>56</v>
      </c>
    </row>
    <row r="399" customFormat="false" ht="15" hidden="false" customHeight="false" outlineLevel="0" collapsed="false">
      <c r="A399" s="0" t="s">
        <v>1358</v>
      </c>
      <c r="B399" s="0" t="n">
        <v>1923</v>
      </c>
      <c r="C399" s="0" t="s">
        <v>419</v>
      </c>
      <c r="D399" s="0" t="s">
        <v>152</v>
      </c>
      <c r="E399" s="0" t="s">
        <v>152</v>
      </c>
      <c r="F399" s="0" t="s">
        <v>152</v>
      </c>
      <c r="G399" s="0" t="s">
        <v>152</v>
      </c>
      <c r="H399" s="0" t="s">
        <v>152</v>
      </c>
      <c r="I399" s="0" t="s">
        <v>32</v>
      </c>
      <c r="J399" s="0" t="s">
        <v>1359</v>
      </c>
      <c r="K399" s="0" t="s">
        <v>152</v>
      </c>
      <c r="L399" s="0" t="s">
        <v>152</v>
      </c>
      <c r="M399" s="0" t="s">
        <v>152</v>
      </c>
      <c r="N399" s="0" t="s">
        <v>152</v>
      </c>
      <c r="O399" s="0" t="s">
        <v>69</v>
      </c>
      <c r="Z399" s="0" t="n">
        <v>1</v>
      </c>
      <c r="AA399" s="0" t="n">
        <f aca="false">LEN(C399)</f>
        <v>56</v>
      </c>
    </row>
    <row r="400" customFormat="false" ht="15" hidden="false" customHeight="false" outlineLevel="0" collapsed="false">
      <c r="A400" s="0" t="s">
        <v>1360</v>
      </c>
      <c r="B400" s="0" t="n">
        <v>1923</v>
      </c>
      <c r="C400" s="0" t="s">
        <v>1361</v>
      </c>
      <c r="I400" s="0" t="s">
        <v>117</v>
      </c>
      <c r="J400" s="0" t="s">
        <v>1362</v>
      </c>
      <c r="O400" s="0" t="s">
        <v>29</v>
      </c>
      <c r="AA400" s="0" t="n">
        <f aca="false">LEN(C400)+LEN(D400)+LEN(E400)+LEN(F400)+LEN(G400)+LEN(H400)+LEN(I400)+LEN(K400)+LEN(L400)+LEN(M400)+LEN(N400)</f>
        <v>45</v>
      </c>
    </row>
    <row r="401" customFormat="false" ht="15" hidden="false" customHeight="false" outlineLevel="0" collapsed="false">
      <c r="A401" s="0" t="s">
        <v>1363</v>
      </c>
      <c r="B401" s="0" t="n">
        <v>1923</v>
      </c>
      <c r="C401" s="0" t="s">
        <v>1364</v>
      </c>
      <c r="I401" s="0" t="s">
        <v>92</v>
      </c>
      <c r="J401" s="0" t="s">
        <v>1365</v>
      </c>
      <c r="O401" s="6" t="s">
        <v>134</v>
      </c>
      <c r="AA401" s="0" t="n">
        <f aca="false">LEN(C401)+LEN(D401)+LEN(E401)+LEN(F401)+LEN(G401)+LEN(H401)+LEN(I401)+LEN(K401)+LEN(L401)+LEN(M401)+LEN(N401)</f>
        <v>34</v>
      </c>
    </row>
    <row r="402" customFormat="false" ht="15" hidden="false" customHeight="false" outlineLevel="0" collapsed="false">
      <c r="A402" s="0" t="s">
        <v>1366</v>
      </c>
      <c r="B402" s="0" t="n">
        <v>1923</v>
      </c>
      <c r="C402" s="0" t="s">
        <v>1367</v>
      </c>
      <c r="I402" s="0" t="s">
        <v>32</v>
      </c>
      <c r="J402" s="0" t="s">
        <v>1368</v>
      </c>
      <c r="O402" s="0" t="s">
        <v>29</v>
      </c>
      <c r="AA402" s="0" t="n">
        <f aca="false">LEN(C402)+LEN(D402)+LEN(E402)+LEN(F402)+LEN(G402)+LEN(H402)+LEN(I402)+LEN(K402)+LEN(L402)+LEN(M402)+LEN(N402)</f>
        <v>47</v>
      </c>
    </row>
    <row r="403" customFormat="false" ht="15" hidden="false" customHeight="false" outlineLevel="0" collapsed="false">
      <c r="A403" s="0" t="s">
        <v>1369</v>
      </c>
      <c r="B403" s="0" t="n">
        <v>1923</v>
      </c>
      <c r="C403" s="0" t="s">
        <v>1370</v>
      </c>
      <c r="I403" s="0" t="s">
        <v>32</v>
      </c>
      <c r="J403" s="0" t="s">
        <v>1371</v>
      </c>
      <c r="O403" s="0" t="s">
        <v>134</v>
      </c>
      <c r="AA403" s="0" t="n">
        <f aca="false">LEN(C403)+LEN(D403)+LEN(E403)+LEN(F403)+LEN(G403)+LEN(H403)+LEN(I403)+LEN(K403)+LEN(L403)+LEN(M403)+LEN(N403)</f>
        <v>27</v>
      </c>
    </row>
    <row r="404" customFormat="false" ht="15" hidden="false" customHeight="false" outlineLevel="0" collapsed="false">
      <c r="A404" s="0" t="s">
        <v>1372</v>
      </c>
      <c r="B404" s="0" t="n">
        <v>1923</v>
      </c>
      <c r="C404" s="0" t="s">
        <v>1373</v>
      </c>
      <c r="I404" s="0" t="s">
        <v>582</v>
      </c>
      <c r="J404" s="0" t="s">
        <v>1374</v>
      </c>
      <c r="AA404" s="0" t="n">
        <f aca="false">LEN(C404)+LEN(D404)+LEN(E404)+LEN(F404)+LEN(G404)+LEN(H404)+LEN(I404)+LEN(K404)+LEN(L404)+LEN(M404)+LEN(N404)</f>
        <v>28</v>
      </c>
    </row>
    <row r="405" customFormat="false" ht="15" hidden="false" customHeight="false" outlineLevel="0" collapsed="false">
      <c r="A405" s="0" t="s">
        <v>1375</v>
      </c>
      <c r="B405" s="0" t="n">
        <v>1923</v>
      </c>
      <c r="C405" s="0" t="s">
        <v>1376</v>
      </c>
      <c r="I405" s="0" t="s">
        <v>435</v>
      </c>
      <c r="J405" s="0" t="s">
        <v>1377</v>
      </c>
      <c r="AA405" s="0" t="n">
        <f aca="false">LEN(C405)+LEN(D405)+LEN(E405)+LEN(F405)+LEN(G405)+LEN(H405)+LEN(I405)+LEN(K405)+LEN(L405)+LEN(M405)+LEN(N405)</f>
        <v>23</v>
      </c>
    </row>
    <row r="406" customFormat="false" ht="15" hidden="false" customHeight="false" outlineLevel="0" collapsed="false">
      <c r="A406" s="0" t="s">
        <v>1378</v>
      </c>
      <c r="B406" s="0" t="n">
        <v>1923</v>
      </c>
      <c r="C406" s="0" t="s">
        <v>1379</v>
      </c>
      <c r="I406" s="0" t="s">
        <v>40</v>
      </c>
      <c r="J406" s="0" t="s">
        <v>1380</v>
      </c>
      <c r="O406" s="0" t="s">
        <v>29</v>
      </c>
      <c r="AA406" s="0" t="n">
        <f aca="false">LEN(C406)+LEN(D406)+LEN(E406)+LEN(F406)+LEN(G406)+LEN(H406)+LEN(I406)+LEN(K406)+LEN(L406)+LEN(M406)+LEN(N406)</f>
        <v>50</v>
      </c>
    </row>
    <row r="407" s="3" customFormat="true" ht="15" hidden="false" customHeight="false" outlineLevel="0" collapsed="false">
      <c r="A407" s="3" t="s">
        <v>1381</v>
      </c>
      <c r="B407" s="3" t="n">
        <v>1923</v>
      </c>
      <c r="C407" s="3" t="s">
        <v>1382</v>
      </c>
      <c r="I407" s="3" t="s">
        <v>1383</v>
      </c>
      <c r="J407" s="3" t="s">
        <v>1384</v>
      </c>
      <c r="AA407" s="3" t="n">
        <f aca="false">LEN(C407)+LEN(D407)+LEN(E407)+LEN(F407)+LEN(G407)+LEN(H407)+LEN(I407)+LEN(K407)+LEN(L407)+LEN(M407)+LEN(N407)</f>
        <v>25</v>
      </c>
    </row>
    <row r="408" customFormat="false" ht="15" hidden="false" customHeight="false" outlineLevel="0" collapsed="false">
      <c r="A408" s="0" t="s">
        <v>1385</v>
      </c>
      <c r="B408" s="0" t="n">
        <v>1923</v>
      </c>
      <c r="C408" s="0" t="s">
        <v>1045</v>
      </c>
      <c r="I408" s="0" t="s">
        <v>32</v>
      </c>
      <c r="J408" s="0" t="s">
        <v>1386</v>
      </c>
      <c r="O408" s="0" t="s">
        <v>29</v>
      </c>
      <c r="AA408" s="0" t="n">
        <f aca="false">LEN(C408)+LEN(D408)+LEN(E408)+LEN(F408)+LEN(G408)+LEN(H408)+LEN(I408)+LEN(K408)+LEN(L408)+LEN(M408)+LEN(N408)</f>
        <v>45</v>
      </c>
    </row>
    <row r="409" customFormat="false" ht="15" hidden="false" customHeight="false" outlineLevel="0" collapsed="false">
      <c r="A409" s="0" t="s">
        <v>1387</v>
      </c>
      <c r="B409" s="0" t="n">
        <v>1923</v>
      </c>
      <c r="C409" s="0" t="s">
        <v>1388</v>
      </c>
      <c r="I409" s="0" t="s">
        <v>117</v>
      </c>
      <c r="J409" s="0" t="s">
        <v>1389</v>
      </c>
      <c r="K409" s="0" t="s">
        <v>1390</v>
      </c>
      <c r="L409" s="0" t="s">
        <v>1391</v>
      </c>
      <c r="M409" s="0" t="s">
        <v>1392</v>
      </c>
      <c r="N409" s="0" t="s">
        <v>882</v>
      </c>
      <c r="O409" s="0" t="s">
        <v>29</v>
      </c>
      <c r="U409" s="0" t="s">
        <v>29</v>
      </c>
      <c r="V409" s="0" t="s">
        <v>29</v>
      </c>
      <c r="X409" s="0" t="s">
        <v>29</v>
      </c>
      <c r="AA409" s="0" t="n">
        <f aca="false">LEN(C409)+LEN(D409)+LEN(E409)+LEN(F409)+LEN(G409)+LEN(H409)+LEN(I409)+LEN(K409)+LEN(L409)+LEN(M409)+LEN(N409)</f>
        <v>56</v>
      </c>
    </row>
    <row r="410" customFormat="false" ht="15" hidden="false" customHeight="false" outlineLevel="0" collapsed="false">
      <c r="A410" s="0" t="s">
        <v>1393</v>
      </c>
      <c r="B410" s="0" t="n">
        <v>1923</v>
      </c>
      <c r="C410" s="0" t="s">
        <v>1394</v>
      </c>
      <c r="I410" s="0" t="s">
        <v>32</v>
      </c>
      <c r="J410" s="0" t="s">
        <v>1395</v>
      </c>
      <c r="O410" s="0" t="s">
        <v>29</v>
      </c>
      <c r="AA410" s="0" t="n">
        <f aca="false">LEN(C410)+LEN(D410)+LEN(E410)+LEN(F410)+LEN(G410)+LEN(H410)+LEN(I410)+LEN(K410)+LEN(L410)+LEN(M410)+LEN(N410)</f>
        <v>42</v>
      </c>
    </row>
    <row r="411" customFormat="false" ht="15" hidden="false" customHeight="false" outlineLevel="0" collapsed="false">
      <c r="O411" s="0" t="n">
        <f aca="false">COUNTIF(O2:O410, "f") + COUNTIF(O2:O410, "a") + COUNTIF(O2:O410, "b") + COUNTIF(O2:O410, "a/b")</f>
        <v>230</v>
      </c>
      <c r="P411" s="0" t="n">
        <f aca="false">COUNTIF(P2:P410, "f") + COUNTIF(P2:P410, "a") + COUNTIF(P2:P410, "b") + COUNTIF(P2:P410, "a/b")</f>
        <v>3</v>
      </c>
      <c r="Q411" s="0" t="n">
        <f aca="false">COUNTIF(Q2:Q410, "f") + COUNTIF(Q2:Q410, "a") + COUNTIF(Q2:Q410, "b") + COUNTIF(Q2:Q410, "a/b")</f>
        <v>7</v>
      </c>
      <c r="R411" s="0" t="n">
        <f aca="false">COUNTIF(R2:R410, "f") + COUNTIF(R2:R410, "a") + COUNTIF(R2:R410, "b") + COUNTIF(R2:R410, "a/b")</f>
        <v>3</v>
      </c>
      <c r="S411" s="0" t="n">
        <f aca="false">COUNTIF(S2:S410, "f") + COUNTIF(S2:S410, "a") + COUNTIF(S2:S410, "b") + COUNTIF(S2:S410, "a/b")</f>
        <v>1</v>
      </c>
      <c r="T411" s="0" t="n">
        <f aca="false">COUNTIF(T2:T410, "f") + COUNTIF(T2:T410, "a") + COUNTIF(T2:T410, "b") + COUNTIF(T2:T410, "a/b")</f>
        <v>0</v>
      </c>
      <c r="U411" s="0" t="n">
        <f aca="false">COUNTIF(U2:U410, "f") + COUNTIF(U2:U410, "a") + COUNTIF(U2:U410, "b") + COUNTIF(U2:U410, "a/b")</f>
        <v>99</v>
      </c>
      <c r="V411" s="0" t="n">
        <f aca="false">COUNTIF(V2:V410, "f") + COUNTIF(V2:V410, "a") + COUNTIF(V2:V410, "b") + COUNTIF(V2:V410, "a/b")</f>
        <v>46</v>
      </c>
      <c r="W411" s="0" t="n">
        <f aca="false">COUNTIF(W2:W410, "f") + COUNTIF(W2:W410, "a") + COUNTIF(W2:W410, "b") + COUNTIF(W2:W410, "a/b")</f>
        <v>24</v>
      </c>
      <c r="X411" s="0" t="n">
        <f aca="false">COUNTIF(X2:X410, "f") + COUNTIF(X2:X410, "a") + COUNTIF(X2:X410, "b") + COUNTIF(X2:X410, "a/b")</f>
        <v>34</v>
      </c>
      <c r="Y411" s="0" t="n">
        <f aca="false">COUNTIF(Y2:Y410, "f") + COUNTIF(Y2:Y410, "a") + COUNTIF(Y2:Y410, "b") + COUNTIF(Y2:Y410, "a/b")</f>
        <v>14</v>
      </c>
      <c r="Z411" s="0" t="n">
        <v>217</v>
      </c>
      <c r="AA411" s="0" t="n">
        <f aca="false">SUM(AA2:AA410)</f>
        <v>15603</v>
      </c>
    </row>
    <row r="412" customFormat="false" ht="15" hidden="false" customHeight="false" outlineLevel="0" collapsed="false">
      <c r="O412" s="0" t="n">
        <f aca="false">1-(O411/409)</f>
        <v>0.437652811735941</v>
      </c>
      <c r="P412" s="0" t="n">
        <f aca="false">1-(P411/409)</f>
        <v>0.992665036674817</v>
      </c>
      <c r="Q412" s="0" t="n">
        <f aca="false">1-(Q411/409)</f>
        <v>0.982885085574572</v>
      </c>
      <c r="R412" s="0" t="n">
        <f aca="false">1-(R411/409)</f>
        <v>0.992665036674817</v>
      </c>
      <c r="S412" s="0" t="n">
        <f aca="false">1-(S411/409)</f>
        <v>0.997555012224939</v>
      </c>
      <c r="T412" s="0" t="n">
        <f aca="false">1-(T411/409)</f>
        <v>1</v>
      </c>
      <c r="U412" s="0" t="n">
        <f aca="false">1-(U411/409)</f>
        <v>0.757946210268949</v>
      </c>
      <c r="V412" s="0" t="n">
        <f aca="false">1-(V411/409)</f>
        <v>0.887530562347188</v>
      </c>
      <c r="W412" s="0" t="n">
        <f aca="false">1-(W411/409)</f>
        <v>0.941320293398533</v>
      </c>
      <c r="X412" s="0" t="n">
        <f aca="false">1-(X411/409)</f>
        <v>0.916870415647922</v>
      </c>
      <c r="Y412" s="0" t="n">
        <f aca="false">1-(Y411/409)</f>
        <v>0.965770171149144</v>
      </c>
      <c r="Z412" s="8" t="n">
        <f aca="false">Z411/AA411</f>
        <v>0.0139075818752804</v>
      </c>
    </row>
  </sheetData>
  <mergeCells count="2">
    <mergeCell ref="AB15:AC15"/>
    <mergeCell ref="AB16:AC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387"/>
  <sheetViews>
    <sheetView showFormulas="false" showGridLines="true" showRowColHeaders="true" showZeros="true" rightToLeft="false" tabSelected="false" showOutlineSymbols="true" defaultGridColor="true" view="normal" topLeftCell="B1" colorId="64" zoomScale="85" zoomScaleNormal="85" zoomScalePageLayoutView="100" workbookViewId="0">
      <pane xSplit="0" ySplit="1" topLeftCell="A353" activePane="bottomLeft" state="frozen"/>
      <selection pane="topLeft" activeCell="B1" activeCellId="0" sqref="B1"/>
      <selection pane="bottomLeft" activeCell="G13" activeCellId="0" sqref="G13"/>
    </sheetView>
  </sheetViews>
  <sheetFormatPr defaultColWidth="8.6796875" defaultRowHeight="15" customHeight="false" zeroHeight="false" outlineLevelRow="0" outlineLevelCol="0"/>
  <sheetData>
    <row r="1" customFormat="false" ht="15" hidden="false" customHeight="false" outlineLevel="0" collapsed="false">
      <c r="A1" s="0" t="s">
        <v>0</v>
      </c>
      <c r="B1" s="0" t="s">
        <v>1</v>
      </c>
      <c r="C1" s="0" t="s">
        <v>2</v>
      </c>
      <c r="D1" s="0" t="s">
        <v>1396</v>
      </c>
      <c r="E1" s="0" t="s">
        <v>4</v>
      </c>
      <c r="F1" s="0" t="s">
        <v>1397</v>
      </c>
      <c r="G1" s="0" t="s">
        <v>1398</v>
      </c>
      <c r="H1" s="0" t="s">
        <v>8</v>
      </c>
      <c r="I1" s="0" t="s">
        <v>9</v>
      </c>
      <c r="J1" s="0" t="s">
        <v>10</v>
      </c>
      <c r="K1" s="0" t="s">
        <v>11</v>
      </c>
      <c r="L1" s="0" t="s">
        <v>12</v>
      </c>
      <c r="M1" s="0" t="s">
        <v>13</v>
      </c>
      <c r="N1" s="0" t="s">
        <v>2</v>
      </c>
      <c r="O1" s="0" t="s">
        <v>1396</v>
      </c>
      <c r="P1" s="0" t="s">
        <v>4</v>
      </c>
      <c r="Q1" s="0" t="s">
        <v>1397</v>
      </c>
      <c r="R1" s="0" t="s">
        <v>1398</v>
      </c>
      <c r="S1" s="0" t="s">
        <v>8</v>
      </c>
      <c r="T1" s="0" t="s">
        <v>9</v>
      </c>
      <c r="U1" s="0" t="s">
        <v>10</v>
      </c>
      <c r="V1" s="0" t="s">
        <v>11</v>
      </c>
      <c r="W1" s="0" t="s">
        <v>12</v>
      </c>
      <c r="X1" s="0" t="s">
        <v>13</v>
      </c>
      <c r="Y1" s="0" t="s">
        <v>1399</v>
      </c>
      <c r="Z1" s="0" t="s">
        <v>1400</v>
      </c>
      <c r="AA1" s="0" t="s">
        <v>16</v>
      </c>
      <c r="AB1" s="0" t="s">
        <v>17</v>
      </c>
      <c r="AC1" s="0" t="s">
        <v>18</v>
      </c>
    </row>
    <row r="2" customFormat="false" ht="15" hidden="false" customHeight="false" outlineLevel="0" collapsed="false">
      <c r="A2" s="0" t="s">
        <v>1401</v>
      </c>
      <c r="B2" s="0" t="n">
        <v>1907</v>
      </c>
      <c r="C2" s="0" t="s">
        <v>1402</v>
      </c>
      <c r="E2" s="0" t="s">
        <v>1403</v>
      </c>
      <c r="H2" s="0" t="s">
        <v>1404</v>
      </c>
      <c r="I2" s="0" t="s">
        <v>1405</v>
      </c>
      <c r="J2" s="0" t="s">
        <v>1406</v>
      </c>
      <c r="K2" s="0" t="s">
        <v>954</v>
      </c>
      <c r="L2" s="0" t="s">
        <v>1407</v>
      </c>
      <c r="M2" s="0" t="s">
        <v>1408</v>
      </c>
      <c r="Z2" s="0" t="n">
        <f aca="false">LEN(C2)+LEN(D2)+LEN(E2)+LEN(F2)+LEN(G2)+LEN(H2)+LEN(J2)+LEN(K2)+LEN(L2)+LEN(M2)</f>
        <v>87</v>
      </c>
      <c r="AA2" s="0" t="s">
        <v>17</v>
      </c>
      <c r="AB2" s="0" t="s">
        <v>23</v>
      </c>
      <c r="AC2" s="0" t="s">
        <v>24</v>
      </c>
    </row>
    <row r="3" customFormat="false" ht="15" hidden="false" customHeight="false" outlineLevel="0" collapsed="false">
      <c r="A3" s="0" t="s">
        <v>1409</v>
      </c>
      <c r="B3" s="0" t="n">
        <v>1907</v>
      </c>
      <c r="C3" s="0" t="s">
        <v>1410</v>
      </c>
      <c r="H3" s="0" t="s">
        <v>1411</v>
      </c>
      <c r="I3" s="0" t="s">
        <v>1412</v>
      </c>
      <c r="P3" s="0" t="s">
        <v>29</v>
      </c>
      <c r="Z3" s="0" t="n">
        <f aca="false">LEN(C3)+LEN(D3)+LEN(E3)+LEN(F3)+LEN(G3)+LEN(H3)+LEN(J3)+LEN(K3)+LEN(L3)+LEN(M3)</f>
        <v>56</v>
      </c>
      <c r="AA3" s="0" t="s">
        <v>18</v>
      </c>
      <c r="AB3" s="0" t="s">
        <v>24</v>
      </c>
      <c r="AC3" s="0" t="s">
        <v>23</v>
      </c>
    </row>
    <row r="4" customFormat="false" ht="15" hidden="false" customHeight="false" outlineLevel="0" collapsed="false">
      <c r="A4" s="0" t="s">
        <v>1413</v>
      </c>
      <c r="B4" s="0" t="n">
        <v>1907</v>
      </c>
      <c r="C4" s="0" t="s">
        <v>1414</v>
      </c>
      <c r="I4" s="0" t="s">
        <v>1414</v>
      </c>
      <c r="Z4" s="0" t="n">
        <f aca="false">LEN(C4)+LEN(D4)+LEN(E4)+LEN(F4)+LEN(G4)+LEN(H4)+LEN(J4)+LEN(K4)+LEN(L4)+LEN(M4)</f>
        <v>28</v>
      </c>
    </row>
    <row r="5" customFormat="false" ht="15" hidden="false" customHeight="false" outlineLevel="0" collapsed="false">
      <c r="A5" s="0" t="s">
        <v>1415</v>
      </c>
      <c r="B5" s="0" t="n">
        <v>1907</v>
      </c>
      <c r="C5" s="0" t="s">
        <v>1416</v>
      </c>
      <c r="I5" s="0" t="s">
        <v>1417</v>
      </c>
      <c r="N5" s="0" t="s">
        <v>29</v>
      </c>
      <c r="Z5" s="0" t="n">
        <f aca="false">LEN(C5)+LEN(D5)+LEN(E5)+LEN(F5)+LEN(G5)+LEN(H5)+LEN(J5)+LEN(K5)+LEN(L5)+LEN(M5)</f>
        <v>37</v>
      </c>
      <c r="AA5" s="0" t="s">
        <v>37</v>
      </c>
    </row>
    <row r="6" customFormat="false" ht="15" hidden="false" customHeight="false" outlineLevel="0" collapsed="false">
      <c r="A6" s="0" t="s">
        <v>1418</v>
      </c>
      <c r="B6" s="0" t="n">
        <v>1907</v>
      </c>
      <c r="C6" s="0" t="s">
        <v>1419</v>
      </c>
      <c r="I6" s="0" t="s">
        <v>1420</v>
      </c>
      <c r="N6" s="0" t="s">
        <v>29</v>
      </c>
      <c r="Z6" s="0" t="n">
        <f aca="false">LEN(C6)+LEN(D6)+LEN(E6)+LEN(F6)+LEN(G6)+LEN(H6)+LEN(J6)+LEN(K6)+LEN(L6)+LEN(M6)</f>
        <v>49</v>
      </c>
      <c r="AA6" s="0" t="s">
        <v>16</v>
      </c>
      <c r="AB6" s="0" t="s">
        <v>17</v>
      </c>
      <c r="AC6" s="0" t="s">
        <v>18</v>
      </c>
    </row>
    <row r="7" customFormat="false" ht="15" hidden="false" customHeight="false" outlineLevel="0" collapsed="false">
      <c r="A7" s="0" t="s">
        <v>1421</v>
      </c>
      <c r="B7" s="0" t="n">
        <v>1907</v>
      </c>
      <c r="C7" s="0" t="s">
        <v>1422</v>
      </c>
      <c r="I7" s="0" t="s">
        <v>1423</v>
      </c>
      <c r="N7" s="6" t="s">
        <v>29</v>
      </c>
      <c r="Z7" s="0" t="n">
        <f aca="false">LEN(C7)+LEN(D7)+LEN(E7)+LEN(F7)+LEN(G7)+LEN(H7)+LEN(J7)+LEN(K7)+LEN(L7)+LEN(M7)</f>
        <v>40</v>
      </c>
      <c r="AA7" s="0" t="s">
        <v>17</v>
      </c>
      <c r="AC7" s="0" t="s">
        <v>24</v>
      </c>
    </row>
    <row r="8" customFormat="false" ht="15" hidden="false" customHeight="false" outlineLevel="0" collapsed="false">
      <c r="A8" s="0" t="s">
        <v>1424</v>
      </c>
      <c r="B8" s="0" t="n">
        <v>1907</v>
      </c>
      <c r="C8" s="0" t="s">
        <v>1425</v>
      </c>
      <c r="I8" s="0" t="s">
        <v>1425</v>
      </c>
      <c r="Z8" s="0" t="n">
        <f aca="false">LEN(C8)+LEN(D8)+LEN(E8)+LEN(F8)+LEN(G8)+LEN(H8)+LEN(J8)+LEN(K8)+LEN(L8)+LEN(M8)</f>
        <v>47</v>
      </c>
      <c r="AA8" s="0" t="s">
        <v>18</v>
      </c>
      <c r="AB8" s="0" t="s">
        <v>24</v>
      </c>
    </row>
    <row r="9" customFormat="false" ht="15" hidden="false" customHeight="false" outlineLevel="0" collapsed="false">
      <c r="A9" s="0" t="s">
        <v>1426</v>
      </c>
      <c r="B9" s="0" t="n">
        <v>1907</v>
      </c>
      <c r="C9" s="0" t="s">
        <v>1427</v>
      </c>
      <c r="I9" s="0" t="s">
        <v>1427</v>
      </c>
      <c r="Z9" s="0" t="n">
        <f aca="false">LEN(C9)+LEN(D9)+LEN(E9)+LEN(F9)+LEN(G9)+LEN(H9)+LEN(J9)+LEN(K9)+LEN(L9)+LEN(M9)</f>
        <v>54</v>
      </c>
    </row>
    <row r="10" customFormat="false" ht="15" hidden="false" customHeight="false" outlineLevel="0" collapsed="false">
      <c r="A10" s="0" t="s">
        <v>1428</v>
      </c>
      <c r="B10" s="0" t="n">
        <v>1907</v>
      </c>
      <c r="C10" s="0" t="s">
        <v>1429</v>
      </c>
      <c r="I10" s="0" t="s">
        <v>1430</v>
      </c>
      <c r="Z10" s="0" t="n">
        <f aca="false">LEN(C10)+LEN(D10)+LEN(E10)+LEN(F10)+LEN(G10)+LEN(H10)+LEN(J10)+LEN(K10)+LEN(L10)+LEN(M10)</f>
        <v>48</v>
      </c>
      <c r="AA10" s="0" t="s">
        <v>58</v>
      </c>
    </row>
    <row r="11" customFormat="false" ht="15" hidden="false" customHeight="false" outlineLevel="0" collapsed="false">
      <c r="A11" s="0" t="s">
        <v>1431</v>
      </c>
      <c r="B11" s="0" t="n">
        <v>1907</v>
      </c>
      <c r="C11" s="0" t="s">
        <v>1432</v>
      </c>
      <c r="I11" s="0" t="s">
        <v>1433</v>
      </c>
      <c r="J11" s="0" t="s">
        <v>1434</v>
      </c>
      <c r="K11" s="0" t="s">
        <v>69</v>
      </c>
      <c r="L11" s="0" t="s">
        <v>880</v>
      </c>
      <c r="M11" s="0" t="s">
        <v>1435</v>
      </c>
      <c r="U11" s="0" t="s">
        <v>29</v>
      </c>
      <c r="V11" s="0" t="s">
        <v>29</v>
      </c>
      <c r="W11" s="0" t="s">
        <v>29</v>
      </c>
      <c r="Z11" s="0" t="n">
        <f aca="false">LEN(C11)+LEN(D11)+LEN(E11)+LEN(F11)+LEN(G11)+LEN(H11)+LEN(J11)+LEN(K11)+LEN(L11)+LEN(M11)</f>
        <v>42</v>
      </c>
      <c r="AA11" s="0" t="s">
        <v>63</v>
      </c>
    </row>
    <row r="12" customFormat="false" ht="15" hidden="false" customHeight="false" outlineLevel="0" collapsed="false">
      <c r="A12" s="0" t="s">
        <v>1436</v>
      </c>
      <c r="B12" s="0" t="n">
        <v>1907</v>
      </c>
      <c r="C12" s="0" t="s">
        <v>1437</v>
      </c>
      <c r="I12" s="0" t="s">
        <v>1438</v>
      </c>
      <c r="J12" s="0" t="s">
        <v>1439</v>
      </c>
      <c r="K12" s="0" t="s">
        <v>69</v>
      </c>
      <c r="M12" s="0" t="s">
        <v>1440</v>
      </c>
      <c r="U12" s="0" t="s">
        <v>29</v>
      </c>
      <c r="W12" s="0" t="s">
        <v>29</v>
      </c>
      <c r="Z12" s="0" t="n">
        <f aca="false">LEN(C12)+LEN(D12)+LEN(E12)+LEN(F12)+LEN(G12)+LEN(H12)+LEN(J12)+LEN(K12)+LEN(L12)+LEN(M12)</f>
        <v>44</v>
      </c>
      <c r="AA12" s="0" t="s">
        <v>1441</v>
      </c>
      <c r="AB12" s="0" t="s">
        <v>69</v>
      </c>
    </row>
    <row r="13" customFormat="false" ht="15" hidden="false" customHeight="false" outlineLevel="0" collapsed="false">
      <c r="A13" s="0" t="s">
        <v>1442</v>
      </c>
      <c r="B13" s="0" t="n">
        <v>1907</v>
      </c>
      <c r="C13" s="0" t="s">
        <v>1443</v>
      </c>
      <c r="I13" s="0" t="s">
        <v>1444</v>
      </c>
      <c r="N13" s="0" t="s">
        <v>29</v>
      </c>
      <c r="Z13" s="0" t="n">
        <f aca="false">LEN(C13)+LEN(D13)+LEN(E13)+LEN(F13)+LEN(G13)+LEN(H13)+LEN(J13)+LEN(K13)+LEN(L13)+LEN(M13)</f>
        <v>48</v>
      </c>
      <c r="AA13" s="0" t="s">
        <v>1445</v>
      </c>
      <c r="AB13" s="0" t="s">
        <v>29</v>
      </c>
    </row>
    <row r="14" customFormat="false" ht="15" hidden="false" customHeight="false" outlineLevel="0" collapsed="false">
      <c r="A14" s="0" t="s">
        <v>1446</v>
      </c>
      <c r="B14" s="0" t="n">
        <v>1907</v>
      </c>
      <c r="C14" s="0" t="s">
        <v>1447</v>
      </c>
      <c r="I14" s="0" t="s">
        <v>1447</v>
      </c>
      <c r="Z14" s="0" t="n">
        <f aca="false">LEN(C14)+LEN(D14)+LEN(E14)+LEN(F14)+LEN(G14)+LEN(H14)+LEN(J14)+LEN(K14)+LEN(L14)+LEN(M14)</f>
        <v>25</v>
      </c>
    </row>
    <row r="15" customFormat="false" ht="15" hidden="false" customHeight="false" outlineLevel="0" collapsed="false">
      <c r="A15" s="0" t="s">
        <v>1448</v>
      </c>
      <c r="B15" s="0" t="n">
        <v>1907</v>
      </c>
      <c r="C15" s="0" t="s">
        <v>1449</v>
      </c>
      <c r="H15" s="0" t="s">
        <v>1450</v>
      </c>
      <c r="I15" s="0" t="s">
        <v>1449</v>
      </c>
      <c r="Z15" s="0" t="n">
        <f aca="false">LEN(C15)+LEN(D15)+LEN(E15)+LEN(F15)+LEN(G15)+LEN(H15)+LEN(J15)+LEN(K15)+LEN(L15)+LEN(M15)</f>
        <v>61</v>
      </c>
    </row>
    <row r="16" customFormat="false" ht="15" hidden="false" customHeight="false" outlineLevel="0" collapsed="false">
      <c r="A16" s="0" t="s">
        <v>1451</v>
      </c>
      <c r="B16" s="0" t="n">
        <v>1907</v>
      </c>
      <c r="C16" s="0" t="s">
        <v>1452</v>
      </c>
      <c r="I16" s="0" t="s">
        <v>1453</v>
      </c>
      <c r="Z16" s="0" t="n">
        <f aca="false">LEN(C16)+LEN(D16)+LEN(E16)+LEN(F16)+LEN(G16)+LEN(H16)+LEN(J16)+LEN(K16)+LEN(L16)+LEN(M16)</f>
        <v>38</v>
      </c>
    </row>
    <row r="17" customFormat="false" ht="15" hidden="false" customHeight="false" outlineLevel="0" collapsed="false">
      <c r="A17" s="0" t="s">
        <v>1454</v>
      </c>
      <c r="B17" s="0" t="n">
        <v>1907</v>
      </c>
      <c r="C17" s="0" t="s">
        <v>1455</v>
      </c>
      <c r="H17" s="0" t="s">
        <v>1456</v>
      </c>
      <c r="I17" s="0" t="s">
        <v>1457</v>
      </c>
      <c r="N17" s="6" t="s">
        <v>29</v>
      </c>
      <c r="Z17" s="0" t="n">
        <f aca="false">LEN(C17)+LEN(D17)+LEN(E17)+LEN(F17)+LEN(G17)+LEN(H17)+LEN(J17)+LEN(K17)+LEN(L17)+LEN(M17)</f>
        <v>52</v>
      </c>
    </row>
    <row r="18" customFormat="false" ht="15" hidden="false" customHeight="false" outlineLevel="0" collapsed="false">
      <c r="A18" s="0" t="s">
        <v>1458</v>
      </c>
      <c r="B18" s="0" t="n">
        <v>1907</v>
      </c>
      <c r="C18" s="0" t="s">
        <v>1459</v>
      </c>
      <c r="H18" s="0" t="s">
        <v>1460</v>
      </c>
      <c r="I18" s="0" t="s">
        <v>1461</v>
      </c>
      <c r="N18" s="0" t="s">
        <v>29</v>
      </c>
      <c r="Z18" s="0" t="n">
        <f aca="false">LEN(C18)+LEN(D18)+LEN(E18)+LEN(F18)+LEN(G18)+LEN(H18)+LEN(J18)+LEN(K18)+LEN(L18)+LEN(M18)</f>
        <v>50</v>
      </c>
    </row>
    <row r="19" customFormat="false" ht="15" hidden="false" customHeight="false" outlineLevel="0" collapsed="false">
      <c r="A19" s="0" t="s">
        <v>1462</v>
      </c>
      <c r="B19" s="0" t="n">
        <v>1907</v>
      </c>
      <c r="C19" s="0" t="s">
        <v>1463</v>
      </c>
      <c r="I19" s="0" t="s">
        <v>1464</v>
      </c>
      <c r="N19" s="0" t="s">
        <v>29</v>
      </c>
      <c r="Z19" s="0" t="n">
        <f aca="false">LEN(C19)+LEN(D19)+LEN(E19)+LEN(F19)+LEN(G19)+LEN(H19)+LEN(J19)+LEN(K19)+LEN(L19)+LEN(M19)</f>
        <v>21</v>
      </c>
    </row>
    <row r="20" customFormat="false" ht="15" hidden="false" customHeight="false" outlineLevel="0" collapsed="false">
      <c r="A20" s="0" t="s">
        <v>1465</v>
      </c>
      <c r="B20" s="0" t="n">
        <v>1907</v>
      </c>
      <c r="C20" s="0" t="s">
        <v>1466</v>
      </c>
      <c r="H20" s="0" t="s">
        <v>1467</v>
      </c>
      <c r="I20" s="0" t="s">
        <v>1468</v>
      </c>
      <c r="N20" s="0" t="s">
        <v>29</v>
      </c>
      <c r="S20" s="0" t="s">
        <v>29</v>
      </c>
      <c r="Z20" s="0" t="n">
        <f aca="false">LEN(C20)+LEN(D20)+LEN(E20)+LEN(F20)+LEN(G20)+LEN(H20)+LEN(J20)+LEN(K20)+LEN(L20)+LEN(M20)</f>
        <v>104</v>
      </c>
    </row>
    <row r="21" customFormat="false" ht="15" hidden="false" customHeight="false" outlineLevel="0" collapsed="false">
      <c r="A21" s="0" t="s">
        <v>1469</v>
      </c>
      <c r="B21" s="0" t="n">
        <v>1907</v>
      </c>
      <c r="C21" s="0" t="s">
        <v>1470</v>
      </c>
      <c r="E21" s="0" t="s">
        <v>1471</v>
      </c>
      <c r="H21" s="0" t="s">
        <v>1472</v>
      </c>
      <c r="I21" s="0" t="s">
        <v>1473</v>
      </c>
      <c r="J21" s="0" t="s">
        <v>447</v>
      </c>
      <c r="K21" s="0" t="s">
        <v>1474</v>
      </c>
      <c r="M21" s="0" t="s">
        <v>1435</v>
      </c>
      <c r="W21" s="0" t="s">
        <v>29</v>
      </c>
      <c r="Z21" s="0" t="n">
        <f aca="false">LEN(C21)+LEN(D21)+LEN(E21)+LEN(F21)+LEN(G21)+LEN(H21)+LEN(J21)+LEN(K21)+LEN(L21)+LEN(M21)</f>
        <v>75</v>
      </c>
    </row>
    <row r="22" customFormat="false" ht="15" hidden="false" customHeight="false" outlineLevel="0" collapsed="false">
      <c r="A22" s="0" t="s">
        <v>1475</v>
      </c>
      <c r="B22" s="0" t="n">
        <v>1907</v>
      </c>
      <c r="C22" s="0" t="s">
        <v>1476</v>
      </c>
      <c r="I22" s="0" t="s">
        <v>1476</v>
      </c>
      <c r="Z22" s="0" t="n">
        <f aca="false">LEN(C22)+LEN(D22)+LEN(E22)+LEN(F22)+LEN(G22)+LEN(H22)+LEN(J22)+LEN(K22)+LEN(L22)+LEN(M22)</f>
        <v>37</v>
      </c>
    </row>
    <row r="23" customFormat="false" ht="15" hidden="false" customHeight="false" outlineLevel="0" collapsed="false">
      <c r="A23" s="0" t="s">
        <v>1477</v>
      </c>
      <c r="B23" s="0" t="n">
        <v>1907</v>
      </c>
      <c r="C23" s="0" t="s">
        <v>1478</v>
      </c>
      <c r="I23" s="0" t="s">
        <v>1479</v>
      </c>
      <c r="J23" s="0" t="s">
        <v>1480</v>
      </c>
      <c r="K23" s="0" t="s">
        <v>1481</v>
      </c>
      <c r="M23" s="0" t="s">
        <v>1440</v>
      </c>
      <c r="W23" s="0" t="s">
        <v>29</v>
      </c>
      <c r="X23" s="0" t="s">
        <v>29</v>
      </c>
      <c r="Z23" s="0" t="n">
        <f aca="false">LEN(C23)+LEN(D23)+LEN(E23)+LEN(F23)+LEN(G23)+LEN(H23)+LEN(J23)+LEN(K23)+LEN(L23)+LEN(M23)</f>
        <v>68</v>
      </c>
    </row>
    <row r="24" customFormat="false" ht="15" hidden="false" customHeight="false" outlineLevel="0" collapsed="false">
      <c r="A24" s="0" t="s">
        <v>1482</v>
      </c>
      <c r="B24" s="0" t="n">
        <v>1907</v>
      </c>
      <c r="C24" s="0" t="s">
        <v>1483</v>
      </c>
      <c r="I24" s="0" t="s">
        <v>1484</v>
      </c>
      <c r="N24" s="0" t="s">
        <v>29</v>
      </c>
      <c r="Z24" s="0" t="n">
        <f aca="false">LEN(C24)+LEN(D24)+LEN(E24)+LEN(F24)+LEN(G24)+LEN(H24)+LEN(J24)+LEN(K24)+LEN(L24)+LEN(M24)</f>
        <v>67</v>
      </c>
    </row>
    <row r="25" customFormat="false" ht="15" hidden="false" customHeight="false" outlineLevel="0" collapsed="false">
      <c r="A25" s="0" t="s">
        <v>1485</v>
      </c>
      <c r="B25" s="0" t="n">
        <v>1907</v>
      </c>
      <c r="C25" s="0" t="s">
        <v>1486</v>
      </c>
      <c r="I25" s="0" t="s">
        <v>1486</v>
      </c>
      <c r="Z25" s="0" t="n">
        <f aca="false">LEN(C25)+LEN(D25)+LEN(E25)+LEN(F25)+LEN(G25)+LEN(H25)+LEN(J25)+LEN(K25)+LEN(L25)+LEN(M25)</f>
        <v>36</v>
      </c>
    </row>
    <row r="26" customFormat="false" ht="15" hidden="false" customHeight="false" outlineLevel="0" collapsed="false">
      <c r="A26" s="0" t="s">
        <v>1487</v>
      </c>
      <c r="B26" s="0" t="n">
        <v>1907</v>
      </c>
      <c r="C26" s="0" t="s">
        <v>1488</v>
      </c>
      <c r="I26" s="0" t="s">
        <v>1489</v>
      </c>
      <c r="Z26" s="0" t="n">
        <f aca="false">LEN(C26)+LEN(D26)+LEN(E26)+LEN(F26)+LEN(G26)+LEN(H26)+LEN(J26)+LEN(K26)+LEN(L26)+LEN(M26)</f>
        <v>44</v>
      </c>
    </row>
    <row r="27" customFormat="false" ht="15" hidden="false" customHeight="false" outlineLevel="0" collapsed="false">
      <c r="A27" s="0" t="s">
        <v>1490</v>
      </c>
      <c r="B27" s="0" t="n">
        <v>1907</v>
      </c>
      <c r="C27" s="0" t="s">
        <v>1491</v>
      </c>
      <c r="E27" s="0" t="s">
        <v>1492</v>
      </c>
      <c r="H27" s="0" t="s">
        <v>1493</v>
      </c>
      <c r="I27" s="0" t="s">
        <v>1494</v>
      </c>
      <c r="J27" s="0" t="s">
        <v>1495</v>
      </c>
      <c r="K27" s="0" t="s">
        <v>1267</v>
      </c>
      <c r="L27" s="0" t="s">
        <v>962</v>
      </c>
      <c r="M27" s="0" t="s">
        <v>1440</v>
      </c>
      <c r="U27" s="0" t="s">
        <v>29</v>
      </c>
      <c r="X27" s="0" t="s">
        <v>29</v>
      </c>
      <c r="Z27" s="0" t="n">
        <f aca="false">LEN(C27)+LEN(D27)+LEN(E27)+LEN(F27)+LEN(G27)+LEN(H27)+LEN(J27)+LEN(K27)+LEN(L27)+LEN(M27)</f>
        <v>63</v>
      </c>
    </row>
    <row r="28" customFormat="false" ht="15" hidden="false" customHeight="false" outlineLevel="0" collapsed="false">
      <c r="A28" s="0" t="s">
        <v>1496</v>
      </c>
      <c r="B28" s="0" t="n">
        <v>1907</v>
      </c>
      <c r="C28" s="0" t="s">
        <v>1497</v>
      </c>
      <c r="I28" s="0" t="s">
        <v>1498</v>
      </c>
      <c r="J28" s="0" t="s">
        <v>1499</v>
      </c>
      <c r="K28" s="0" t="s">
        <v>69</v>
      </c>
      <c r="L28" s="0" t="s">
        <v>24</v>
      </c>
      <c r="M28" s="0" t="s">
        <v>1440</v>
      </c>
      <c r="U28" s="0" t="s">
        <v>29</v>
      </c>
      <c r="Z28" s="0" t="n">
        <f aca="false">LEN(C28)+LEN(D28)+LEN(E28)+LEN(F28)+LEN(G28)+LEN(H28)+LEN(J28)+LEN(K28)+LEN(L28)+LEN(M28)</f>
        <v>35</v>
      </c>
    </row>
    <row r="29" customFormat="false" ht="15" hidden="false" customHeight="false" outlineLevel="0" collapsed="false">
      <c r="A29" s="0" t="s">
        <v>1500</v>
      </c>
      <c r="B29" s="0" t="n">
        <v>1907</v>
      </c>
      <c r="C29" s="0" t="s">
        <v>1501</v>
      </c>
      <c r="I29" s="0" t="s">
        <v>1502</v>
      </c>
      <c r="Z29" s="0" t="n">
        <f aca="false">LEN(C29)+LEN(D29)+LEN(E29)+LEN(F29)+LEN(G29)+LEN(H29)+LEN(J29)+LEN(K29)+LEN(L29)+LEN(M29)</f>
        <v>50</v>
      </c>
    </row>
    <row r="30" customFormat="false" ht="15" hidden="false" customHeight="false" outlineLevel="0" collapsed="false">
      <c r="A30" s="0" t="s">
        <v>1503</v>
      </c>
      <c r="B30" s="0" t="n">
        <v>1907</v>
      </c>
      <c r="C30" s="0" t="s">
        <v>1504</v>
      </c>
      <c r="I30" s="0" t="s">
        <v>1505</v>
      </c>
      <c r="J30" s="0" t="s">
        <v>1278</v>
      </c>
      <c r="K30" s="0" t="s">
        <v>1506</v>
      </c>
      <c r="L30" s="0" t="s">
        <v>1507</v>
      </c>
      <c r="M30" s="0" t="s">
        <v>1440</v>
      </c>
      <c r="U30" s="0" t="s">
        <v>29</v>
      </c>
      <c r="W30" s="0" t="s">
        <v>29</v>
      </c>
      <c r="Z30" s="0" t="n">
        <f aca="false">LEN(C30)+LEN(D30)+LEN(E30)+LEN(F30)+LEN(G30)+LEN(H30)+LEN(J30)+LEN(K30)+LEN(L30)+LEN(M30)</f>
        <v>55</v>
      </c>
    </row>
    <row r="31" customFormat="false" ht="15" hidden="false" customHeight="false" outlineLevel="0" collapsed="false">
      <c r="A31" s="0" t="s">
        <v>1508</v>
      </c>
      <c r="B31" s="0" t="n">
        <v>1907</v>
      </c>
      <c r="C31" s="0" t="s">
        <v>1509</v>
      </c>
      <c r="I31" s="0" t="s">
        <v>1510</v>
      </c>
      <c r="N31" s="0" t="s">
        <v>29</v>
      </c>
      <c r="Z31" s="0" t="n">
        <f aca="false">LEN(C31)+LEN(D31)+LEN(E31)+LEN(F31)+LEN(G31)+LEN(H31)+LEN(J31)+LEN(K31)+LEN(L31)+LEN(M31)</f>
        <v>61</v>
      </c>
    </row>
    <row r="32" customFormat="false" ht="15" hidden="false" customHeight="false" outlineLevel="0" collapsed="false">
      <c r="A32" s="0" t="s">
        <v>1511</v>
      </c>
      <c r="B32" s="0" t="n">
        <v>1907</v>
      </c>
      <c r="C32" s="0" t="s">
        <v>1512</v>
      </c>
      <c r="I32" s="0" t="s">
        <v>1513</v>
      </c>
      <c r="N32" s="0" t="s">
        <v>29</v>
      </c>
      <c r="Z32" s="0" t="n">
        <f aca="false">LEN(C32)+LEN(D32)+LEN(E32)+LEN(F32)+LEN(G32)+LEN(H32)+LEN(J32)+LEN(K32)+LEN(L32)+LEN(M32)</f>
        <v>16</v>
      </c>
    </row>
    <row r="33" customFormat="false" ht="15" hidden="false" customHeight="false" outlineLevel="0" collapsed="false">
      <c r="A33" s="0" t="s">
        <v>1514</v>
      </c>
      <c r="B33" s="0" t="n">
        <v>1907</v>
      </c>
      <c r="C33" s="0" t="s">
        <v>1515</v>
      </c>
      <c r="E33" s="0" t="s">
        <v>1516</v>
      </c>
      <c r="H33" s="0" t="s">
        <v>1411</v>
      </c>
      <c r="I33" s="0" t="s">
        <v>1517</v>
      </c>
      <c r="J33" s="0" t="s">
        <v>1518</v>
      </c>
      <c r="K33" s="0" t="s">
        <v>324</v>
      </c>
      <c r="M33" s="0" t="s">
        <v>1440</v>
      </c>
      <c r="W33" s="0" t="s">
        <v>29</v>
      </c>
      <c r="Z33" s="0" t="n">
        <f aca="false">LEN(C33)+LEN(D33)+LEN(E33)+LEN(F33)+LEN(G33)+LEN(H33)+LEN(J33)+LEN(K33)+LEN(L33)+LEN(M33)</f>
        <v>97</v>
      </c>
    </row>
    <row r="34" customFormat="false" ht="15" hidden="false" customHeight="false" outlineLevel="0" collapsed="false">
      <c r="A34" s="0" t="s">
        <v>1519</v>
      </c>
      <c r="B34" s="0" t="n">
        <v>1907</v>
      </c>
      <c r="C34" s="0" t="s">
        <v>1520</v>
      </c>
      <c r="I34" s="0" t="s">
        <v>1521</v>
      </c>
      <c r="N34" s="0" t="s">
        <v>29</v>
      </c>
      <c r="Z34" s="0" t="n">
        <f aca="false">LEN(C34)+LEN(D34)+LEN(E34)+LEN(F34)+LEN(G34)+LEN(H34)+LEN(J34)+LEN(K34)+LEN(L34)+LEN(M34)</f>
        <v>39</v>
      </c>
    </row>
    <row r="35" customFormat="false" ht="15" hidden="false" customHeight="false" outlineLevel="0" collapsed="false">
      <c r="A35" s="0" t="s">
        <v>1522</v>
      </c>
      <c r="B35" s="0" t="n">
        <v>1907</v>
      </c>
      <c r="C35" s="0" t="s">
        <v>1520</v>
      </c>
      <c r="I35" s="0" t="s">
        <v>1521</v>
      </c>
      <c r="N35" s="0" t="s">
        <v>29</v>
      </c>
      <c r="Z35" s="0" t="n">
        <f aca="false">LEN(C35)+LEN(D35)+LEN(E35)+LEN(F35)+LEN(G35)+LEN(H35)+LEN(J35)+LEN(K35)+LEN(L35)+LEN(M35)</f>
        <v>39</v>
      </c>
    </row>
    <row r="36" customFormat="false" ht="15" hidden="false" customHeight="false" outlineLevel="0" collapsed="false">
      <c r="A36" s="0" t="s">
        <v>1523</v>
      </c>
      <c r="B36" s="0" t="n">
        <v>1907</v>
      </c>
      <c r="C36" s="0" t="s">
        <v>1524</v>
      </c>
      <c r="I36" s="0" t="s">
        <v>1524</v>
      </c>
      <c r="Z36" s="0" t="n">
        <f aca="false">LEN(C36)+LEN(D36)+LEN(E36)+LEN(F36)+LEN(G36)+LEN(H36)+LEN(J36)+LEN(K36)+LEN(L36)+LEN(M36)</f>
        <v>40</v>
      </c>
    </row>
    <row r="37" customFormat="false" ht="15" hidden="false" customHeight="false" outlineLevel="0" collapsed="false">
      <c r="A37" s="0" t="s">
        <v>1525</v>
      </c>
      <c r="B37" s="0" t="n">
        <v>1907</v>
      </c>
      <c r="C37" s="0" t="s">
        <v>1526</v>
      </c>
      <c r="I37" s="0" t="s">
        <v>1527</v>
      </c>
      <c r="J37" s="0" t="s">
        <v>1528</v>
      </c>
      <c r="K37" s="0" t="s">
        <v>1262</v>
      </c>
      <c r="M37" s="0" t="s">
        <v>1529</v>
      </c>
      <c r="N37" s="0" t="s">
        <v>29</v>
      </c>
      <c r="U37" s="0" t="s">
        <v>29</v>
      </c>
      <c r="Z37" s="0" t="n">
        <f aca="false">LEN(C37)+LEN(D37)+LEN(E37)+LEN(F37)+LEN(G37)+LEN(H37)+LEN(J37)+LEN(K37)+LEN(L37)+LEN(M37)</f>
        <v>64</v>
      </c>
    </row>
    <row r="38" customFormat="false" ht="15" hidden="false" customHeight="false" outlineLevel="0" collapsed="false">
      <c r="A38" s="0" t="s">
        <v>1530</v>
      </c>
      <c r="B38" s="0" t="n">
        <v>1907</v>
      </c>
      <c r="C38" s="0" t="s">
        <v>1531</v>
      </c>
      <c r="I38" s="0" t="s">
        <v>1532</v>
      </c>
      <c r="J38" s="0" t="s">
        <v>1533</v>
      </c>
      <c r="K38" s="0" t="s">
        <v>1534</v>
      </c>
      <c r="L38" s="0" t="s">
        <v>881</v>
      </c>
      <c r="M38" s="0" t="s">
        <v>1435</v>
      </c>
      <c r="N38" s="0" t="s">
        <v>29</v>
      </c>
      <c r="U38" s="0" t="s">
        <v>29</v>
      </c>
      <c r="Z38" s="0" t="n">
        <f aca="false">LEN(C38)+LEN(D38)+LEN(E38)+LEN(F38)+LEN(G38)+LEN(H38)+LEN(J38)+LEN(K38)+LEN(L38)+LEN(M38)</f>
        <v>70</v>
      </c>
    </row>
    <row r="39" customFormat="false" ht="15" hidden="false" customHeight="false" outlineLevel="0" collapsed="false">
      <c r="A39" s="0" t="s">
        <v>1535</v>
      </c>
      <c r="B39" s="0" t="n">
        <v>1907</v>
      </c>
      <c r="C39" s="0" t="s">
        <v>1536</v>
      </c>
      <c r="I39" s="0" t="s">
        <v>1536</v>
      </c>
      <c r="Z39" s="0" t="n">
        <f aca="false">LEN(C39)+LEN(D39)+LEN(E39)+LEN(F39)+LEN(G39)+LEN(H39)+LEN(J39)+LEN(K39)+LEN(L39)+LEN(M39)</f>
        <v>32</v>
      </c>
    </row>
    <row r="40" customFormat="false" ht="15" hidden="false" customHeight="false" outlineLevel="0" collapsed="false">
      <c r="A40" s="0" t="s">
        <v>1537</v>
      </c>
      <c r="B40" s="0" t="n">
        <v>1907</v>
      </c>
      <c r="C40" s="0" t="s">
        <v>1538</v>
      </c>
      <c r="I40" s="0" t="s">
        <v>1538</v>
      </c>
      <c r="Z40" s="0" t="n">
        <f aca="false">LEN(C40)+LEN(D40)+LEN(E40)+LEN(F40)+LEN(G40)+LEN(H40)+LEN(J40)+LEN(K40)+LEN(L40)+LEN(M40)</f>
        <v>37</v>
      </c>
    </row>
    <row r="41" customFormat="false" ht="15" hidden="false" customHeight="false" outlineLevel="0" collapsed="false">
      <c r="A41" s="0" t="s">
        <v>1539</v>
      </c>
      <c r="B41" s="0" t="n">
        <v>1907</v>
      </c>
      <c r="C41" s="0" t="s">
        <v>1540</v>
      </c>
      <c r="I41" s="0" t="s">
        <v>1540</v>
      </c>
      <c r="Z41" s="0" t="n">
        <f aca="false">LEN(C41)+LEN(D41)+LEN(E41)+LEN(F41)+LEN(G41)+LEN(H41)+LEN(J41)+LEN(K41)+LEN(L41)+LEN(M41)</f>
        <v>33</v>
      </c>
    </row>
    <row r="42" customFormat="false" ht="15" hidden="false" customHeight="false" outlineLevel="0" collapsed="false">
      <c r="A42" s="0" t="s">
        <v>1541</v>
      </c>
      <c r="B42" s="0" t="n">
        <v>1907</v>
      </c>
      <c r="C42" s="0" t="s">
        <v>1542</v>
      </c>
      <c r="I42" s="0" t="s">
        <v>1543</v>
      </c>
      <c r="N42" s="0" t="s">
        <v>29</v>
      </c>
      <c r="Z42" s="0" t="n">
        <f aca="false">LEN(C42)+LEN(D42)+LEN(E42)+LEN(F42)+LEN(G42)+LEN(H42)+LEN(J42)+LEN(K42)+LEN(L42)+LEN(M42)</f>
        <v>66</v>
      </c>
    </row>
    <row r="43" customFormat="false" ht="15" hidden="false" customHeight="false" outlineLevel="0" collapsed="false">
      <c r="A43" s="0" t="s">
        <v>1544</v>
      </c>
      <c r="B43" s="0" t="n">
        <v>1907</v>
      </c>
      <c r="C43" s="0" t="s">
        <v>1545</v>
      </c>
      <c r="E43" s="0" t="s">
        <v>1516</v>
      </c>
      <c r="H43" s="0" t="s">
        <v>1411</v>
      </c>
      <c r="I43" s="0" t="s">
        <v>1546</v>
      </c>
      <c r="J43" s="0" t="s">
        <v>1547</v>
      </c>
      <c r="K43" s="0" t="s">
        <v>386</v>
      </c>
      <c r="L43" s="0" t="s">
        <v>69</v>
      </c>
      <c r="M43" s="0" t="s">
        <v>1435</v>
      </c>
      <c r="U43" s="0" t="s">
        <v>69</v>
      </c>
      <c r="Y43" s="0" t="n">
        <v>1</v>
      </c>
      <c r="Z43" s="0" t="n">
        <f aca="false">LEN(C43)+LEN(D43)+LEN(E43)+LEN(F43)+LEN(G43)+LEN(H43)+LEN(J43)+LEN(K43)+LEN(L43)+LEN(M43)</f>
        <v>79</v>
      </c>
    </row>
    <row r="44" customFormat="false" ht="15" hidden="false" customHeight="false" outlineLevel="0" collapsed="false">
      <c r="A44" s="0" t="s">
        <v>1548</v>
      </c>
      <c r="B44" s="0" t="n">
        <v>1907</v>
      </c>
      <c r="C44" s="0" t="s">
        <v>1549</v>
      </c>
      <c r="I44" s="0" t="s">
        <v>1550</v>
      </c>
      <c r="Z44" s="0" t="n">
        <f aca="false">LEN(C44)+LEN(D44)+LEN(E44)+LEN(F44)+LEN(G44)+LEN(H44)+LEN(J44)+LEN(K44)+LEN(L44)+LEN(M44)</f>
        <v>40</v>
      </c>
    </row>
    <row r="45" customFormat="false" ht="15" hidden="false" customHeight="false" outlineLevel="0" collapsed="false">
      <c r="A45" s="0" t="s">
        <v>1551</v>
      </c>
      <c r="B45" s="0" t="n">
        <v>1907</v>
      </c>
      <c r="C45" s="0" t="s">
        <v>1552</v>
      </c>
      <c r="I45" s="0" t="s">
        <v>1553</v>
      </c>
      <c r="N45" s="0" t="s">
        <v>29</v>
      </c>
      <c r="Z45" s="0" t="n">
        <f aca="false">LEN(C45)+LEN(D45)+LEN(E45)+LEN(F45)+LEN(G45)+LEN(H45)+LEN(J45)+LEN(K45)+LEN(L45)+LEN(M45)</f>
        <v>48</v>
      </c>
    </row>
    <row r="46" customFormat="false" ht="15" hidden="false" customHeight="false" outlineLevel="0" collapsed="false">
      <c r="A46" s="0" t="s">
        <v>1554</v>
      </c>
      <c r="B46" s="0" t="n">
        <v>1907</v>
      </c>
      <c r="C46" s="0" t="s">
        <v>1555</v>
      </c>
      <c r="H46" s="0" t="s">
        <v>1556</v>
      </c>
      <c r="I46" s="0" t="s">
        <v>1555</v>
      </c>
      <c r="Z46" s="0" t="n">
        <f aca="false">LEN(C46)+LEN(D46)+LEN(E46)+LEN(F46)+LEN(G46)+LEN(H46)+LEN(J46)+LEN(K46)+LEN(L46)+LEN(M46)</f>
        <v>68</v>
      </c>
    </row>
    <row r="47" customFormat="false" ht="15" hidden="false" customHeight="false" outlineLevel="0" collapsed="false">
      <c r="A47" s="0" t="s">
        <v>1557</v>
      </c>
      <c r="B47" s="0" t="n">
        <v>1907</v>
      </c>
      <c r="C47" s="0" t="s">
        <v>1558</v>
      </c>
      <c r="I47" s="0" t="s">
        <v>1559</v>
      </c>
      <c r="Z47" s="0" t="n">
        <f aca="false">LEN(C47)+LEN(D47)+LEN(E47)+LEN(F47)+LEN(G47)+LEN(H47)+LEN(J47)+LEN(K47)+LEN(L47)+LEN(M47)</f>
        <v>34</v>
      </c>
    </row>
    <row r="48" customFormat="false" ht="15" hidden="false" customHeight="false" outlineLevel="0" collapsed="false">
      <c r="A48" s="0" t="s">
        <v>1560</v>
      </c>
      <c r="B48" s="0" t="n">
        <v>1907</v>
      </c>
      <c r="C48" s="0" t="s">
        <v>1561</v>
      </c>
      <c r="H48" s="0" t="s">
        <v>1562</v>
      </c>
      <c r="I48" s="0" t="s">
        <v>1561</v>
      </c>
      <c r="J48" s="0" t="s">
        <v>1563</v>
      </c>
      <c r="K48" s="0" t="s">
        <v>1564</v>
      </c>
      <c r="M48" s="0" t="s">
        <v>1435</v>
      </c>
      <c r="U48" s="0" t="s">
        <v>29</v>
      </c>
      <c r="W48" s="0" t="s">
        <v>29</v>
      </c>
      <c r="Z48" s="0" t="n">
        <f aca="false">LEN(C48)+LEN(D48)+LEN(E48)+LEN(F48)+LEN(G48)+LEN(H48)+LEN(J48)+LEN(K48)+LEN(L48)+LEN(M48)</f>
        <v>118</v>
      </c>
    </row>
    <row r="49" customFormat="false" ht="15" hidden="false" customHeight="false" outlineLevel="0" collapsed="false">
      <c r="A49" s="0" t="s">
        <v>1565</v>
      </c>
      <c r="B49" s="0" t="n">
        <v>1907</v>
      </c>
      <c r="C49" s="0" t="s">
        <v>1566</v>
      </c>
      <c r="I49" s="0" t="s">
        <v>1567</v>
      </c>
      <c r="N49" s="0" t="s">
        <v>29</v>
      </c>
      <c r="Z49" s="0" t="n">
        <f aca="false">LEN(C49)+LEN(D49)+LEN(E49)+LEN(F49)+LEN(G49)+LEN(H49)+LEN(J49)+LEN(K49)+LEN(L49)+LEN(M49)</f>
        <v>31</v>
      </c>
    </row>
    <row r="50" customFormat="false" ht="15" hidden="false" customHeight="false" outlineLevel="0" collapsed="false">
      <c r="A50" s="0" t="s">
        <v>1568</v>
      </c>
      <c r="B50" s="0" t="n">
        <v>1907</v>
      </c>
      <c r="C50" s="0" t="s">
        <v>1569</v>
      </c>
      <c r="E50" s="0" t="s">
        <v>1570</v>
      </c>
      <c r="I50" s="0" t="s">
        <v>1571</v>
      </c>
      <c r="J50" s="0" t="s">
        <v>1572</v>
      </c>
      <c r="K50" s="0" t="s">
        <v>1267</v>
      </c>
      <c r="L50" s="0" t="s">
        <v>24</v>
      </c>
      <c r="M50" s="0" t="s">
        <v>1435</v>
      </c>
      <c r="U50" s="0" t="s">
        <v>69</v>
      </c>
      <c r="Y50" s="0" t="n">
        <v>1</v>
      </c>
      <c r="Z50" s="0" t="n">
        <f aca="false">LEN(C50)+LEN(D50)+LEN(E50)+LEN(F50)+LEN(G50)+LEN(H50)+LEN(J50)+LEN(K50)+LEN(L50)+LEN(M50)</f>
        <v>69</v>
      </c>
    </row>
    <row r="51" customFormat="false" ht="15" hidden="false" customHeight="false" outlineLevel="0" collapsed="false">
      <c r="A51" s="0" t="s">
        <v>1573</v>
      </c>
      <c r="B51" s="0" t="n">
        <v>1907</v>
      </c>
      <c r="C51" s="0" t="s">
        <v>1574</v>
      </c>
      <c r="I51" s="0" t="s">
        <v>1575</v>
      </c>
      <c r="N51" s="0" t="s">
        <v>29</v>
      </c>
      <c r="Z51" s="0" t="n">
        <f aca="false">LEN(C51)+LEN(D51)+LEN(E51)+LEN(F51)+LEN(G51)+LEN(H51)+LEN(J51)+LEN(K51)+LEN(L51)+LEN(M51)</f>
        <v>51</v>
      </c>
    </row>
    <row r="52" customFormat="false" ht="15" hidden="false" customHeight="false" outlineLevel="0" collapsed="false">
      <c r="A52" s="0" t="s">
        <v>1576</v>
      </c>
      <c r="B52" s="0" t="n">
        <v>1907</v>
      </c>
      <c r="C52" s="0" t="s">
        <v>1577</v>
      </c>
      <c r="I52" s="0" t="s">
        <v>1578</v>
      </c>
      <c r="N52" s="0" t="s">
        <v>29</v>
      </c>
      <c r="Z52" s="0" t="n">
        <f aca="false">LEN(C52)+LEN(D52)+LEN(E52)+LEN(F52)+LEN(G52)+LEN(H52)+LEN(J52)+LEN(K52)+LEN(L52)+LEN(M52)</f>
        <v>24</v>
      </c>
    </row>
    <row r="53" customFormat="false" ht="15" hidden="false" customHeight="false" outlineLevel="0" collapsed="false">
      <c r="A53" s="0" t="s">
        <v>1579</v>
      </c>
      <c r="B53" s="0" t="n">
        <v>1907</v>
      </c>
      <c r="C53" s="0" t="s">
        <v>1580</v>
      </c>
      <c r="I53" s="0" t="s">
        <v>1581</v>
      </c>
      <c r="J53" s="0" t="s">
        <v>1582</v>
      </c>
      <c r="K53" s="0" t="s">
        <v>95</v>
      </c>
      <c r="M53" s="0" t="s">
        <v>1435</v>
      </c>
      <c r="N53" s="0" t="s">
        <v>29</v>
      </c>
      <c r="U53" s="0" t="s">
        <v>29</v>
      </c>
      <c r="Z53" s="0" t="n">
        <f aca="false">LEN(C53)+LEN(D53)+LEN(E53)+LEN(F53)+LEN(G53)+LEN(H53)+LEN(J53)+LEN(K53)+LEN(L53)+LEN(M53)</f>
        <v>86</v>
      </c>
    </row>
    <row r="54" customFormat="false" ht="15" hidden="false" customHeight="false" outlineLevel="0" collapsed="false">
      <c r="A54" s="0" t="s">
        <v>1583</v>
      </c>
      <c r="B54" s="0" t="n">
        <v>1907</v>
      </c>
      <c r="C54" s="0" t="s">
        <v>1584</v>
      </c>
      <c r="H54" s="0" t="s">
        <v>1585</v>
      </c>
      <c r="I54" s="0" t="s">
        <v>1584</v>
      </c>
      <c r="Z54" s="0" t="n">
        <f aca="false">LEN(C54)+LEN(D54)+LEN(E54)+LEN(F54)+LEN(G54)+LEN(H54)+LEN(J54)+LEN(K54)+LEN(L54)+LEN(M54)</f>
        <v>54</v>
      </c>
    </row>
    <row r="55" customFormat="false" ht="15" hidden="false" customHeight="false" outlineLevel="0" collapsed="false">
      <c r="A55" s="0" t="s">
        <v>1586</v>
      </c>
      <c r="B55" s="0" t="n">
        <v>1907</v>
      </c>
      <c r="C55" s="0" t="s">
        <v>1587</v>
      </c>
      <c r="H55" s="0" t="s">
        <v>1588</v>
      </c>
      <c r="I55" s="0" t="s">
        <v>1587</v>
      </c>
      <c r="N55" s="0" t="s">
        <v>29</v>
      </c>
      <c r="S55" s="0" t="s">
        <v>29</v>
      </c>
      <c r="Z55" s="0" t="n">
        <f aca="false">LEN(C55)+LEN(D55)+LEN(E55)+LEN(F55)+LEN(G55)+LEN(H55)+LEN(J55)+LEN(K55)+LEN(L55)+LEN(M55)</f>
        <v>57</v>
      </c>
    </row>
    <row r="56" customFormat="false" ht="15" hidden="false" customHeight="false" outlineLevel="0" collapsed="false">
      <c r="A56" s="0" t="s">
        <v>1589</v>
      </c>
      <c r="B56" s="0" t="n">
        <v>1911</v>
      </c>
      <c r="C56" s="0" t="s">
        <v>1590</v>
      </c>
      <c r="I56" s="0" t="s">
        <v>1591</v>
      </c>
      <c r="J56" s="0" t="s">
        <v>1592</v>
      </c>
      <c r="K56" s="0" t="s">
        <v>1593</v>
      </c>
      <c r="L56" s="0" t="s">
        <v>1594</v>
      </c>
      <c r="M56" s="0" t="s">
        <v>1595</v>
      </c>
      <c r="Z56" s="0" t="n">
        <f aca="false">LEN(C56)+LEN(D56)+LEN(E56)+LEN(F56)+LEN(G56)+LEN(H56)+LEN(J56)+LEN(K56)+LEN(L56)+LEN(M56)</f>
        <v>62</v>
      </c>
    </row>
    <row r="57" customFormat="false" ht="15" hidden="false" customHeight="false" outlineLevel="0" collapsed="false">
      <c r="A57" s="0" t="s">
        <v>1596</v>
      </c>
      <c r="B57" s="0" t="n">
        <v>1911</v>
      </c>
      <c r="C57" s="0" t="s">
        <v>1597</v>
      </c>
      <c r="I57" s="0" t="s">
        <v>1598</v>
      </c>
      <c r="J57" s="0" t="s">
        <v>1599</v>
      </c>
      <c r="K57" s="0" t="s">
        <v>1600</v>
      </c>
      <c r="M57" s="0" t="s">
        <v>1440</v>
      </c>
      <c r="U57" s="0" t="s">
        <v>29</v>
      </c>
      <c r="Z57" s="0" t="n">
        <f aca="false">LEN(C57)+LEN(D57)+LEN(E57)+LEN(F57)+LEN(G57)+LEN(H57)+LEN(J57)+LEN(K57)+LEN(L57)+LEN(M57)</f>
        <v>69</v>
      </c>
    </row>
    <row r="58" customFormat="false" ht="15" hidden="false" customHeight="false" outlineLevel="0" collapsed="false">
      <c r="A58" s="0" t="s">
        <v>1601</v>
      </c>
      <c r="B58" s="0" t="n">
        <v>1911</v>
      </c>
      <c r="C58" s="0" t="s">
        <v>1602</v>
      </c>
      <c r="I58" s="0" t="s">
        <v>1602</v>
      </c>
      <c r="Z58" s="0" t="n">
        <f aca="false">LEN(C58)+LEN(D58)+LEN(E58)+LEN(F58)+LEN(G58)+LEN(H58)+LEN(J58)+LEN(K58)+LEN(L58)+LEN(M58)</f>
        <v>53</v>
      </c>
    </row>
    <row r="59" customFormat="false" ht="15" hidden="false" customHeight="false" outlineLevel="0" collapsed="false">
      <c r="A59" s="0" t="s">
        <v>1603</v>
      </c>
      <c r="B59" s="0" t="n">
        <v>1911</v>
      </c>
      <c r="C59" s="0" t="s">
        <v>1604</v>
      </c>
      <c r="E59" s="0" t="s">
        <v>1605</v>
      </c>
      <c r="H59" s="0" t="s">
        <v>1606</v>
      </c>
      <c r="I59" s="0" t="s">
        <v>1607</v>
      </c>
      <c r="J59" s="0" t="s">
        <v>1608</v>
      </c>
      <c r="K59" s="0" t="s">
        <v>1609</v>
      </c>
      <c r="L59" s="0" t="s">
        <v>881</v>
      </c>
      <c r="M59" s="0" t="s">
        <v>1595</v>
      </c>
      <c r="U59" s="0" t="s">
        <v>29</v>
      </c>
      <c r="Z59" s="0" t="n">
        <f aca="false">LEN(C59)+LEN(D59)+LEN(E59)+LEN(F59)+LEN(G59)+LEN(H59)+LEN(J59)+LEN(K59)+LEN(L59)+LEN(M59)</f>
        <v>101</v>
      </c>
    </row>
    <row r="60" customFormat="false" ht="15" hidden="false" customHeight="false" outlineLevel="0" collapsed="false">
      <c r="A60" s="0" t="s">
        <v>1610</v>
      </c>
      <c r="B60" s="0" t="n">
        <v>1911</v>
      </c>
      <c r="C60" s="0" t="s">
        <v>1611</v>
      </c>
      <c r="I60" s="0" t="s">
        <v>1611</v>
      </c>
      <c r="Z60" s="0" t="n">
        <f aca="false">LEN(C60)+LEN(D60)+LEN(E60)+LEN(F60)+LEN(G60)+LEN(H60)+LEN(J60)+LEN(K60)+LEN(L60)+LEN(M60)</f>
        <v>55</v>
      </c>
    </row>
    <row r="61" customFormat="false" ht="15" hidden="false" customHeight="false" outlineLevel="0" collapsed="false">
      <c r="A61" s="0" t="s">
        <v>1612</v>
      </c>
      <c r="B61" s="0" t="n">
        <v>1911</v>
      </c>
      <c r="C61" s="0" t="s">
        <v>1613</v>
      </c>
      <c r="H61" s="0" t="s">
        <v>1614</v>
      </c>
      <c r="I61" s="0" t="s">
        <v>1613</v>
      </c>
      <c r="Z61" s="0" t="n">
        <f aca="false">LEN(C61)+LEN(D61)+LEN(E61)+LEN(F61)+LEN(G61)+LEN(H61)+LEN(J61)+LEN(K61)+LEN(L61)+LEN(M61)</f>
        <v>51</v>
      </c>
    </row>
    <row r="62" customFormat="false" ht="15" hidden="false" customHeight="false" outlineLevel="0" collapsed="false">
      <c r="A62" s="0" t="s">
        <v>1615</v>
      </c>
      <c r="B62" s="0" t="n">
        <v>1911</v>
      </c>
      <c r="C62" s="0" t="s">
        <v>1616</v>
      </c>
      <c r="I62" s="0" t="s">
        <v>1617</v>
      </c>
      <c r="Z62" s="0" t="n">
        <f aca="false">LEN(C62)+LEN(D62)+LEN(E62)+LEN(F62)+LEN(G62)+LEN(H62)+LEN(J62)+LEN(K62)+LEN(L62)+LEN(M62)</f>
        <v>53</v>
      </c>
    </row>
    <row r="63" customFormat="false" ht="15" hidden="false" customHeight="false" outlineLevel="0" collapsed="false">
      <c r="A63" s="0" t="s">
        <v>1618</v>
      </c>
      <c r="B63" s="0" t="n">
        <v>1911</v>
      </c>
      <c r="C63" s="0" t="s">
        <v>1619</v>
      </c>
      <c r="H63" s="0" t="s">
        <v>1620</v>
      </c>
      <c r="I63" s="0" t="s">
        <v>1619</v>
      </c>
      <c r="Z63" s="0" t="n">
        <f aca="false">LEN(C63)+LEN(D63)+LEN(E63)+LEN(F63)+LEN(G63)+LEN(H63)+LEN(J63)+LEN(K63)+LEN(L63)+LEN(M63)</f>
        <v>52</v>
      </c>
    </row>
    <row r="64" customFormat="false" ht="15" hidden="false" customHeight="false" outlineLevel="0" collapsed="false">
      <c r="A64" s="0" t="s">
        <v>1621</v>
      </c>
      <c r="B64" s="0" t="n">
        <v>1911</v>
      </c>
      <c r="C64" s="0" t="s">
        <v>1622</v>
      </c>
      <c r="I64" s="0" t="s">
        <v>1623</v>
      </c>
      <c r="J64" s="0" t="s">
        <v>1624</v>
      </c>
      <c r="K64" s="0" t="s">
        <v>1625</v>
      </c>
      <c r="M64" s="0" t="s">
        <v>1626</v>
      </c>
      <c r="U64" s="0" t="s">
        <v>29</v>
      </c>
      <c r="V64" s="0" t="s">
        <v>29</v>
      </c>
      <c r="Z64" s="0" t="n">
        <f aca="false">LEN(C64)+LEN(D64)+LEN(E64)+LEN(F64)+LEN(G64)+LEN(H64)+LEN(J64)+LEN(K64)+LEN(L64)+LEN(M64)</f>
        <v>62</v>
      </c>
    </row>
    <row r="65" customFormat="false" ht="15" hidden="false" customHeight="false" outlineLevel="0" collapsed="false">
      <c r="A65" s="0" t="s">
        <v>1627</v>
      </c>
      <c r="B65" s="0" t="n">
        <v>1911</v>
      </c>
      <c r="C65" s="0" t="s">
        <v>1628</v>
      </c>
      <c r="H65" s="0" t="s">
        <v>1629</v>
      </c>
      <c r="I65" s="0" t="s">
        <v>1628</v>
      </c>
      <c r="Z65" s="0" t="n">
        <f aca="false">LEN(C65)+LEN(D65)+LEN(E65)+LEN(F65)+LEN(G65)+LEN(H65)+LEN(J65)+LEN(K65)+LEN(L65)+LEN(M65)</f>
        <v>62</v>
      </c>
    </row>
    <row r="66" customFormat="false" ht="15" hidden="false" customHeight="false" outlineLevel="0" collapsed="false">
      <c r="A66" s="0" t="s">
        <v>1630</v>
      </c>
      <c r="B66" s="0" t="n">
        <v>1911</v>
      </c>
      <c r="C66" s="0" t="s">
        <v>1631</v>
      </c>
      <c r="E66" s="0" t="s">
        <v>1632</v>
      </c>
      <c r="I66" s="0" t="s">
        <v>1633</v>
      </c>
      <c r="J66" s="0" t="s">
        <v>1634</v>
      </c>
      <c r="K66" s="0" t="s">
        <v>1635</v>
      </c>
      <c r="M66" s="0" t="s">
        <v>1595</v>
      </c>
      <c r="U66" s="0" t="s">
        <v>29</v>
      </c>
      <c r="W66" s="0" t="s">
        <v>29</v>
      </c>
      <c r="Z66" s="0" t="n">
        <f aca="false">LEN(C66)+LEN(D66)+LEN(E66)+LEN(F66)+LEN(G66)+LEN(H66)+LEN(J66)+LEN(K66)+LEN(L66)+LEN(M66)</f>
        <v>75</v>
      </c>
    </row>
    <row r="67" customFormat="false" ht="15" hidden="false" customHeight="false" outlineLevel="0" collapsed="false">
      <c r="A67" s="0" t="s">
        <v>1636</v>
      </c>
      <c r="B67" s="0" t="n">
        <v>1911</v>
      </c>
      <c r="C67" s="0" t="s">
        <v>1637</v>
      </c>
      <c r="I67" s="0" t="n">
        <v>129</v>
      </c>
      <c r="N67" s="0" t="s">
        <v>29</v>
      </c>
      <c r="Z67" s="0" t="n">
        <f aca="false">LEN(C67)+LEN(D67)+LEN(E67)+LEN(F67)+LEN(G67)+LEN(H67)+LEN(J67)+LEN(K67)+LEN(L67)+LEN(M67)</f>
        <v>40</v>
      </c>
    </row>
    <row r="68" customFormat="false" ht="15" hidden="false" customHeight="false" outlineLevel="0" collapsed="false">
      <c r="A68" s="0" t="s">
        <v>1638</v>
      </c>
      <c r="B68" s="0" t="n">
        <v>1911</v>
      </c>
      <c r="C68" s="0" t="s">
        <v>1639</v>
      </c>
      <c r="H68" s="0" t="s">
        <v>1640</v>
      </c>
      <c r="I68" s="0" t="s">
        <v>1641</v>
      </c>
      <c r="N68" s="6" t="s">
        <v>29</v>
      </c>
      <c r="Z68" s="0" t="n">
        <f aca="false">LEN(C68)+LEN(D68)+LEN(E68)+LEN(F68)+LEN(G68)+LEN(H68)+LEN(J68)+LEN(K68)+LEN(L68)+LEN(M68)</f>
        <v>65</v>
      </c>
    </row>
    <row r="69" customFormat="false" ht="15" hidden="false" customHeight="false" outlineLevel="0" collapsed="false">
      <c r="A69" s="0" t="s">
        <v>1642</v>
      </c>
      <c r="B69" s="0" t="n">
        <v>1911</v>
      </c>
      <c r="C69" s="0" t="s">
        <v>1643</v>
      </c>
      <c r="H69" s="0" t="s">
        <v>1644</v>
      </c>
      <c r="I69" s="0" t="s">
        <v>1645</v>
      </c>
      <c r="J69" s="0" t="s">
        <v>1646</v>
      </c>
      <c r="K69" s="0" t="s">
        <v>1647</v>
      </c>
      <c r="M69" s="0" t="s">
        <v>1595</v>
      </c>
      <c r="S69" s="0" t="s">
        <v>29</v>
      </c>
      <c r="Z69" s="0" t="n">
        <f aca="false">LEN(C69)+LEN(D69)+LEN(E69)+LEN(F69)+LEN(G69)+LEN(H69)+LEN(J69)+LEN(K69)+LEN(L69)+LEN(M69)</f>
        <v>83</v>
      </c>
    </row>
    <row r="70" customFormat="false" ht="15" hidden="false" customHeight="false" outlineLevel="0" collapsed="false">
      <c r="A70" s="0" t="s">
        <v>1648</v>
      </c>
      <c r="B70" s="0" t="n">
        <v>1911</v>
      </c>
      <c r="C70" s="0" t="s">
        <v>1649</v>
      </c>
      <c r="H70" s="0" t="s">
        <v>1650</v>
      </c>
      <c r="I70" s="0" t="s">
        <v>1651</v>
      </c>
      <c r="J70" s="0" t="s">
        <v>1652</v>
      </c>
      <c r="K70" s="0" t="s">
        <v>1267</v>
      </c>
      <c r="M70" s="0" t="s">
        <v>1595</v>
      </c>
      <c r="S70" s="0" t="s">
        <v>29</v>
      </c>
      <c r="W70" s="0" t="s">
        <v>29</v>
      </c>
      <c r="Z70" s="0" t="n">
        <f aca="false">LEN(C70)+LEN(D70)+LEN(E70)+LEN(F70)+LEN(G70)+LEN(H70)+LEN(J70)+LEN(K70)+LEN(L70)+LEN(M70)</f>
        <v>79</v>
      </c>
    </row>
    <row r="71" customFormat="false" ht="15" hidden="false" customHeight="false" outlineLevel="0" collapsed="false">
      <c r="A71" s="0" t="s">
        <v>1653</v>
      </c>
      <c r="B71" s="0" t="n">
        <v>1911</v>
      </c>
      <c r="C71" s="0" t="s">
        <v>1654</v>
      </c>
      <c r="H71" s="0" t="s">
        <v>1655</v>
      </c>
      <c r="I71" s="0" t="s">
        <v>1654</v>
      </c>
      <c r="Z71" s="0" t="n">
        <f aca="false">LEN(C71)+LEN(D71)+LEN(E71)+LEN(F71)+LEN(G71)+LEN(H71)+LEN(J71)+LEN(K71)+LEN(L71)+LEN(M71)</f>
        <v>66</v>
      </c>
    </row>
    <row r="72" customFormat="false" ht="15" hidden="false" customHeight="false" outlineLevel="0" collapsed="false">
      <c r="A72" s="0" t="s">
        <v>1656</v>
      </c>
      <c r="B72" s="0" t="n">
        <v>1911</v>
      </c>
      <c r="C72" s="0" t="s">
        <v>1657</v>
      </c>
      <c r="I72" s="0" t="s">
        <v>1658</v>
      </c>
      <c r="J72" s="0" t="s">
        <v>1659</v>
      </c>
      <c r="K72" s="0" t="s">
        <v>1564</v>
      </c>
      <c r="M72" s="0" t="s">
        <v>1595</v>
      </c>
      <c r="W72" s="0" t="s">
        <v>29</v>
      </c>
      <c r="Z72" s="0" t="n">
        <f aca="false">LEN(C72)+LEN(D72)+LEN(E72)+LEN(F72)+LEN(G72)+LEN(H72)+LEN(J72)+LEN(K72)+LEN(L72)+LEN(M72)</f>
        <v>68</v>
      </c>
    </row>
    <row r="73" customFormat="false" ht="15" hidden="false" customHeight="false" outlineLevel="0" collapsed="false">
      <c r="A73" s="0" t="s">
        <v>1660</v>
      </c>
      <c r="B73" s="0" t="n">
        <v>1911</v>
      </c>
      <c r="C73" s="0" t="s">
        <v>1661</v>
      </c>
      <c r="H73" s="0" t="s">
        <v>1662</v>
      </c>
      <c r="I73" s="0" t="s">
        <v>1661</v>
      </c>
      <c r="Z73" s="0" t="n">
        <f aca="false">LEN(C73)+LEN(D73)+LEN(E73)+LEN(F73)+LEN(G73)+LEN(H73)+LEN(J73)+LEN(K73)+LEN(L73)+LEN(M73)</f>
        <v>46</v>
      </c>
    </row>
    <row r="74" customFormat="false" ht="15" hidden="false" customHeight="false" outlineLevel="0" collapsed="false">
      <c r="A74" s="0" t="s">
        <v>1663</v>
      </c>
      <c r="B74" s="0" t="n">
        <v>1911</v>
      </c>
      <c r="C74" s="0" t="s">
        <v>1664</v>
      </c>
      <c r="I74" s="0" t="s">
        <v>1664</v>
      </c>
      <c r="Z74" s="0" t="n">
        <f aca="false">LEN(C74)+LEN(D74)+LEN(E74)+LEN(F74)+LEN(G74)+LEN(H74)+LEN(J74)+LEN(K74)+LEN(L74)+LEN(M74)</f>
        <v>41</v>
      </c>
    </row>
    <row r="75" customFormat="false" ht="15" hidden="false" customHeight="false" outlineLevel="0" collapsed="false">
      <c r="A75" s="0" t="s">
        <v>1665</v>
      </c>
      <c r="B75" s="0" t="n">
        <v>1911</v>
      </c>
      <c r="C75" s="0" t="s">
        <v>1666</v>
      </c>
      <c r="I75" s="0" t="s">
        <v>1667</v>
      </c>
      <c r="N75" s="0" t="s">
        <v>29</v>
      </c>
      <c r="Z75" s="0" t="n">
        <f aca="false">LEN(C75)+LEN(D75)+LEN(E75)+LEN(F75)+LEN(G75)+LEN(H75)+LEN(J75)+LEN(K75)+LEN(L75)+LEN(M75)</f>
        <v>58</v>
      </c>
    </row>
    <row r="76" customFormat="false" ht="15" hidden="false" customHeight="false" outlineLevel="0" collapsed="false">
      <c r="A76" s="0" t="s">
        <v>1668</v>
      </c>
      <c r="B76" s="0" t="n">
        <v>1911</v>
      </c>
      <c r="C76" s="0" t="s">
        <v>1669</v>
      </c>
      <c r="I76" s="0" t="s">
        <v>1670</v>
      </c>
      <c r="J76" s="0" t="s">
        <v>733</v>
      </c>
      <c r="K76" s="0" t="s">
        <v>1671</v>
      </c>
      <c r="M76" s="0" t="s">
        <v>1595</v>
      </c>
      <c r="W76" s="0" t="s">
        <v>29</v>
      </c>
      <c r="Z76" s="0" t="n">
        <f aca="false">LEN(C76)+LEN(D76)+LEN(E76)+LEN(F76)+LEN(G76)+LEN(H76)+LEN(J76)+LEN(K76)+LEN(L76)+LEN(M76)</f>
        <v>71</v>
      </c>
    </row>
    <row r="77" customFormat="false" ht="15" hidden="false" customHeight="false" outlineLevel="0" collapsed="false">
      <c r="A77" s="0" t="s">
        <v>1672</v>
      </c>
      <c r="B77" s="0" t="n">
        <v>1911</v>
      </c>
      <c r="C77" s="0" t="s">
        <v>1673</v>
      </c>
      <c r="I77" s="0" t="s">
        <v>1674</v>
      </c>
      <c r="Z77" s="0" t="n">
        <f aca="false">LEN(C77)+LEN(D77)+LEN(E77)+LEN(F77)+LEN(G77)+LEN(H77)+LEN(J77)+LEN(K77)+LEN(L77)+LEN(M77)</f>
        <v>59</v>
      </c>
    </row>
    <row r="78" customFormat="false" ht="15" hidden="false" customHeight="false" outlineLevel="0" collapsed="false">
      <c r="A78" s="0" t="s">
        <v>1675</v>
      </c>
      <c r="B78" s="0" t="n">
        <v>1911</v>
      </c>
      <c r="C78" s="0" t="s">
        <v>1676</v>
      </c>
      <c r="I78" s="0" t="s">
        <v>1677</v>
      </c>
      <c r="Z78" s="0" t="n">
        <f aca="false">LEN(C78)+LEN(D78)+LEN(E78)+LEN(F78)+LEN(G78)+LEN(H78)+LEN(J78)+LEN(K78)+LEN(L78)+LEN(M78)</f>
        <v>54</v>
      </c>
    </row>
    <row r="79" customFormat="false" ht="15" hidden="false" customHeight="false" outlineLevel="0" collapsed="false">
      <c r="A79" s="0" t="s">
        <v>1678</v>
      </c>
      <c r="B79" s="0" t="n">
        <v>1911</v>
      </c>
      <c r="C79" s="0" t="s">
        <v>1679</v>
      </c>
      <c r="I79" s="0" t="s">
        <v>1680</v>
      </c>
      <c r="J79" s="0" t="s">
        <v>1681</v>
      </c>
      <c r="K79" s="0" t="s">
        <v>1682</v>
      </c>
      <c r="M79" s="0" t="s">
        <v>1683</v>
      </c>
      <c r="X79" s="0" t="s">
        <v>29</v>
      </c>
      <c r="Z79" s="0" t="n">
        <f aca="false">LEN(C79)+LEN(D79)+LEN(E79)+LEN(F79)+LEN(G79)+LEN(H79)+LEN(J79)+LEN(K79)+LEN(L79)+LEN(M79)</f>
        <v>78</v>
      </c>
    </row>
    <row r="80" customFormat="false" ht="15" hidden="false" customHeight="false" outlineLevel="0" collapsed="false">
      <c r="A80" s="0" t="s">
        <v>1684</v>
      </c>
      <c r="B80" s="0" t="n">
        <v>1911</v>
      </c>
      <c r="C80" s="0" t="s">
        <v>1685</v>
      </c>
      <c r="I80" s="0" t="s">
        <v>1686</v>
      </c>
      <c r="Z80" s="0" t="n">
        <f aca="false">LEN(C80)+LEN(D80)+LEN(E80)+LEN(F80)+LEN(G80)+LEN(H80)+LEN(J80)+LEN(K80)+LEN(L80)+LEN(M80)</f>
        <v>52</v>
      </c>
    </row>
    <row r="81" customFormat="false" ht="15" hidden="false" customHeight="false" outlineLevel="0" collapsed="false">
      <c r="A81" s="0" t="s">
        <v>1687</v>
      </c>
      <c r="B81" s="0" t="n">
        <v>1911</v>
      </c>
      <c r="C81" s="0" t="s">
        <v>1688</v>
      </c>
      <c r="I81" s="0" t="s">
        <v>1689</v>
      </c>
      <c r="Z81" s="0" t="n">
        <f aca="false">LEN(C81)+LEN(D81)+LEN(E81)+LEN(F81)+LEN(G81)+LEN(H81)+LEN(J81)+LEN(K81)+LEN(L81)+LEN(M81)</f>
        <v>56</v>
      </c>
    </row>
    <row r="82" customFormat="false" ht="15" hidden="false" customHeight="false" outlineLevel="0" collapsed="false">
      <c r="A82" s="0" t="s">
        <v>1690</v>
      </c>
      <c r="B82" s="0" t="n">
        <v>1911</v>
      </c>
      <c r="C82" s="0" t="s">
        <v>1691</v>
      </c>
      <c r="I82" s="0" t="s">
        <v>1692</v>
      </c>
      <c r="J82" s="0" t="s">
        <v>1693</v>
      </c>
      <c r="K82" s="0" t="s">
        <v>1682</v>
      </c>
      <c r="M82" s="0" t="s">
        <v>1595</v>
      </c>
      <c r="U82" s="0" t="s">
        <v>29</v>
      </c>
      <c r="Z82" s="0" t="n">
        <f aca="false">LEN(C82)+LEN(D82)+LEN(E82)+LEN(F82)+LEN(G82)+LEN(H82)+LEN(J82)+LEN(K82)+LEN(L82)+LEN(M82)</f>
        <v>77</v>
      </c>
    </row>
    <row r="83" customFormat="false" ht="15" hidden="false" customHeight="false" outlineLevel="0" collapsed="false">
      <c r="A83" s="0" t="s">
        <v>1694</v>
      </c>
      <c r="B83" s="0" t="n">
        <v>1911</v>
      </c>
      <c r="C83" s="0" t="s">
        <v>1695</v>
      </c>
      <c r="I83" s="0" t="s">
        <v>1695</v>
      </c>
      <c r="Z83" s="0" t="n">
        <f aca="false">LEN(C83)+LEN(D83)+LEN(E83)+LEN(F83)+LEN(G83)+LEN(H83)+LEN(J83)+LEN(K83)+LEN(L83)+LEN(M83)</f>
        <v>34</v>
      </c>
    </row>
    <row r="84" customFormat="false" ht="15" hidden="false" customHeight="false" outlineLevel="0" collapsed="false">
      <c r="A84" s="0" t="s">
        <v>1696</v>
      </c>
      <c r="B84" s="0" t="n">
        <v>1911</v>
      </c>
      <c r="C84" s="0" t="s">
        <v>1697</v>
      </c>
      <c r="I84" s="0" t="s">
        <v>1698</v>
      </c>
      <c r="J84" s="0" t="s">
        <v>1699</v>
      </c>
      <c r="K84" s="0" t="s">
        <v>962</v>
      </c>
      <c r="L84" s="0" t="s">
        <v>881</v>
      </c>
      <c r="M84" s="0" t="s">
        <v>1440</v>
      </c>
      <c r="W84" s="0" t="s">
        <v>29</v>
      </c>
      <c r="Z84" s="0" t="n">
        <f aca="false">LEN(C84)+LEN(D84)+LEN(E84)+LEN(F84)+LEN(G84)+LEN(H84)+LEN(J84)+LEN(K84)+LEN(L84)+LEN(M84)</f>
        <v>64</v>
      </c>
    </row>
    <row r="85" customFormat="false" ht="15" hidden="false" customHeight="false" outlineLevel="0" collapsed="false">
      <c r="A85" s="0" t="s">
        <v>1700</v>
      </c>
      <c r="B85" s="0" t="n">
        <v>1911</v>
      </c>
      <c r="C85" s="0" t="s">
        <v>1701</v>
      </c>
      <c r="I85" s="0" t="s">
        <v>1702</v>
      </c>
      <c r="N85" s="0" t="s">
        <v>29</v>
      </c>
      <c r="Z85" s="0" t="n">
        <f aca="false">LEN(C85)+LEN(D85)+LEN(E85)+LEN(F85)+LEN(G85)+LEN(H85)+LEN(J85)+LEN(K85)+LEN(L85)+LEN(M85)</f>
        <v>45</v>
      </c>
    </row>
    <row r="86" customFormat="false" ht="15" hidden="false" customHeight="false" outlineLevel="0" collapsed="false">
      <c r="A86" s="0" t="s">
        <v>1703</v>
      </c>
      <c r="B86" s="0" t="n">
        <v>1911</v>
      </c>
      <c r="C86" s="0" t="s">
        <v>1704</v>
      </c>
      <c r="E86" s="0" t="s">
        <v>1516</v>
      </c>
      <c r="H86" s="0" t="s">
        <v>1411</v>
      </c>
      <c r="I86" s="0" t="s">
        <v>1705</v>
      </c>
      <c r="J86" s="0" t="s">
        <v>1706</v>
      </c>
      <c r="K86" s="0" t="s">
        <v>1707</v>
      </c>
      <c r="L86" s="0" t="s">
        <v>1635</v>
      </c>
      <c r="M86" s="0" t="s">
        <v>1595</v>
      </c>
      <c r="U86" s="0" t="s">
        <v>29</v>
      </c>
      <c r="Z86" s="0" t="n">
        <f aca="false">LEN(C86)+LEN(D86)+LEN(E86)+LEN(F86)+LEN(G86)+LEN(H86)+LEN(J86)+LEN(K86)+LEN(L86)+LEN(M86)</f>
        <v>94</v>
      </c>
    </row>
    <row r="87" customFormat="false" ht="15" hidden="false" customHeight="false" outlineLevel="0" collapsed="false">
      <c r="A87" s="0" t="s">
        <v>1708</v>
      </c>
      <c r="B87" s="0" t="n">
        <v>1911</v>
      </c>
      <c r="C87" s="0" t="s">
        <v>1709</v>
      </c>
      <c r="H87" s="0" t="s">
        <v>1710</v>
      </c>
      <c r="I87" s="0" t="s">
        <v>1709</v>
      </c>
      <c r="Z87" s="0" t="n">
        <f aca="false">LEN(C87)+LEN(D87)+LEN(E87)+LEN(F87)+LEN(G87)+LEN(H87)+LEN(J87)+LEN(K87)+LEN(L87)+LEN(M87)</f>
        <v>52</v>
      </c>
    </row>
    <row r="88" customFormat="false" ht="15" hidden="false" customHeight="false" outlineLevel="0" collapsed="false">
      <c r="A88" s="0" t="s">
        <v>1711</v>
      </c>
      <c r="B88" s="0" t="n">
        <v>1911</v>
      </c>
      <c r="C88" s="0" t="s">
        <v>1712</v>
      </c>
      <c r="H88" s="0" t="s">
        <v>1710</v>
      </c>
      <c r="I88" s="0" t="s">
        <v>1712</v>
      </c>
      <c r="Z88" s="0" t="n">
        <f aca="false">LEN(C88)+LEN(D88)+LEN(E88)+LEN(F88)+LEN(G88)+LEN(H88)+LEN(J88)+LEN(K88)+LEN(L88)+LEN(M88)</f>
        <v>62</v>
      </c>
    </row>
    <row r="89" customFormat="false" ht="15" hidden="false" customHeight="false" outlineLevel="0" collapsed="false">
      <c r="A89" s="0" t="s">
        <v>1713</v>
      </c>
      <c r="B89" s="0" t="n">
        <v>1911</v>
      </c>
      <c r="C89" s="0" t="s">
        <v>1714</v>
      </c>
      <c r="E89" s="0" t="s">
        <v>1715</v>
      </c>
      <c r="I89" s="0" t="s">
        <v>1716</v>
      </c>
      <c r="J89" s="0" t="s">
        <v>1717</v>
      </c>
      <c r="K89" s="0" t="s">
        <v>964</v>
      </c>
      <c r="M89" s="0" t="s">
        <v>1595</v>
      </c>
      <c r="P89" s="0" t="s">
        <v>29</v>
      </c>
      <c r="U89" s="0" t="s">
        <v>29</v>
      </c>
      <c r="W89" s="0" t="s">
        <v>29</v>
      </c>
      <c r="Z89" s="0" t="n">
        <f aca="false">LEN(C89)+LEN(D89)+LEN(E89)+LEN(F89)+LEN(G89)+LEN(H89)+LEN(J89)+LEN(K89)+LEN(L89)+LEN(M89)</f>
        <v>64</v>
      </c>
    </row>
    <row r="90" customFormat="false" ht="15" hidden="false" customHeight="false" outlineLevel="0" collapsed="false">
      <c r="A90" s="0" t="s">
        <v>1718</v>
      </c>
      <c r="B90" s="0" t="n">
        <v>1911</v>
      </c>
      <c r="C90" s="0" t="s">
        <v>1719</v>
      </c>
      <c r="I90" s="0" t="s">
        <v>1720</v>
      </c>
      <c r="J90" s="0" t="s">
        <v>1721</v>
      </c>
      <c r="K90" s="0" t="s">
        <v>1267</v>
      </c>
      <c r="L90" s="0" t="s">
        <v>1407</v>
      </c>
      <c r="M90" s="0" t="s">
        <v>1595</v>
      </c>
      <c r="N90" s="0" t="s">
        <v>69</v>
      </c>
      <c r="U90" s="0" t="s">
        <v>69</v>
      </c>
      <c r="Y90" s="0" t="n">
        <v>30</v>
      </c>
      <c r="Z90" s="0" t="n">
        <f aca="false">LEN(C90)+LEN(D90)+LEN(E90)+LEN(F90)+LEN(G90)+LEN(H90)+LEN(J90)+LEN(K90)+LEN(L90)+LEN(M90)</f>
        <v>60</v>
      </c>
    </row>
    <row r="91" customFormat="false" ht="15" hidden="false" customHeight="false" outlineLevel="0" collapsed="false">
      <c r="A91" s="0" t="s">
        <v>1722</v>
      </c>
      <c r="B91" s="0" t="n">
        <v>1911</v>
      </c>
      <c r="C91" s="0" t="s">
        <v>1723</v>
      </c>
      <c r="I91" s="0" t="s">
        <v>1723</v>
      </c>
      <c r="Z91" s="0" t="n">
        <f aca="false">LEN(C91)+LEN(D91)+LEN(E91)+LEN(F91)+LEN(G91)+LEN(H91)+LEN(J91)+LEN(K91)+LEN(L91)+LEN(M91)</f>
        <v>41</v>
      </c>
    </row>
    <row r="92" customFormat="false" ht="15" hidden="false" customHeight="false" outlineLevel="0" collapsed="false">
      <c r="A92" s="0" t="s">
        <v>1724</v>
      </c>
      <c r="B92" s="0" t="n">
        <v>1911</v>
      </c>
      <c r="C92" s="0" t="s">
        <v>1725</v>
      </c>
      <c r="H92" s="0" t="s">
        <v>1404</v>
      </c>
      <c r="I92" s="0" t="s">
        <v>1726</v>
      </c>
      <c r="J92" s="0" t="s">
        <v>1727</v>
      </c>
      <c r="K92" s="0" t="s">
        <v>1728</v>
      </c>
      <c r="L92" s="0" t="s">
        <v>1391</v>
      </c>
      <c r="M92" s="0" t="s">
        <v>1729</v>
      </c>
      <c r="N92" s="0" t="s">
        <v>29</v>
      </c>
      <c r="U92" s="0" t="s">
        <v>29</v>
      </c>
      <c r="Z92" s="0" t="n">
        <f aca="false">LEN(C92)+LEN(D92)+LEN(E92)+LEN(F92)+LEN(G92)+LEN(H92)+LEN(J92)+LEN(K92)+LEN(L92)+LEN(M92)</f>
        <v>96</v>
      </c>
    </row>
    <row r="93" customFormat="false" ht="15" hidden="false" customHeight="false" outlineLevel="0" collapsed="false">
      <c r="A93" s="0" t="s">
        <v>1730</v>
      </c>
      <c r="B93" s="0" t="n">
        <v>1911</v>
      </c>
      <c r="C93" s="0" t="s">
        <v>1731</v>
      </c>
      <c r="I93" s="0" t="s">
        <v>1732</v>
      </c>
      <c r="J93" s="0" t="s">
        <v>1733</v>
      </c>
      <c r="K93" s="0" t="s">
        <v>1734</v>
      </c>
      <c r="M93" s="0" t="s">
        <v>1440</v>
      </c>
      <c r="U93" s="0" t="s">
        <v>69</v>
      </c>
      <c r="Y93" s="0" t="n">
        <v>1</v>
      </c>
      <c r="Z93" s="0" t="n">
        <f aca="false">LEN(C93)+LEN(D93)+LEN(E93)+LEN(F93)+LEN(G93)+LEN(H93)+LEN(J93)+LEN(K93)+LEN(L93)+LEN(M93)</f>
        <v>53</v>
      </c>
    </row>
    <row r="94" customFormat="false" ht="15" hidden="false" customHeight="false" outlineLevel="0" collapsed="false">
      <c r="A94" s="0" t="s">
        <v>1735</v>
      </c>
      <c r="B94" s="0" t="n">
        <v>1911</v>
      </c>
      <c r="C94" s="0" t="s">
        <v>1736</v>
      </c>
      <c r="I94" s="0" t="s">
        <v>1737</v>
      </c>
      <c r="J94" s="0" t="s">
        <v>1738</v>
      </c>
      <c r="K94" s="0" t="s">
        <v>323</v>
      </c>
      <c r="L94" s="0" t="s">
        <v>394</v>
      </c>
      <c r="M94" s="0" t="s">
        <v>1595</v>
      </c>
      <c r="W94" s="0" t="s">
        <v>29</v>
      </c>
      <c r="Z94" s="0" t="n">
        <f aca="false">LEN(C94)+LEN(D94)+LEN(E94)+LEN(F94)+LEN(G94)+LEN(H94)+LEN(J94)+LEN(K94)+LEN(L94)+LEN(M94)</f>
        <v>66</v>
      </c>
    </row>
    <row r="95" customFormat="false" ht="15" hidden="false" customHeight="false" outlineLevel="0" collapsed="false">
      <c r="A95" s="0" t="s">
        <v>1739</v>
      </c>
      <c r="B95" s="0" t="n">
        <v>1911</v>
      </c>
      <c r="C95" s="0" t="s">
        <v>1740</v>
      </c>
      <c r="I95" s="0" t="s">
        <v>1741</v>
      </c>
      <c r="Z95" s="0" t="n">
        <f aca="false">LEN(C95)+LEN(D95)+LEN(E95)+LEN(F95)+LEN(G95)+LEN(H95)+LEN(J95)+LEN(K95)+LEN(L95)+LEN(M95)</f>
        <v>43</v>
      </c>
    </row>
    <row r="96" customFormat="false" ht="15" hidden="false" customHeight="false" outlineLevel="0" collapsed="false">
      <c r="A96" s="0" t="s">
        <v>1742</v>
      </c>
      <c r="B96" s="0" t="n">
        <v>1911</v>
      </c>
      <c r="C96" s="0" t="s">
        <v>1743</v>
      </c>
      <c r="I96" s="0" t="s">
        <v>1744</v>
      </c>
      <c r="Z96" s="0" t="n">
        <f aca="false">LEN(C96)+LEN(D96)+LEN(E96)+LEN(F96)+LEN(G96)+LEN(H96)+LEN(J96)+LEN(K96)+LEN(L96)+LEN(M96)</f>
        <v>31</v>
      </c>
    </row>
    <row r="97" customFormat="false" ht="15" hidden="false" customHeight="false" outlineLevel="0" collapsed="false">
      <c r="A97" s="0" t="s">
        <v>1745</v>
      </c>
      <c r="B97" s="0" t="n">
        <v>1911</v>
      </c>
      <c r="C97" s="0" t="s">
        <v>1746</v>
      </c>
      <c r="I97" s="0" t="s">
        <v>1747</v>
      </c>
      <c r="Z97" s="0" t="n">
        <f aca="false">LEN(C97)+LEN(D97)+LEN(E97)+LEN(F97)+LEN(G97)+LEN(H97)+LEN(J97)+LEN(K97)+LEN(L97)+LEN(M97)</f>
        <v>34</v>
      </c>
    </row>
    <row r="98" customFormat="false" ht="15" hidden="false" customHeight="false" outlineLevel="0" collapsed="false">
      <c r="A98" s="0" t="s">
        <v>1748</v>
      </c>
      <c r="B98" s="0" t="n">
        <v>1911</v>
      </c>
      <c r="C98" s="0" t="s">
        <v>1749</v>
      </c>
      <c r="I98" s="0" t="s">
        <v>1750</v>
      </c>
      <c r="J98" s="0" t="s">
        <v>1751</v>
      </c>
      <c r="K98" s="0" t="s">
        <v>563</v>
      </c>
      <c r="M98" s="0" t="s">
        <v>1595</v>
      </c>
      <c r="U98" s="0" t="s">
        <v>29</v>
      </c>
      <c r="W98" s="0" t="s">
        <v>29</v>
      </c>
      <c r="Z98" s="0" t="n">
        <f aca="false">LEN(C98)+LEN(D98)+LEN(E98)+LEN(F98)+LEN(G98)+LEN(H98)+LEN(J98)+LEN(K98)+LEN(L98)+LEN(M98)</f>
        <v>53</v>
      </c>
    </row>
    <row r="99" customFormat="false" ht="15" hidden="false" customHeight="false" outlineLevel="0" collapsed="false">
      <c r="A99" s="0" t="s">
        <v>1752</v>
      </c>
      <c r="B99" s="0" t="n">
        <v>1911</v>
      </c>
      <c r="C99" s="0" t="s">
        <v>1753</v>
      </c>
      <c r="I99" s="0" t="s">
        <v>1754</v>
      </c>
      <c r="J99" s="0" t="s">
        <v>1755</v>
      </c>
      <c r="K99" s="0" t="s">
        <v>1756</v>
      </c>
      <c r="M99" s="0" t="s">
        <v>1595</v>
      </c>
      <c r="U99" s="0" t="s">
        <v>29</v>
      </c>
      <c r="W99" s="0" t="s">
        <v>29</v>
      </c>
      <c r="X99" s="0" t="s">
        <v>29</v>
      </c>
      <c r="Z99" s="0" t="n">
        <f aca="false">LEN(C99)+LEN(D99)+LEN(E99)+LEN(F99)+LEN(G99)+LEN(H99)+LEN(J99)+LEN(K99)+LEN(L99)+LEN(M99)</f>
        <v>74</v>
      </c>
    </row>
    <row r="100" customFormat="false" ht="15" hidden="false" customHeight="false" outlineLevel="0" collapsed="false">
      <c r="A100" s="0" t="s">
        <v>1757</v>
      </c>
      <c r="B100" s="0" t="n">
        <v>1911</v>
      </c>
      <c r="C100" s="0" t="s">
        <v>1758</v>
      </c>
      <c r="I100" s="0" t="s">
        <v>1758</v>
      </c>
      <c r="Z100" s="0" t="n">
        <f aca="false">LEN(C100)+LEN(D100)+LEN(E100)+LEN(F100)+LEN(G100)+LEN(H100)+LEN(J100)+LEN(K100)+LEN(L100)+LEN(M100)</f>
        <v>32</v>
      </c>
    </row>
    <row r="101" customFormat="false" ht="15" hidden="false" customHeight="false" outlineLevel="0" collapsed="false">
      <c r="A101" s="0" t="s">
        <v>1759</v>
      </c>
      <c r="B101" s="0" t="n">
        <v>1911</v>
      </c>
      <c r="C101" s="0" t="s">
        <v>1760</v>
      </c>
      <c r="I101" s="0" t="s">
        <v>1760</v>
      </c>
      <c r="Z101" s="0" t="n">
        <f aca="false">LEN(C101)+LEN(D101)+LEN(E101)+LEN(F101)+LEN(G101)+LEN(H101)+LEN(J101)+LEN(K101)+LEN(L101)+LEN(M101)</f>
        <v>40</v>
      </c>
    </row>
    <row r="102" customFormat="false" ht="15" hidden="false" customHeight="false" outlineLevel="0" collapsed="false">
      <c r="A102" s="0" t="s">
        <v>1761</v>
      </c>
      <c r="B102" s="0" t="n">
        <v>1911</v>
      </c>
      <c r="C102" s="0" t="s">
        <v>1762</v>
      </c>
      <c r="H102" s="0" t="s">
        <v>1763</v>
      </c>
      <c r="I102" s="0" t="s">
        <v>1764</v>
      </c>
      <c r="J102" s="0" t="s">
        <v>1765</v>
      </c>
      <c r="K102" s="0" t="s">
        <v>1766</v>
      </c>
      <c r="M102" s="0" t="s">
        <v>1767</v>
      </c>
      <c r="P102" s="0" t="s">
        <v>29</v>
      </c>
      <c r="W102" s="0" t="s">
        <v>29</v>
      </c>
      <c r="Z102" s="0" t="n">
        <f aca="false">LEN(C102)+LEN(D102)+LEN(E102)+LEN(F102)+LEN(G102)+LEN(H102)+LEN(J102)+LEN(K102)+LEN(L102)+LEN(M102)</f>
        <v>57</v>
      </c>
    </row>
    <row r="103" customFormat="false" ht="15" hidden="false" customHeight="false" outlineLevel="0" collapsed="false">
      <c r="A103" s="0" t="s">
        <v>1768</v>
      </c>
      <c r="B103" s="0" t="n">
        <v>1911</v>
      </c>
      <c r="C103" s="0" t="s">
        <v>1769</v>
      </c>
      <c r="H103" s="0" t="s">
        <v>1770</v>
      </c>
      <c r="I103" s="0" t="s">
        <v>1769</v>
      </c>
      <c r="S103" s="0" t="s">
        <v>29</v>
      </c>
      <c r="Z103" s="0" t="n">
        <f aca="false">LEN(C103)+LEN(D103)+LEN(E103)+LEN(F103)+LEN(G103)+LEN(H103)+LEN(J103)+LEN(K103)+LEN(L103)+LEN(M103)</f>
        <v>48</v>
      </c>
    </row>
    <row r="104" customFormat="false" ht="15" hidden="false" customHeight="false" outlineLevel="0" collapsed="false">
      <c r="A104" s="0" t="s">
        <v>1771</v>
      </c>
      <c r="B104" s="0" t="n">
        <v>1911</v>
      </c>
      <c r="C104" s="0" t="s">
        <v>1772</v>
      </c>
      <c r="I104" s="0" t="s">
        <v>1772</v>
      </c>
      <c r="Z104" s="0" t="n">
        <f aca="false">LEN(C104)+LEN(D104)+LEN(E104)+LEN(F104)+LEN(G104)+LEN(H104)+LEN(J104)+LEN(K104)+LEN(L104)+LEN(M104)</f>
        <v>34</v>
      </c>
    </row>
    <row r="105" customFormat="false" ht="15" hidden="false" customHeight="false" outlineLevel="0" collapsed="false">
      <c r="A105" s="0" t="s">
        <v>1773</v>
      </c>
      <c r="B105" s="0" t="n">
        <v>1911</v>
      </c>
      <c r="C105" s="0" t="s">
        <v>1774</v>
      </c>
      <c r="I105" s="0" t="s">
        <v>1775</v>
      </c>
      <c r="Z105" s="0" t="n">
        <f aca="false">LEN(C105)+LEN(D105)+LEN(E105)+LEN(F105)+LEN(G105)+LEN(H105)+LEN(J105)+LEN(K105)+LEN(L105)+LEN(M105)</f>
        <v>44</v>
      </c>
    </row>
    <row r="106" customFormat="false" ht="15" hidden="false" customHeight="false" outlineLevel="0" collapsed="false">
      <c r="A106" s="0" t="s">
        <v>1776</v>
      </c>
      <c r="B106" s="0" t="n">
        <v>1911</v>
      </c>
      <c r="C106" s="0" t="s">
        <v>1777</v>
      </c>
      <c r="I106" s="0" t="s">
        <v>1777</v>
      </c>
      <c r="Z106" s="0" t="n">
        <f aca="false">LEN(C106)+LEN(D106)+LEN(E106)+LEN(F106)+LEN(G106)+LEN(H106)+LEN(J106)+LEN(K106)+LEN(L106)+LEN(M106)</f>
        <v>39</v>
      </c>
    </row>
    <row r="107" customFormat="false" ht="15" hidden="false" customHeight="false" outlineLevel="0" collapsed="false">
      <c r="A107" s="0" t="s">
        <v>1778</v>
      </c>
      <c r="B107" s="0" t="n">
        <v>1911</v>
      </c>
      <c r="C107" s="0" t="s">
        <v>1779</v>
      </c>
      <c r="H107" s="0" t="s">
        <v>1780</v>
      </c>
      <c r="I107" s="0" t="s">
        <v>1779</v>
      </c>
      <c r="S107" s="0" t="s">
        <v>29</v>
      </c>
      <c r="Z107" s="0" t="n">
        <f aca="false">LEN(C107)+LEN(D107)+LEN(E107)+LEN(F107)+LEN(G107)+LEN(H107)+LEN(J107)+LEN(K107)+LEN(L107)+LEN(M107)</f>
        <v>66</v>
      </c>
    </row>
    <row r="108" customFormat="false" ht="15" hidden="false" customHeight="false" outlineLevel="0" collapsed="false">
      <c r="A108" s="0" t="s">
        <v>1781</v>
      </c>
      <c r="B108" s="0" t="n">
        <v>1911</v>
      </c>
      <c r="C108" s="0" t="s">
        <v>1782</v>
      </c>
      <c r="I108" s="0" t="s">
        <v>1783</v>
      </c>
      <c r="Z108" s="0" t="n">
        <f aca="false">LEN(C108)+LEN(D108)+LEN(E108)+LEN(F108)+LEN(G108)+LEN(H108)+LEN(J108)+LEN(K108)+LEN(L108)+LEN(M108)</f>
        <v>46</v>
      </c>
    </row>
    <row r="109" customFormat="false" ht="15" hidden="false" customHeight="false" outlineLevel="0" collapsed="false">
      <c r="A109" s="0" t="s">
        <v>1784</v>
      </c>
      <c r="B109" s="0" t="n">
        <v>1911</v>
      </c>
      <c r="C109" s="0" t="s">
        <v>1785</v>
      </c>
      <c r="H109" s="0" t="s">
        <v>1786</v>
      </c>
      <c r="I109" s="0" t="s">
        <v>1787</v>
      </c>
      <c r="S109" s="0" t="s">
        <v>29</v>
      </c>
      <c r="Z109" s="0" t="n">
        <f aca="false">LEN(C109)+LEN(D109)+LEN(E109)+LEN(F109)+LEN(G109)+LEN(H109)+LEN(J109)+LEN(K109)+LEN(L109)+LEN(M109)</f>
        <v>53</v>
      </c>
    </row>
    <row r="110" customFormat="false" ht="15" hidden="false" customHeight="false" outlineLevel="0" collapsed="false">
      <c r="A110" s="0" t="s">
        <v>1788</v>
      </c>
      <c r="B110" s="0" t="n">
        <v>1911</v>
      </c>
      <c r="C110" s="0" t="s">
        <v>1789</v>
      </c>
      <c r="I110" s="0" t="s">
        <v>1790</v>
      </c>
      <c r="Z110" s="0" t="n">
        <f aca="false">LEN(C110)+LEN(D110)+LEN(E110)+LEN(F110)+LEN(G110)+LEN(H110)+LEN(J110)+LEN(K110)+LEN(L110)+LEN(M110)</f>
        <v>57</v>
      </c>
    </row>
    <row r="111" customFormat="false" ht="15" hidden="false" customHeight="false" outlineLevel="0" collapsed="false">
      <c r="A111" s="0" t="s">
        <v>1791</v>
      </c>
      <c r="B111" s="0" t="n">
        <v>1916</v>
      </c>
      <c r="C111" s="0" t="s">
        <v>1792</v>
      </c>
      <c r="H111" s="0" t="s">
        <v>1793</v>
      </c>
      <c r="I111" s="0" t="s">
        <v>1794</v>
      </c>
      <c r="N111" s="0" t="s">
        <v>29</v>
      </c>
      <c r="S111" s="0" t="s">
        <v>29</v>
      </c>
      <c r="Z111" s="0" t="n">
        <f aca="false">LEN(C111)+LEN(D111)+LEN(E111)+LEN(F111)+LEN(G111)+LEN(H111)+LEN(J111)+LEN(K111)+LEN(L111)+LEN(M111)</f>
        <v>59</v>
      </c>
    </row>
    <row r="112" customFormat="false" ht="15" hidden="false" customHeight="false" outlineLevel="0" collapsed="false">
      <c r="A112" s="0" t="s">
        <v>1795</v>
      </c>
      <c r="B112" s="0" t="n">
        <v>1916</v>
      </c>
      <c r="C112" s="0" t="s">
        <v>1796</v>
      </c>
      <c r="I112" s="0" t="s">
        <v>1797</v>
      </c>
      <c r="Z112" s="0" t="n">
        <f aca="false">LEN(C112)+LEN(D112)+LEN(E112)+LEN(F112)+LEN(G112)+LEN(H112)+LEN(J112)+LEN(K112)+LEN(L112)+LEN(M112)</f>
        <v>35</v>
      </c>
    </row>
    <row r="113" customFormat="false" ht="15" hidden="false" customHeight="false" outlineLevel="0" collapsed="false">
      <c r="A113" s="0" t="s">
        <v>1798</v>
      </c>
      <c r="B113" s="0" t="n">
        <v>1916</v>
      </c>
      <c r="C113" s="0" t="s">
        <v>1799</v>
      </c>
      <c r="I113" s="0" t="s">
        <v>1800</v>
      </c>
      <c r="J113" s="0" t="s">
        <v>1801</v>
      </c>
      <c r="K113" s="0" t="s">
        <v>394</v>
      </c>
      <c r="M113" s="0" t="s">
        <v>1802</v>
      </c>
      <c r="U113" s="0" t="s">
        <v>29</v>
      </c>
      <c r="W113" s="0" t="s">
        <v>29</v>
      </c>
      <c r="Z113" s="0" t="n">
        <f aca="false">LEN(C113)+LEN(D113)+LEN(E113)+LEN(F113)+LEN(G113)+LEN(H113)+LEN(J113)+LEN(K113)+LEN(L113)+LEN(M113)</f>
        <v>63</v>
      </c>
    </row>
    <row r="114" customFormat="false" ht="15" hidden="false" customHeight="false" outlineLevel="0" collapsed="false">
      <c r="A114" s="0" t="s">
        <v>1803</v>
      </c>
      <c r="B114" s="0" t="n">
        <v>1916</v>
      </c>
      <c r="C114" s="0" t="s">
        <v>1804</v>
      </c>
      <c r="I114" s="0" t="s">
        <v>1805</v>
      </c>
      <c r="Z114" s="0" t="n">
        <f aca="false">LEN(C114)+LEN(D114)+LEN(E114)+LEN(F114)+LEN(G114)+LEN(H114)+LEN(J114)+LEN(K114)+LEN(L114)+LEN(M114)</f>
        <v>39</v>
      </c>
    </row>
    <row r="115" customFormat="false" ht="15" hidden="false" customHeight="false" outlineLevel="0" collapsed="false">
      <c r="A115" s="0" t="s">
        <v>1806</v>
      </c>
      <c r="B115" s="0" t="n">
        <v>1916</v>
      </c>
      <c r="C115" s="0" t="s">
        <v>1807</v>
      </c>
      <c r="H115" s="0" t="s">
        <v>1808</v>
      </c>
      <c r="I115" s="0" t="s">
        <v>1807</v>
      </c>
      <c r="J115" s="0" t="s">
        <v>1809</v>
      </c>
      <c r="K115" s="0" t="s">
        <v>1810</v>
      </c>
      <c r="L115" s="0" t="s">
        <v>1564</v>
      </c>
      <c r="M115" s="0" t="s">
        <v>1440</v>
      </c>
      <c r="N115" s="0" t="s">
        <v>29</v>
      </c>
      <c r="U115" s="0" t="s">
        <v>29</v>
      </c>
      <c r="V115" s="0" t="s">
        <v>29</v>
      </c>
      <c r="W115" s="0" t="s">
        <v>29</v>
      </c>
      <c r="Z115" s="0" t="n">
        <f aca="false">LEN(C115)+LEN(D115)+LEN(E115)+LEN(F115)+LEN(G115)+LEN(H115)+LEN(J115)+LEN(K115)+LEN(L115)+LEN(M115)</f>
        <v>118</v>
      </c>
    </row>
    <row r="116" customFormat="false" ht="15" hidden="false" customHeight="false" outlineLevel="0" collapsed="false">
      <c r="A116" s="0" t="s">
        <v>1811</v>
      </c>
      <c r="B116" s="0" t="n">
        <v>1916</v>
      </c>
      <c r="C116" s="0" t="s">
        <v>1812</v>
      </c>
      <c r="H116" s="0" t="s">
        <v>1813</v>
      </c>
      <c r="I116" s="0" t="s">
        <v>1812</v>
      </c>
      <c r="Z116" s="0" t="n">
        <f aca="false">LEN(C116)+LEN(D116)+LEN(E116)+LEN(F116)+LEN(G116)+LEN(H116)+LEN(J116)+LEN(K116)+LEN(L116)+LEN(M116)</f>
        <v>43</v>
      </c>
    </row>
    <row r="117" customFormat="false" ht="15" hidden="false" customHeight="false" outlineLevel="0" collapsed="false">
      <c r="A117" s="0" t="s">
        <v>1814</v>
      </c>
      <c r="B117" s="0" t="n">
        <v>1916</v>
      </c>
      <c r="C117" s="0" t="s">
        <v>1815</v>
      </c>
      <c r="I117" s="0" t="s">
        <v>1816</v>
      </c>
      <c r="Z117" s="0" t="n">
        <f aca="false">LEN(C117)+LEN(D117)+LEN(E117)+LEN(F117)+LEN(G117)+LEN(H117)+LEN(J117)+LEN(K117)+LEN(L117)+LEN(M117)</f>
        <v>29</v>
      </c>
    </row>
    <row r="118" customFormat="false" ht="15" hidden="false" customHeight="false" outlineLevel="0" collapsed="false">
      <c r="A118" s="0" t="s">
        <v>1817</v>
      </c>
      <c r="B118" s="0" t="n">
        <v>1916</v>
      </c>
      <c r="C118" s="0" t="s">
        <v>1818</v>
      </c>
      <c r="I118" s="0" t="s">
        <v>1819</v>
      </c>
      <c r="J118" s="0" t="s">
        <v>1820</v>
      </c>
      <c r="K118" s="0" t="s">
        <v>1600</v>
      </c>
      <c r="L118" s="0" t="s">
        <v>881</v>
      </c>
      <c r="M118" s="0" t="s">
        <v>1802</v>
      </c>
      <c r="U118" s="0" t="s">
        <v>29</v>
      </c>
      <c r="Z118" s="0" t="n">
        <f aca="false">LEN(C118)+LEN(D118)+LEN(E118)+LEN(F118)+LEN(G118)+LEN(H118)+LEN(J118)+LEN(K118)+LEN(L118)+LEN(M118)</f>
        <v>78</v>
      </c>
    </row>
    <row r="119" customFormat="false" ht="15" hidden="false" customHeight="false" outlineLevel="0" collapsed="false">
      <c r="A119" s="0" t="s">
        <v>1821</v>
      </c>
      <c r="B119" s="0" t="n">
        <v>1916</v>
      </c>
      <c r="C119" s="0" t="s">
        <v>1822</v>
      </c>
      <c r="H119" s="0" t="s">
        <v>1823</v>
      </c>
      <c r="I119" s="0" t="s">
        <v>1822</v>
      </c>
      <c r="Z119" s="0" t="n">
        <f aca="false">LEN(C119)+LEN(D119)+LEN(E119)+LEN(F119)+LEN(G119)+LEN(H119)+LEN(J119)+LEN(K119)+LEN(L119)+LEN(M119)</f>
        <v>62</v>
      </c>
    </row>
    <row r="120" customFormat="false" ht="15" hidden="false" customHeight="false" outlineLevel="0" collapsed="false">
      <c r="A120" s="0" t="s">
        <v>1824</v>
      </c>
      <c r="B120" s="0" t="n">
        <v>1916</v>
      </c>
      <c r="C120" s="0" t="s">
        <v>1825</v>
      </c>
      <c r="I120" s="0" t="s">
        <v>1825</v>
      </c>
      <c r="Z120" s="0" t="n">
        <f aca="false">LEN(C120)+LEN(D120)+LEN(E120)+LEN(F120)+LEN(G120)+LEN(H120)+LEN(J120)+LEN(K120)+LEN(L120)+LEN(M120)</f>
        <v>37</v>
      </c>
    </row>
    <row r="121" customFormat="false" ht="15" hidden="false" customHeight="false" outlineLevel="0" collapsed="false">
      <c r="A121" s="0" t="s">
        <v>1826</v>
      </c>
      <c r="B121" s="0" t="n">
        <v>1916</v>
      </c>
      <c r="C121" s="0" t="s">
        <v>1827</v>
      </c>
      <c r="H121" s="0" t="s">
        <v>1828</v>
      </c>
      <c r="I121" s="0" t="s">
        <v>1827</v>
      </c>
      <c r="Z121" s="0" t="n">
        <f aca="false">LEN(C121)+LEN(D121)+LEN(E121)+LEN(F121)+LEN(G121)+LEN(H121)+LEN(J121)+LEN(K121)+LEN(L121)+LEN(M121)</f>
        <v>48</v>
      </c>
    </row>
    <row r="122" customFormat="false" ht="15" hidden="false" customHeight="false" outlineLevel="0" collapsed="false">
      <c r="A122" s="0" t="s">
        <v>1829</v>
      </c>
      <c r="B122" s="0" t="n">
        <v>1916</v>
      </c>
      <c r="C122" s="0" t="s">
        <v>1830</v>
      </c>
      <c r="H122" s="0" t="s">
        <v>1831</v>
      </c>
      <c r="I122" s="0" t="s">
        <v>1830</v>
      </c>
      <c r="Z122" s="0" t="n">
        <f aca="false">LEN(C122)+LEN(D122)+LEN(E122)+LEN(F122)+LEN(G122)+LEN(H122)+LEN(J122)+LEN(K122)+LEN(L122)+LEN(M122)</f>
        <v>43</v>
      </c>
    </row>
    <row r="123" customFormat="false" ht="15" hidden="false" customHeight="false" outlineLevel="0" collapsed="false">
      <c r="A123" s="0" t="s">
        <v>1832</v>
      </c>
      <c r="B123" s="0" t="n">
        <v>1916</v>
      </c>
      <c r="C123" s="0" t="s">
        <v>1833</v>
      </c>
      <c r="I123" s="0" t="s">
        <v>1834</v>
      </c>
      <c r="Z123" s="0" t="n">
        <f aca="false">LEN(C123)+LEN(D123)+LEN(E123)+LEN(F123)+LEN(G123)+LEN(H123)+LEN(J123)+LEN(K123)+LEN(L123)+LEN(M123)</f>
        <v>31</v>
      </c>
    </row>
    <row r="124" customFormat="false" ht="15" hidden="false" customHeight="false" outlineLevel="0" collapsed="false">
      <c r="A124" s="0" t="s">
        <v>1835</v>
      </c>
      <c r="B124" s="0" t="n">
        <v>1916</v>
      </c>
      <c r="C124" s="0" t="s">
        <v>1836</v>
      </c>
      <c r="I124" s="0" t="s">
        <v>1837</v>
      </c>
      <c r="Z124" s="0" t="n">
        <f aca="false">LEN(C124)+LEN(D124)+LEN(E124)+LEN(F124)+LEN(G124)+LEN(H124)+LEN(J124)+LEN(K124)+LEN(L124)+LEN(M124)</f>
        <v>26</v>
      </c>
    </row>
    <row r="125" customFormat="false" ht="15" hidden="false" customHeight="false" outlineLevel="0" collapsed="false">
      <c r="A125" s="0" t="s">
        <v>1838</v>
      </c>
      <c r="B125" s="0" t="n">
        <v>1916</v>
      </c>
      <c r="C125" s="0" t="s">
        <v>1839</v>
      </c>
      <c r="I125" s="0" t="s">
        <v>1840</v>
      </c>
      <c r="J125" s="0" t="s">
        <v>1841</v>
      </c>
      <c r="K125" s="0" t="s">
        <v>324</v>
      </c>
      <c r="L125" s="0" t="s">
        <v>1407</v>
      </c>
      <c r="M125" s="0" t="s">
        <v>1595</v>
      </c>
      <c r="Z125" s="0" t="n">
        <f aca="false">LEN(C125)+LEN(D125)+LEN(E125)+LEN(F125)+LEN(G125)+LEN(H125)+LEN(J125)+LEN(K125)+LEN(L125)+LEN(M125)</f>
        <v>58</v>
      </c>
    </row>
    <row r="126" customFormat="false" ht="15" hidden="false" customHeight="false" outlineLevel="0" collapsed="false">
      <c r="A126" s="0" t="s">
        <v>1842</v>
      </c>
      <c r="B126" s="0" t="n">
        <v>1916</v>
      </c>
      <c r="C126" s="0" t="s">
        <v>1843</v>
      </c>
      <c r="I126" s="0" t="s">
        <v>1844</v>
      </c>
      <c r="N126" s="0" t="s">
        <v>29</v>
      </c>
      <c r="Z126" s="0" t="n">
        <f aca="false">LEN(C126)+LEN(D126)+LEN(E126)+LEN(F126)+LEN(G126)+LEN(H126)+LEN(J126)+LEN(K126)+LEN(L126)+LEN(M126)</f>
        <v>47</v>
      </c>
    </row>
    <row r="127" customFormat="false" ht="15" hidden="false" customHeight="false" outlineLevel="0" collapsed="false">
      <c r="A127" s="0" t="s">
        <v>1845</v>
      </c>
      <c r="B127" s="0" t="n">
        <v>1916</v>
      </c>
      <c r="C127" s="0" t="s">
        <v>1846</v>
      </c>
      <c r="I127" s="0" t="s">
        <v>1847</v>
      </c>
      <c r="N127" s="0" t="s">
        <v>29</v>
      </c>
      <c r="Z127" s="0" t="n">
        <f aca="false">LEN(C127)+LEN(D127)+LEN(E127)+LEN(F127)+LEN(G127)+LEN(H127)+LEN(J127)+LEN(K127)+LEN(L127)+LEN(M127)</f>
        <v>40</v>
      </c>
    </row>
    <row r="128" customFormat="false" ht="15" hidden="false" customHeight="false" outlineLevel="0" collapsed="false">
      <c r="A128" s="0" t="s">
        <v>1848</v>
      </c>
      <c r="B128" s="0" t="n">
        <v>1916</v>
      </c>
      <c r="C128" s="0" t="s">
        <v>1849</v>
      </c>
      <c r="H128" s="0" t="s">
        <v>1850</v>
      </c>
      <c r="I128" s="0" t="s">
        <v>1851</v>
      </c>
      <c r="Z128" s="0" t="n">
        <f aca="false">LEN(C128)+LEN(D128)+LEN(E128)+LEN(F128)+LEN(G128)+LEN(H128)+LEN(J128)+LEN(K128)+LEN(L128)+LEN(M128)</f>
        <v>68</v>
      </c>
    </row>
    <row r="129" customFormat="false" ht="15" hidden="false" customHeight="false" outlineLevel="0" collapsed="false">
      <c r="A129" s="0" t="s">
        <v>1852</v>
      </c>
      <c r="B129" s="0" t="n">
        <v>1916</v>
      </c>
      <c r="C129" s="0" t="s">
        <v>1853</v>
      </c>
      <c r="H129" s="0" t="s">
        <v>1585</v>
      </c>
      <c r="I129" s="0" t="s">
        <v>1854</v>
      </c>
      <c r="N129" s="0" t="s">
        <v>29</v>
      </c>
      <c r="S129" s="0" t="s">
        <v>29</v>
      </c>
      <c r="Z129" s="0" t="n">
        <f aca="false">LEN(C129)+LEN(D129)+LEN(E129)+LEN(F129)+LEN(G129)+LEN(H129)+LEN(J129)+LEN(K129)+LEN(L129)+LEN(M129)</f>
        <v>31</v>
      </c>
    </row>
    <row r="130" customFormat="false" ht="15" hidden="false" customHeight="false" outlineLevel="0" collapsed="false">
      <c r="A130" s="0" t="s">
        <v>1855</v>
      </c>
      <c r="B130" s="0" t="n">
        <v>1916</v>
      </c>
      <c r="C130" s="0" t="s">
        <v>1856</v>
      </c>
      <c r="H130" s="0" t="s">
        <v>1857</v>
      </c>
      <c r="I130" s="0" t="s">
        <v>1856</v>
      </c>
      <c r="Z130" s="0" t="n">
        <f aca="false">LEN(C130)+LEN(D130)+LEN(E130)+LEN(F130)+LEN(G130)+LEN(H130)+LEN(J130)+LEN(K130)+LEN(L130)+LEN(M130)</f>
        <v>40</v>
      </c>
    </row>
    <row r="131" customFormat="false" ht="15" hidden="false" customHeight="false" outlineLevel="0" collapsed="false">
      <c r="A131" s="0" t="s">
        <v>1858</v>
      </c>
      <c r="B131" s="0" t="n">
        <v>1916</v>
      </c>
      <c r="C131" s="0" t="s">
        <v>1859</v>
      </c>
      <c r="I131" s="0" t="s">
        <v>1860</v>
      </c>
      <c r="Z131" s="0" t="n">
        <f aca="false">LEN(C131)+LEN(D131)+LEN(E131)+LEN(F131)+LEN(G131)+LEN(H131)+LEN(J131)+LEN(K131)+LEN(L131)+LEN(M131)</f>
        <v>53</v>
      </c>
    </row>
    <row r="132" customFormat="false" ht="15" hidden="false" customHeight="false" outlineLevel="0" collapsed="false">
      <c r="A132" s="0" t="s">
        <v>1861</v>
      </c>
      <c r="B132" s="0" t="n">
        <v>1916</v>
      </c>
      <c r="C132" s="0" t="s">
        <v>1862</v>
      </c>
      <c r="I132" s="0" t="s">
        <v>1863</v>
      </c>
      <c r="Z132" s="0" t="n">
        <f aca="false">LEN(C132)+LEN(D132)+LEN(E132)+LEN(F132)+LEN(G132)+LEN(H132)+LEN(J132)+LEN(K132)+LEN(L132)+LEN(M132)</f>
        <v>45</v>
      </c>
    </row>
    <row r="133" customFormat="false" ht="15" hidden="false" customHeight="false" outlineLevel="0" collapsed="false">
      <c r="A133" s="0" t="s">
        <v>1864</v>
      </c>
      <c r="B133" s="0" t="n">
        <v>1916</v>
      </c>
      <c r="C133" s="0" t="s">
        <v>1865</v>
      </c>
      <c r="H133" s="0" t="s">
        <v>1866</v>
      </c>
      <c r="I133" s="0" t="s">
        <v>1867</v>
      </c>
      <c r="Z133" s="0" t="n">
        <f aca="false">LEN(C133)+LEN(D133)+LEN(E133)+LEN(F133)+LEN(G133)+LEN(H133)+LEN(J133)+LEN(K133)+LEN(L133)+LEN(M133)</f>
        <v>54</v>
      </c>
    </row>
    <row r="134" customFormat="false" ht="15" hidden="false" customHeight="false" outlineLevel="0" collapsed="false">
      <c r="A134" s="0" t="s">
        <v>1868</v>
      </c>
      <c r="B134" s="0" t="n">
        <v>1916</v>
      </c>
      <c r="C134" s="0" t="s">
        <v>1869</v>
      </c>
      <c r="I134" s="0" t="s">
        <v>1869</v>
      </c>
      <c r="Z134" s="0" t="n">
        <f aca="false">LEN(C134)+LEN(D134)+LEN(E134)+LEN(F134)+LEN(G134)+LEN(H134)+LEN(J134)+LEN(K134)+LEN(L134)+LEN(M134)</f>
        <v>45</v>
      </c>
    </row>
    <row r="135" customFormat="false" ht="15" hidden="false" customHeight="false" outlineLevel="0" collapsed="false">
      <c r="A135" s="0" t="s">
        <v>1870</v>
      </c>
      <c r="B135" s="0" t="n">
        <v>1916</v>
      </c>
      <c r="C135" s="0" t="s">
        <v>1871</v>
      </c>
      <c r="I135" s="0" t="s">
        <v>1872</v>
      </c>
      <c r="N135" s="0" t="s">
        <v>29</v>
      </c>
      <c r="Z135" s="0" t="n">
        <f aca="false">LEN(C135)+LEN(D135)+LEN(E135)+LEN(F135)+LEN(G135)+LEN(H135)+LEN(J135)+LEN(K135)+LEN(L135)+LEN(M135)</f>
        <v>58</v>
      </c>
    </row>
    <row r="136" customFormat="false" ht="15" hidden="false" customHeight="false" outlineLevel="0" collapsed="false">
      <c r="A136" s="0" t="s">
        <v>1873</v>
      </c>
      <c r="B136" s="0" t="n">
        <v>1916</v>
      </c>
      <c r="C136" s="0" t="s">
        <v>1874</v>
      </c>
      <c r="I136" s="0" t="s">
        <v>1875</v>
      </c>
      <c r="J136" s="0" t="s">
        <v>1876</v>
      </c>
      <c r="K136" s="0" t="s">
        <v>323</v>
      </c>
      <c r="M136" s="0" t="s">
        <v>1802</v>
      </c>
      <c r="N136" s="0" t="s">
        <v>69</v>
      </c>
      <c r="U136" s="0" t="s">
        <v>29</v>
      </c>
      <c r="W136" s="0" t="s">
        <v>29</v>
      </c>
      <c r="Y136" s="0" t="n">
        <v>17</v>
      </c>
      <c r="Z136" s="0" t="n">
        <f aca="false">LEN(C136)+LEN(D136)+LEN(E136)+LEN(F136)+LEN(G136)+LEN(H136)+LEN(J136)+LEN(K136)+LEN(L136)+LEN(M136)</f>
        <v>78</v>
      </c>
    </row>
    <row r="137" customFormat="false" ht="15" hidden="false" customHeight="false" outlineLevel="0" collapsed="false">
      <c r="A137" s="0" t="s">
        <v>1877</v>
      </c>
      <c r="B137" s="0" t="n">
        <v>1916</v>
      </c>
      <c r="C137" s="0" t="s">
        <v>1878</v>
      </c>
      <c r="I137" s="0" t="s">
        <v>1878</v>
      </c>
      <c r="Z137" s="0" t="n">
        <f aca="false">LEN(C137)+LEN(D137)+LEN(E137)+LEN(F137)+LEN(G137)+LEN(H137)+LEN(J137)+LEN(K137)+LEN(L137)+LEN(M137)</f>
        <v>30</v>
      </c>
    </row>
    <row r="138" customFormat="false" ht="15" hidden="false" customHeight="false" outlineLevel="0" collapsed="false">
      <c r="A138" s="0" t="s">
        <v>1879</v>
      </c>
      <c r="B138" s="0" t="n">
        <v>1916</v>
      </c>
      <c r="C138" s="0" t="s">
        <v>1880</v>
      </c>
      <c r="I138" s="0" t="s">
        <v>1881</v>
      </c>
      <c r="J138" s="0" t="s">
        <v>1882</v>
      </c>
      <c r="K138" s="0" t="s">
        <v>1635</v>
      </c>
      <c r="L138" s="0" t="s">
        <v>394</v>
      </c>
      <c r="M138" s="0" t="s">
        <v>1883</v>
      </c>
      <c r="U138" s="0" t="s">
        <v>29</v>
      </c>
      <c r="Z138" s="0" t="n">
        <f aca="false">LEN(C138)+LEN(D138)+LEN(E138)+LEN(F138)+LEN(G138)+LEN(H138)+LEN(J138)+LEN(K138)+LEN(L138)+LEN(M138)</f>
        <v>56</v>
      </c>
    </row>
    <row r="139" customFormat="false" ht="15" hidden="false" customHeight="false" outlineLevel="0" collapsed="false">
      <c r="A139" s="0" t="s">
        <v>1884</v>
      </c>
      <c r="B139" s="0" t="n">
        <v>1916</v>
      </c>
      <c r="C139" s="0" t="s">
        <v>1885</v>
      </c>
      <c r="H139" s="0" t="s">
        <v>1886</v>
      </c>
      <c r="I139" s="0" t="s">
        <v>1885</v>
      </c>
      <c r="Z139" s="0" t="n">
        <f aca="false">LEN(C139)+LEN(D139)+LEN(E139)+LEN(F139)+LEN(G139)+LEN(H139)+LEN(J139)+LEN(K139)+LEN(L139)+LEN(M139)</f>
        <v>52</v>
      </c>
    </row>
    <row r="140" customFormat="false" ht="15" hidden="false" customHeight="false" outlineLevel="0" collapsed="false">
      <c r="A140" s="0" t="s">
        <v>1887</v>
      </c>
      <c r="B140" s="0" t="n">
        <v>1916</v>
      </c>
      <c r="C140" s="0" t="s">
        <v>1888</v>
      </c>
      <c r="H140" s="0" t="s">
        <v>1889</v>
      </c>
      <c r="I140" s="0" t="s">
        <v>1888</v>
      </c>
      <c r="N140" s="0" t="s">
        <v>69</v>
      </c>
      <c r="Y140" s="0" t="n">
        <v>14</v>
      </c>
      <c r="Z140" s="0" t="n">
        <f aca="false">LEN(C140)+LEN(D140)+LEN(E140)+LEN(F140)+LEN(G140)+LEN(H140)+LEN(J140)+LEN(K140)+LEN(L140)+LEN(M140)</f>
        <v>50</v>
      </c>
    </row>
    <row r="141" customFormat="false" ht="15" hidden="false" customHeight="false" outlineLevel="0" collapsed="false">
      <c r="A141" s="0" t="s">
        <v>1890</v>
      </c>
      <c r="B141" s="0" t="n">
        <v>1916</v>
      </c>
      <c r="C141" s="0" t="s">
        <v>1891</v>
      </c>
      <c r="I141" s="0" t="s">
        <v>1891</v>
      </c>
      <c r="Z141" s="0" t="n">
        <f aca="false">LEN(C141)+LEN(D141)+LEN(E141)+LEN(F141)+LEN(G141)+LEN(H141)+LEN(J141)+LEN(K141)+LEN(L141)+LEN(M141)</f>
        <v>36</v>
      </c>
    </row>
    <row r="142" customFormat="false" ht="15" hidden="false" customHeight="false" outlineLevel="0" collapsed="false">
      <c r="A142" s="0" t="s">
        <v>1892</v>
      </c>
      <c r="B142" s="0" t="n">
        <v>1916</v>
      </c>
      <c r="C142" s="0" t="s">
        <v>1893</v>
      </c>
      <c r="H142" s="0" t="s">
        <v>1606</v>
      </c>
      <c r="I142" s="0" t="s">
        <v>1894</v>
      </c>
      <c r="J142" s="0" t="s">
        <v>1895</v>
      </c>
      <c r="K142" s="0" t="s">
        <v>386</v>
      </c>
      <c r="L142" s="0" t="s">
        <v>1635</v>
      </c>
      <c r="M142" s="0" t="s">
        <v>1896</v>
      </c>
      <c r="N142" s="0" t="s">
        <v>29</v>
      </c>
      <c r="U142" s="0" t="s">
        <v>29</v>
      </c>
      <c r="Z142" s="0" t="n">
        <f aca="false">LEN(C142)+LEN(D142)+LEN(E142)+LEN(F142)+LEN(G142)+LEN(H142)+LEN(J142)+LEN(K142)+LEN(L142)+LEN(M142)</f>
        <v>90</v>
      </c>
    </row>
    <row r="143" customFormat="false" ht="15" hidden="false" customHeight="false" outlineLevel="0" collapsed="false">
      <c r="A143" s="0" t="s">
        <v>1897</v>
      </c>
      <c r="B143" s="0" t="n">
        <v>1916</v>
      </c>
      <c r="C143" s="0" t="s">
        <v>1898</v>
      </c>
      <c r="H143" s="0" t="s">
        <v>1899</v>
      </c>
      <c r="I143" s="0" t="s">
        <v>1900</v>
      </c>
      <c r="Z143" s="0" t="n">
        <f aca="false">LEN(C143)+LEN(D143)+LEN(E143)+LEN(F143)+LEN(G143)+LEN(H143)+LEN(J143)+LEN(K143)+LEN(L143)+LEN(M143)</f>
        <v>46</v>
      </c>
    </row>
    <row r="144" customFormat="false" ht="15" hidden="false" customHeight="false" outlineLevel="0" collapsed="false">
      <c r="A144" s="0" t="s">
        <v>1901</v>
      </c>
      <c r="B144" s="0" t="n">
        <v>1916</v>
      </c>
      <c r="C144" s="0" t="s">
        <v>1902</v>
      </c>
      <c r="I144" s="0" t="s">
        <v>1903</v>
      </c>
      <c r="Z144" s="0" t="n">
        <f aca="false">LEN(C144)+LEN(D144)+LEN(E144)+LEN(F144)+LEN(G144)+LEN(H144)+LEN(J144)+LEN(K144)+LEN(L144)+LEN(M144)</f>
        <v>38</v>
      </c>
    </row>
    <row r="145" customFormat="false" ht="15" hidden="false" customHeight="false" outlineLevel="0" collapsed="false">
      <c r="A145" s="0" t="s">
        <v>1904</v>
      </c>
      <c r="B145" s="0" t="n">
        <v>1916</v>
      </c>
      <c r="C145" s="0" t="s">
        <v>1905</v>
      </c>
      <c r="I145" s="0" t="s">
        <v>1906</v>
      </c>
      <c r="Z145" s="0" t="n">
        <f aca="false">LEN(C145)+LEN(D145)+LEN(E145)+LEN(F145)+LEN(G145)+LEN(H145)+LEN(J145)+LEN(K145)+LEN(L145)+LEN(M145)</f>
        <v>39</v>
      </c>
    </row>
    <row r="146" customFormat="false" ht="15" hidden="false" customHeight="false" outlineLevel="0" collapsed="false">
      <c r="A146" s="0" t="s">
        <v>1907</v>
      </c>
      <c r="B146" s="0" t="n">
        <v>1916</v>
      </c>
      <c r="C146" s="0" t="s">
        <v>1908</v>
      </c>
      <c r="I146" s="0" t="s">
        <v>1909</v>
      </c>
      <c r="Z146" s="0" t="n">
        <f aca="false">LEN(C146)+LEN(D146)+LEN(E146)+LEN(F146)+LEN(G146)+LEN(H146)+LEN(J146)+LEN(K146)+LEN(L146)+LEN(M146)</f>
        <v>21</v>
      </c>
    </row>
    <row r="147" customFormat="false" ht="15" hidden="false" customHeight="false" outlineLevel="0" collapsed="false">
      <c r="A147" s="0" t="s">
        <v>1910</v>
      </c>
      <c r="B147" s="0" t="n">
        <v>1916</v>
      </c>
      <c r="C147" s="0" t="s">
        <v>1911</v>
      </c>
      <c r="I147" s="0" t="s">
        <v>1911</v>
      </c>
      <c r="Z147" s="0" t="n">
        <f aca="false">LEN(C147)+LEN(D147)+LEN(E147)+LEN(F147)+LEN(G147)+LEN(H147)+LEN(J147)+LEN(K147)+LEN(L147)+LEN(M147)</f>
        <v>48</v>
      </c>
    </row>
    <row r="148" customFormat="false" ht="15" hidden="false" customHeight="false" outlineLevel="0" collapsed="false">
      <c r="A148" s="0" t="s">
        <v>1912</v>
      </c>
      <c r="B148" s="0" t="n">
        <v>1916</v>
      </c>
      <c r="C148" s="0" t="s">
        <v>1913</v>
      </c>
      <c r="I148" s="0" t="s">
        <v>1914</v>
      </c>
      <c r="Z148" s="0" t="n">
        <f aca="false">LEN(C148)+LEN(D148)+LEN(E148)+LEN(F148)+LEN(G148)+LEN(H148)+LEN(J148)+LEN(K148)+LEN(L148)+LEN(M148)</f>
        <v>47</v>
      </c>
    </row>
    <row r="149" customFormat="false" ht="15" hidden="false" customHeight="false" outlineLevel="0" collapsed="false">
      <c r="A149" s="0" t="s">
        <v>1915</v>
      </c>
      <c r="B149" s="0" t="n">
        <v>1916</v>
      </c>
      <c r="C149" s="0" t="s">
        <v>1916</v>
      </c>
      <c r="H149" s="0" t="s">
        <v>1917</v>
      </c>
      <c r="I149" s="0" t="s">
        <v>1918</v>
      </c>
      <c r="J149" s="0" t="s">
        <v>1919</v>
      </c>
      <c r="K149" s="0" t="s">
        <v>1920</v>
      </c>
      <c r="L149" s="0" t="s">
        <v>1921</v>
      </c>
      <c r="M149" s="0" t="s">
        <v>1595</v>
      </c>
      <c r="S149" s="0" t="s">
        <v>29</v>
      </c>
      <c r="U149" s="0" t="s">
        <v>29</v>
      </c>
      <c r="V149" s="0" t="s">
        <v>29</v>
      </c>
      <c r="W149" s="0" t="s">
        <v>29</v>
      </c>
      <c r="Z149" s="0" t="n">
        <f aca="false">LEN(C149)+LEN(D149)+LEN(E149)+LEN(F149)+LEN(G149)+LEN(H149)+LEN(J149)+LEN(K149)+LEN(L149)+LEN(M149)</f>
        <v>56</v>
      </c>
    </row>
    <row r="150" customFormat="false" ht="15" hidden="false" customHeight="false" outlineLevel="0" collapsed="false">
      <c r="A150" s="0" t="s">
        <v>1922</v>
      </c>
      <c r="B150" s="0" t="n">
        <v>1916</v>
      </c>
      <c r="C150" s="0" t="s">
        <v>1923</v>
      </c>
      <c r="I150" s="0" t="s">
        <v>1924</v>
      </c>
      <c r="J150" s="0" t="s">
        <v>1925</v>
      </c>
      <c r="K150" s="0" t="s">
        <v>1926</v>
      </c>
      <c r="M150" s="0" t="s">
        <v>1595</v>
      </c>
      <c r="U150" s="0" t="s">
        <v>29</v>
      </c>
      <c r="Z150" s="0" t="n">
        <f aca="false">LEN(C150)+LEN(D150)+LEN(E150)+LEN(F150)+LEN(G150)+LEN(H150)+LEN(J150)+LEN(K150)+LEN(L150)+LEN(M150)</f>
        <v>58</v>
      </c>
    </row>
    <row r="151" customFormat="false" ht="15" hidden="false" customHeight="false" outlineLevel="0" collapsed="false">
      <c r="A151" s="0" t="s">
        <v>1927</v>
      </c>
      <c r="B151" s="0" t="n">
        <v>1916</v>
      </c>
      <c r="C151" s="0" t="s">
        <v>1928</v>
      </c>
      <c r="I151" s="0" t="s">
        <v>1929</v>
      </c>
      <c r="Z151" s="0" t="n">
        <f aca="false">LEN(C151)+LEN(D151)+LEN(E151)+LEN(F151)+LEN(G151)+LEN(H151)+LEN(J151)+LEN(K151)+LEN(L151)+LEN(M151)</f>
        <v>46</v>
      </c>
    </row>
    <row r="152" customFormat="false" ht="15" hidden="false" customHeight="false" outlineLevel="0" collapsed="false">
      <c r="A152" s="0" t="s">
        <v>1930</v>
      </c>
      <c r="B152" s="0" t="n">
        <v>1916</v>
      </c>
      <c r="C152" s="0" t="s">
        <v>1931</v>
      </c>
      <c r="I152" s="0" t="s">
        <v>1932</v>
      </c>
      <c r="J152" s="0" t="s">
        <v>1933</v>
      </c>
      <c r="K152" s="0" t="s">
        <v>394</v>
      </c>
      <c r="M152" s="0" t="s">
        <v>1802</v>
      </c>
      <c r="U152" s="0" t="s">
        <v>29</v>
      </c>
      <c r="W152" s="0" t="s">
        <v>29</v>
      </c>
      <c r="Z152" s="0" t="n">
        <f aca="false">LEN(C152)+LEN(D152)+LEN(E152)+LEN(F152)+LEN(G152)+LEN(H152)+LEN(J152)+LEN(K152)+LEN(L152)+LEN(M152)</f>
        <v>54</v>
      </c>
    </row>
    <row r="153" customFormat="false" ht="15" hidden="false" customHeight="false" outlineLevel="0" collapsed="false">
      <c r="A153" s="0" t="s">
        <v>1934</v>
      </c>
      <c r="B153" s="0" t="n">
        <v>1916</v>
      </c>
      <c r="C153" s="0" t="s">
        <v>1843</v>
      </c>
      <c r="H153" s="0" t="s">
        <v>1793</v>
      </c>
      <c r="I153" s="0" t="s">
        <v>1843</v>
      </c>
      <c r="N153" s="0" t="s">
        <v>29</v>
      </c>
      <c r="S153" s="0" t="s">
        <v>29</v>
      </c>
      <c r="Z153" s="0" t="n">
        <f aca="false">LEN(C153)+LEN(D153)+LEN(E153)+LEN(F153)+LEN(G153)+LEN(H153)+LEN(J153)+LEN(K153)+LEN(L153)+LEN(M153)</f>
        <v>55</v>
      </c>
    </row>
    <row r="154" customFormat="false" ht="15" hidden="false" customHeight="false" outlineLevel="0" collapsed="false">
      <c r="A154" s="0" t="s">
        <v>1935</v>
      </c>
      <c r="B154" s="0" t="n">
        <v>1916</v>
      </c>
      <c r="C154" s="0" t="s">
        <v>1936</v>
      </c>
      <c r="H154" s="0" t="s">
        <v>1937</v>
      </c>
      <c r="I154" s="0" t="s">
        <v>1936</v>
      </c>
      <c r="Z154" s="0" t="n">
        <f aca="false">LEN(C154)+LEN(D154)+LEN(E154)+LEN(F154)+LEN(G154)+LEN(H154)+LEN(J154)+LEN(K154)+LEN(L154)+LEN(M154)</f>
        <v>53</v>
      </c>
    </row>
    <row r="155" customFormat="false" ht="15" hidden="false" customHeight="false" outlineLevel="0" collapsed="false">
      <c r="A155" s="0" t="s">
        <v>1938</v>
      </c>
      <c r="B155" s="0" t="n">
        <v>1916</v>
      </c>
      <c r="C155" s="0" t="s">
        <v>1939</v>
      </c>
      <c r="I155" s="0" t="s">
        <v>1940</v>
      </c>
      <c r="J155" s="0" t="s">
        <v>1941</v>
      </c>
      <c r="K155" s="0" t="s">
        <v>1942</v>
      </c>
      <c r="M155" s="0" t="s">
        <v>1802</v>
      </c>
      <c r="U155" s="0" t="s">
        <v>29</v>
      </c>
      <c r="Z155" s="0" t="n">
        <f aca="false">LEN(C155)+LEN(D155)+LEN(E155)+LEN(F155)+LEN(G155)+LEN(H155)+LEN(J155)+LEN(K155)+LEN(L155)+LEN(M155)</f>
        <v>69</v>
      </c>
    </row>
    <row r="156" customFormat="false" ht="15" hidden="false" customHeight="false" outlineLevel="0" collapsed="false">
      <c r="A156" s="0" t="s">
        <v>1943</v>
      </c>
      <c r="B156" s="0" t="n">
        <v>1916</v>
      </c>
      <c r="C156" s="0" t="s">
        <v>1944</v>
      </c>
      <c r="I156" s="0" t="s">
        <v>1945</v>
      </c>
      <c r="J156" s="0" t="s">
        <v>1946</v>
      </c>
      <c r="K156" s="0" t="s">
        <v>1728</v>
      </c>
      <c r="L156" s="0" t="s">
        <v>962</v>
      </c>
      <c r="M156" s="0" t="s">
        <v>1802</v>
      </c>
      <c r="U156" s="0" t="s">
        <v>29</v>
      </c>
      <c r="Z156" s="0" t="n">
        <f aca="false">LEN(C156)+LEN(D156)+LEN(E156)+LEN(F156)+LEN(G156)+LEN(H156)+LEN(J156)+LEN(K156)+LEN(L156)+LEN(M156)</f>
        <v>57</v>
      </c>
    </row>
    <row r="157" customFormat="false" ht="15" hidden="false" customHeight="false" outlineLevel="0" collapsed="false">
      <c r="A157" s="0" t="s">
        <v>1947</v>
      </c>
      <c r="B157" s="0" t="n">
        <v>1916</v>
      </c>
      <c r="C157" s="0" t="s">
        <v>1948</v>
      </c>
      <c r="I157" s="0" t="s">
        <v>1949</v>
      </c>
      <c r="J157" s="0" t="s">
        <v>1950</v>
      </c>
      <c r="K157" s="0" t="s">
        <v>1391</v>
      </c>
      <c r="L157" s="0" t="s">
        <v>393</v>
      </c>
      <c r="M157" s="0" t="s">
        <v>1595</v>
      </c>
      <c r="U157" s="0" t="s">
        <v>29</v>
      </c>
      <c r="Z157" s="0" t="n">
        <f aca="false">LEN(C157)+LEN(D157)+LEN(E157)+LEN(F157)+LEN(G157)+LEN(H157)+LEN(J157)+LEN(K157)+LEN(L157)+LEN(M157)</f>
        <v>61</v>
      </c>
    </row>
    <row r="158" customFormat="false" ht="15" hidden="false" customHeight="false" outlineLevel="0" collapsed="false">
      <c r="A158" s="0" t="s">
        <v>1951</v>
      </c>
      <c r="B158" s="0" t="n">
        <v>1916</v>
      </c>
      <c r="C158" s="0" t="s">
        <v>1952</v>
      </c>
      <c r="I158" s="0" t="s">
        <v>1953</v>
      </c>
      <c r="N158" s="6" t="s">
        <v>29</v>
      </c>
      <c r="Z158" s="0" t="n">
        <f aca="false">LEN(C158)+LEN(D158)+LEN(E158)+LEN(F158)+LEN(G158)+LEN(H158)+LEN(J158)+LEN(K158)+LEN(L158)+LEN(M158)</f>
        <v>36</v>
      </c>
    </row>
    <row r="159" customFormat="false" ht="15" hidden="false" customHeight="false" outlineLevel="0" collapsed="false">
      <c r="A159" s="0" t="s">
        <v>1954</v>
      </c>
      <c r="B159" s="0" t="n">
        <v>1916</v>
      </c>
      <c r="C159" s="0" t="s">
        <v>1955</v>
      </c>
      <c r="I159" s="0" t="s">
        <v>1956</v>
      </c>
      <c r="J159" s="0" t="s">
        <v>1957</v>
      </c>
      <c r="K159" s="0" t="s">
        <v>385</v>
      </c>
      <c r="M159" s="0" t="s">
        <v>1595</v>
      </c>
      <c r="U159" s="0" t="s">
        <v>29</v>
      </c>
      <c r="Z159" s="0" t="n">
        <f aca="false">LEN(C159)+LEN(D159)+LEN(E159)+LEN(F159)+LEN(G159)+LEN(H159)+LEN(J159)+LEN(K159)+LEN(L159)+LEN(M159)</f>
        <v>57</v>
      </c>
    </row>
    <row r="160" customFormat="false" ht="15" hidden="false" customHeight="false" outlineLevel="0" collapsed="false">
      <c r="A160" s="0" t="s">
        <v>1958</v>
      </c>
      <c r="B160" s="0" t="n">
        <v>1916</v>
      </c>
      <c r="C160" s="0" t="s">
        <v>1959</v>
      </c>
      <c r="I160" s="0" t="s">
        <v>1960</v>
      </c>
      <c r="U160" s="0" t="s">
        <v>29</v>
      </c>
      <c r="V160" s="0" t="s">
        <v>29</v>
      </c>
      <c r="W160" s="0" t="s">
        <v>29</v>
      </c>
      <c r="X160" s="0" t="s">
        <v>29</v>
      </c>
      <c r="Z160" s="0" t="n">
        <f aca="false">LEN(C160)+LEN(D160)+LEN(E160)+LEN(F160)+LEN(G160)+LEN(H160)+LEN(J160)+LEN(K160)+LEN(L160)+LEN(M160)</f>
        <v>38</v>
      </c>
    </row>
    <row r="161" customFormat="false" ht="15" hidden="false" customHeight="false" outlineLevel="0" collapsed="false">
      <c r="A161" s="0" t="s">
        <v>1961</v>
      </c>
      <c r="B161" s="0" t="n">
        <v>1916</v>
      </c>
      <c r="C161" s="0" t="s">
        <v>1962</v>
      </c>
      <c r="H161" s="0" t="s">
        <v>1963</v>
      </c>
      <c r="I161" s="0" t="s">
        <v>1962</v>
      </c>
      <c r="Z161" s="0" t="n">
        <f aca="false">LEN(C161)+LEN(D161)+LEN(E161)+LEN(F161)+LEN(G161)+LEN(H161)+LEN(J161)+LEN(K161)+LEN(L161)+LEN(M161)</f>
        <v>72</v>
      </c>
    </row>
    <row r="162" customFormat="false" ht="15" hidden="false" customHeight="false" outlineLevel="0" collapsed="false">
      <c r="A162" s="0" t="s">
        <v>1964</v>
      </c>
      <c r="B162" s="0" t="n">
        <v>1916</v>
      </c>
      <c r="C162" s="0" t="s">
        <v>1965</v>
      </c>
      <c r="I162" s="0" t="s">
        <v>1965</v>
      </c>
      <c r="Z162" s="0" t="n">
        <f aca="false">LEN(C162)+LEN(D162)+LEN(E162)+LEN(F162)+LEN(G162)+LEN(H162)+LEN(J162)+LEN(K162)+LEN(L162)+LEN(M162)</f>
        <v>32</v>
      </c>
    </row>
    <row r="163" customFormat="false" ht="15" hidden="false" customHeight="false" outlineLevel="0" collapsed="false">
      <c r="A163" s="0" t="s">
        <v>1966</v>
      </c>
      <c r="B163" s="0" t="n">
        <v>1916</v>
      </c>
      <c r="C163" s="0" t="s">
        <v>1967</v>
      </c>
      <c r="I163" s="0" t="s">
        <v>1968</v>
      </c>
      <c r="Z163" s="0" t="n">
        <f aca="false">LEN(C163)+LEN(D163)+LEN(E163)+LEN(F163)+LEN(G163)+LEN(H163)+LEN(J163)+LEN(K163)+LEN(L163)+LEN(M163)</f>
        <v>28</v>
      </c>
    </row>
    <row r="164" customFormat="false" ht="15" hidden="false" customHeight="false" outlineLevel="0" collapsed="false">
      <c r="A164" s="0" t="s">
        <v>1969</v>
      </c>
      <c r="B164" s="0" t="n">
        <v>1916</v>
      </c>
      <c r="C164" s="0" t="s">
        <v>1970</v>
      </c>
      <c r="I164" s="0" t="s">
        <v>1971</v>
      </c>
      <c r="Z164" s="0" t="n">
        <f aca="false">LEN(C164)+LEN(D164)+LEN(E164)+LEN(F164)+LEN(G164)+LEN(H164)+LEN(J164)+LEN(K164)+LEN(L164)+LEN(M164)</f>
        <v>42</v>
      </c>
    </row>
    <row r="165" customFormat="false" ht="15" hidden="false" customHeight="false" outlineLevel="0" collapsed="false">
      <c r="A165" s="0" t="s">
        <v>1972</v>
      </c>
      <c r="B165" s="0" t="n">
        <v>1916</v>
      </c>
      <c r="C165" s="0" t="s">
        <v>1973</v>
      </c>
      <c r="H165" s="0" t="s">
        <v>1974</v>
      </c>
      <c r="I165" s="0" t="s">
        <v>1975</v>
      </c>
      <c r="P165" s="0" t="s">
        <v>29</v>
      </c>
      <c r="Z165" s="0" t="n">
        <f aca="false">LEN(C165)+LEN(D165)+LEN(E165)+LEN(F165)+LEN(G165)+LEN(H165)+LEN(J165)+LEN(K165)+LEN(L165)+LEN(M165)</f>
        <v>53</v>
      </c>
    </row>
    <row r="166" customFormat="false" ht="15" hidden="false" customHeight="false" outlineLevel="0" collapsed="false">
      <c r="A166" s="0" t="s">
        <v>1976</v>
      </c>
      <c r="B166" s="0" t="n">
        <v>1916</v>
      </c>
      <c r="C166" s="0" t="s">
        <v>1977</v>
      </c>
      <c r="I166" s="0" t="s">
        <v>1977</v>
      </c>
      <c r="Z166" s="0" t="n">
        <f aca="false">LEN(C166)+LEN(D166)+LEN(E166)+LEN(F166)+LEN(G166)+LEN(H166)+LEN(J166)+LEN(K166)+LEN(L166)+LEN(M166)</f>
        <v>52</v>
      </c>
    </row>
    <row r="167" customFormat="false" ht="15" hidden="false" customHeight="false" outlineLevel="0" collapsed="false">
      <c r="A167" s="0" t="s">
        <v>1978</v>
      </c>
      <c r="B167" s="0" t="n">
        <v>1919</v>
      </c>
      <c r="C167" s="0" t="s">
        <v>1979</v>
      </c>
      <c r="H167" s="0" t="s">
        <v>1980</v>
      </c>
      <c r="I167" s="0" t="s">
        <v>1981</v>
      </c>
      <c r="J167" s="0" t="s">
        <v>1982</v>
      </c>
      <c r="K167" s="0" t="s">
        <v>324</v>
      </c>
      <c r="M167" s="0" t="s">
        <v>1983</v>
      </c>
      <c r="W167" s="0" t="s">
        <v>29</v>
      </c>
      <c r="Z167" s="0" t="n">
        <f aca="false">LEN(C167)+LEN(D167)+LEN(E167)+LEN(F167)+LEN(G167)+LEN(H167)+LEN(J167)+LEN(K167)+LEN(L167)+LEN(M167)</f>
        <v>72</v>
      </c>
    </row>
    <row r="168" customFormat="false" ht="15" hidden="false" customHeight="false" outlineLevel="0" collapsed="false">
      <c r="A168" s="0" t="s">
        <v>1984</v>
      </c>
      <c r="B168" s="0" t="n">
        <v>1919</v>
      </c>
      <c r="C168" s="0" t="s">
        <v>1985</v>
      </c>
      <c r="I168" s="0" t="s">
        <v>1985</v>
      </c>
      <c r="Z168" s="0" t="n">
        <f aca="false">LEN(C168)+LEN(D168)+LEN(E168)+LEN(F168)+LEN(G168)+LEN(H168)+LEN(J168)+LEN(K168)+LEN(L168)+LEN(M168)</f>
        <v>39</v>
      </c>
    </row>
    <row r="169" customFormat="false" ht="15" hidden="false" customHeight="false" outlineLevel="0" collapsed="false">
      <c r="A169" s="0" t="s">
        <v>1986</v>
      </c>
      <c r="B169" s="0" t="n">
        <v>1919</v>
      </c>
      <c r="C169" s="0" t="s">
        <v>1987</v>
      </c>
      <c r="H169" s="0" t="s">
        <v>1988</v>
      </c>
      <c r="I169" s="0" t="s">
        <v>1989</v>
      </c>
      <c r="J169" s="0" t="s">
        <v>1990</v>
      </c>
      <c r="K169" s="0" t="s">
        <v>1391</v>
      </c>
      <c r="M169" s="0" t="s">
        <v>1983</v>
      </c>
      <c r="O169" s="0" t="s">
        <v>29</v>
      </c>
      <c r="V169" s="0" t="s">
        <v>29</v>
      </c>
      <c r="W169" s="0" t="s">
        <v>29</v>
      </c>
      <c r="Z169" s="0" t="n">
        <f aca="false">LEN(C169)+LEN(D169)+LEN(E169)+LEN(F169)+LEN(G169)+LEN(H169)+LEN(J169)+LEN(K169)+LEN(L169)+LEN(M169)</f>
        <v>82</v>
      </c>
    </row>
    <row r="170" customFormat="false" ht="15" hidden="false" customHeight="false" outlineLevel="0" collapsed="false">
      <c r="A170" s="0" t="s">
        <v>1991</v>
      </c>
      <c r="B170" s="0" t="n">
        <v>1919</v>
      </c>
      <c r="C170" s="0" t="s">
        <v>1992</v>
      </c>
      <c r="H170" s="0" t="s">
        <v>1993</v>
      </c>
      <c r="I170" s="0" t="s">
        <v>1994</v>
      </c>
      <c r="J170" s="0" t="s">
        <v>1995</v>
      </c>
      <c r="K170" s="0" t="s">
        <v>1734</v>
      </c>
      <c r="L170" s="0" t="s">
        <v>1267</v>
      </c>
      <c r="M170" s="0" t="s">
        <v>1996</v>
      </c>
      <c r="Z170" s="0" t="n">
        <f aca="false">LEN(C170)+LEN(D170)+LEN(E170)+LEN(F170)+LEN(G170)+LEN(H170)+LEN(J170)+LEN(K170)+LEN(L170)+LEN(M170)</f>
        <v>87</v>
      </c>
    </row>
    <row r="171" customFormat="false" ht="15" hidden="false" customHeight="false" outlineLevel="0" collapsed="false">
      <c r="A171" s="0" t="s">
        <v>1997</v>
      </c>
      <c r="B171" s="0" t="n">
        <v>1919</v>
      </c>
      <c r="C171" s="0" t="s">
        <v>1998</v>
      </c>
      <c r="I171" s="0" t="s">
        <v>1999</v>
      </c>
      <c r="N171" s="0" t="s">
        <v>29</v>
      </c>
      <c r="Z171" s="0" t="n">
        <f aca="false">LEN(C171)+LEN(D171)+LEN(E171)+LEN(F171)+LEN(G171)+LEN(H171)+LEN(J171)+LEN(K171)+LEN(L171)+LEN(M171)</f>
        <v>91</v>
      </c>
    </row>
    <row r="172" customFormat="false" ht="15" hidden="false" customHeight="false" outlineLevel="0" collapsed="false">
      <c r="A172" s="0" t="s">
        <v>2000</v>
      </c>
      <c r="B172" s="0" t="n">
        <v>1919</v>
      </c>
      <c r="C172" s="0" t="s">
        <v>2001</v>
      </c>
      <c r="I172" s="0" t="s">
        <v>2002</v>
      </c>
      <c r="J172" s="0" t="s">
        <v>2003</v>
      </c>
      <c r="K172" s="0" t="s">
        <v>1734</v>
      </c>
      <c r="M172" s="0" t="s">
        <v>2004</v>
      </c>
      <c r="N172" s="0" t="s">
        <v>69</v>
      </c>
      <c r="U172" s="0" t="s">
        <v>29</v>
      </c>
      <c r="W172" s="0" t="s">
        <v>29</v>
      </c>
      <c r="Y172" s="0" t="n">
        <v>3</v>
      </c>
      <c r="Z172" s="0" t="n">
        <f aca="false">LEN(C172)+LEN(D172)+LEN(E172)+LEN(F172)+LEN(G172)+LEN(H172)+LEN(J172)+LEN(K172)+LEN(L172)+LEN(M172)</f>
        <v>71</v>
      </c>
    </row>
    <row r="173" customFormat="false" ht="15" hidden="false" customHeight="false" outlineLevel="0" collapsed="false">
      <c r="A173" s="0" t="s">
        <v>2005</v>
      </c>
      <c r="B173" s="0" t="n">
        <v>1919</v>
      </c>
      <c r="C173" s="0" t="s">
        <v>2006</v>
      </c>
      <c r="H173" s="0" t="s">
        <v>2007</v>
      </c>
      <c r="I173" s="0" t="s">
        <v>2008</v>
      </c>
      <c r="N173" s="0" t="s">
        <v>29</v>
      </c>
      <c r="O173" s="0" t="s">
        <v>29</v>
      </c>
      <c r="Q173" s="0" t="s">
        <v>29</v>
      </c>
      <c r="Z173" s="0" t="n">
        <f aca="false">LEN(C173)+LEN(D173)+LEN(E173)+LEN(F173)+LEN(G173)+LEN(H173)+LEN(J173)+LEN(K173)+LEN(L173)+LEN(M173)</f>
        <v>59</v>
      </c>
    </row>
    <row r="174" customFormat="false" ht="15" hidden="false" customHeight="false" outlineLevel="0" collapsed="false">
      <c r="A174" s="0" t="s">
        <v>2009</v>
      </c>
      <c r="B174" s="0" t="n">
        <v>1919</v>
      </c>
      <c r="C174" s="0" t="s">
        <v>2010</v>
      </c>
      <c r="I174" s="0" t="s">
        <v>2011</v>
      </c>
      <c r="J174" s="0" t="s">
        <v>2012</v>
      </c>
      <c r="K174" s="0" t="s">
        <v>394</v>
      </c>
      <c r="M174" s="0" t="s">
        <v>1595</v>
      </c>
      <c r="N174" s="0" t="s">
        <v>29</v>
      </c>
      <c r="U174" s="0" t="s">
        <v>29</v>
      </c>
      <c r="W174" s="0" t="s">
        <v>29</v>
      </c>
      <c r="Z174" s="0" t="n">
        <f aca="false">LEN(C174)+LEN(D174)+LEN(E174)+LEN(F174)+LEN(G174)+LEN(H174)+LEN(J174)+LEN(K174)+LEN(L174)+LEN(M174)</f>
        <v>65</v>
      </c>
    </row>
    <row r="175" customFormat="false" ht="15" hidden="false" customHeight="false" outlineLevel="0" collapsed="false">
      <c r="A175" s="0" t="s">
        <v>2013</v>
      </c>
      <c r="B175" s="0" t="n">
        <v>1919</v>
      </c>
      <c r="C175" s="0" t="s">
        <v>2014</v>
      </c>
      <c r="D175" s="0" t="n">
        <v>150000</v>
      </c>
      <c r="I175" s="0" t="s">
        <v>2015</v>
      </c>
      <c r="Z175" s="0" t="n">
        <f aca="false">LEN(C175)+LEN(D175)+LEN(E175)+LEN(F175)+LEN(G175)+LEN(H175)+LEN(J175)+LEN(K175)+LEN(L175)+LEN(M175)</f>
        <v>53</v>
      </c>
    </row>
    <row r="176" customFormat="false" ht="15" hidden="false" customHeight="false" outlineLevel="0" collapsed="false">
      <c r="A176" s="0" t="s">
        <v>2016</v>
      </c>
      <c r="B176" s="0" t="n">
        <v>1919</v>
      </c>
      <c r="C176" s="0" t="s">
        <v>2017</v>
      </c>
      <c r="I176" s="0" t="s">
        <v>2018</v>
      </c>
      <c r="J176" s="0" t="s">
        <v>2019</v>
      </c>
      <c r="K176" s="0" t="s">
        <v>2020</v>
      </c>
      <c r="M176" s="0" t="s">
        <v>1595</v>
      </c>
      <c r="Z176" s="0" t="n">
        <f aca="false">LEN(C176)+LEN(D176)+LEN(E176)+LEN(F176)+LEN(G176)+LEN(H176)+LEN(J176)+LEN(K176)+LEN(L176)+LEN(M176)</f>
        <v>57</v>
      </c>
    </row>
    <row r="177" customFormat="false" ht="15" hidden="false" customHeight="false" outlineLevel="0" collapsed="false">
      <c r="A177" s="0" t="s">
        <v>2021</v>
      </c>
      <c r="B177" s="0" t="n">
        <v>1919</v>
      </c>
      <c r="C177" s="0" t="s">
        <v>2022</v>
      </c>
      <c r="I177" s="0" t="s">
        <v>2022</v>
      </c>
      <c r="N177" s="0" t="s">
        <v>29</v>
      </c>
      <c r="Z177" s="0" t="n">
        <f aca="false">LEN(C177)+LEN(D177)+LEN(E177)+LEN(F177)+LEN(G177)+LEN(H177)+LEN(J177)+LEN(K177)+LEN(L177)+LEN(M177)</f>
        <v>67</v>
      </c>
    </row>
    <row r="178" customFormat="false" ht="15" hidden="false" customHeight="false" outlineLevel="0" collapsed="false">
      <c r="A178" s="0" t="s">
        <v>2023</v>
      </c>
      <c r="B178" s="0" t="n">
        <v>1919</v>
      </c>
      <c r="C178" s="0" t="s">
        <v>2024</v>
      </c>
      <c r="I178" s="0" t="s">
        <v>2025</v>
      </c>
      <c r="N178" s="0" t="s">
        <v>29</v>
      </c>
      <c r="Z178" s="0" t="n">
        <f aca="false">LEN(C178)+LEN(D178)+LEN(E178)+LEN(F178)+LEN(G178)+LEN(H178)+LEN(J178)+LEN(K178)+LEN(L178)+LEN(M178)</f>
        <v>42</v>
      </c>
    </row>
    <row r="179" customFormat="false" ht="15" hidden="false" customHeight="false" outlineLevel="0" collapsed="false">
      <c r="A179" s="0" t="s">
        <v>2026</v>
      </c>
      <c r="B179" s="0" t="n">
        <v>1919</v>
      </c>
      <c r="C179" s="0" t="s">
        <v>2027</v>
      </c>
      <c r="I179" s="0" t="s">
        <v>2027</v>
      </c>
      <c r="Z179" s="0" t="n">
        <f aca="false">LEN(C179)+LEN(D179)+LEN(E179)+LEN(F179)+LEN(G179)+LEN(H179)+LEN(J179)+LEN(K179)+LEN(L179)+LEN(M179)</f>
        <v>27</v>
      </c>
    </row>
    <row r="180" customFormat="false" ht="15" hidden="false" customHeight="false" outlineLevel="0" collapsed="false">
      <c r="A180" s="0" t="s">
        <v>2028</v>
      </c>
      <c r="B180" s="0" t="n">
        <v>1919</v>
      </c>
      <c r="C180" s="0" t="s">
        <v>2029</v>
      </c>
      <c r="I180" s="0" t="s">
        <v>2030</v>
      </c>
      <c r="J180" s="0" t="s">
        <v>2031</v>
      </c>
      <c r="K180" s="0" t="s">
        <v>2032</v>
      </c>
      <c r="L180" s="0" t="s">
        <v>385</v>
      </c>
      <c r="M180" s="0" t="s">
        <v>1883</v>
      </c>
      <c r="U180" s="0" t="s">
        <v>29</v>
      </c>
      <c r="V180" s="0" t="s">
        <v>29</v>
      </c>
      <c r="W180" s="0" t="s">
        <v>29</v>
      </c>
      <c r="Z180" s="0" t="n">
        <f aca="false">LEN(C180)+LEN(D180)+LEN(E180)+LEN(F180)+LEN(G180)+LEN(H180)+LEN(J180)+LEN(K180)+LEN(L180)+LEN(M180)</f>
        <v>54</v>
      </c>
    </row>
    <row r="181" customFormat="false" ht="15" hidden="false" customHeight="false" outlineLevel="0" collapsed="false">
      <c r="A181" s="0" t="s">
        <v>2033</v>
      </c>
      <c r="B181" s="0" t="n">
        <v>1919</v>
      </c>
      <c r="C181" s="0" t="s">
        <v>2034</v>
      </c>
      <c r="I181" s="0" t="s">
        <v>2034</v>
      </c>
      <c r="N181" s="0" t="s">
        <v>29</v>
      </c>
      <c r="Z181" s="0" t="n">
        <f aca="false">LEN(C181)+LEN(D181)+LEN(E181)+LEN(F181)+LEN(G181)+LEN(H181)+LEN(J181)+LEN(K181)+LEN(L181)+LEN(M181)</f>
        <v>62</v>
      </c>
    </row>
    <row r="182" customFormat="false" ht="15" hidden="false" customHeight="false" outlineLevel="0" collapsed="false">
      <c r="A182" s="0" t="s">
        <v>2035</v>
      </c>
      <c r="B182" s="0" t="n">
        <v>1919</v>
      </c>
      <c r="C182" s="0" t="s">
        <v>2036</v>
      </c>
      <c r="I182" s="0" t="s">
        <v>2037</v>
      </c>
      <c r="Z182" s="0" t="n">
        <f aca="false">LEN(C182)+LEN(D182)+LEN(E182)+LEN(F182)+LEN(G182)+LEN(H182)+LEN(J182)+LEN(K182)+LEN(L182)+LEN(M182)</f>
        <v>49</v>
      </c>
    </row>
    <row r="183" customFormat="false" ht="15" hidden="false" customHeight="false" outlineLevel="0" collapsed="false">
      <c r="A183" s="0" t="s">
        <v>2038</v>
      </c>
      <c r="B183" s="0" t="n">
        <v>1919</v>
      </c>
      <c r="C183" s="0" t="s">
        <v>2039</v>
      </c>
      <c r="H183" s="0" t="s">
        <v>2040</v>
      </c>
      <c r="I183" s="0" t="s">
        <v>2041</v>
      </c>
      <c r="P183" s="0" t="s">
        <v>29</v>
      </c>
      <c r="Z183" s="0" t="n">
        <f aca="false">LEN(C183)+LEN(D183)+LEN(E183)+LEN(F183)+LEN(G183)+LEN(H183)+LEN(J183)+LEN(K183)+LEN(L183)+LEN(M183)</f>
        <v>50</v>
      </c>
    </row>
    <row r="184" customFormat="false" ht="15" hidden="false" customHeight="false" outlineLevel="0" collapsed="false">
      <c r="A184" s="0" t="s">
        <v>2042</v>
      </c>
      <c r="B184" s="0" t="n">
        <v>1919</v>
      </c>
      <c r="C184" s="0" t="s">
        <v>2043</v>
      </c>
      <c r="H184" s="0" t="s">
        <v>2044</v>
      </c>
      <c r="I184" s="0" t="s">
        <v>2045</v>
      </c>
      <c r="O184" s="0" t="s">
        <v>29</v>
      </c>
      <c r="Z184" s="0" t="n">
        <f aca="false">LEN(C184)+LEN(D184)+LEN(E184)+LEN(F184)+LEN(G184)+LEN(H184)+LEN(J184)+LEN(K184)+LEN(L184)+LEN(M184)</f>
        <v>62</v>
      </c>
    </row>
    <row r="185" customFormat="false" ht="15" hidden="false" customHeight="false" outlineLevel="0" collapsed="false">
      <c r="A185" s="0" t="s">
        <v>2046</v>
      </c>
      <c r="B185" s="0" t="n">
        <v>1919</v>
      </c>
      <c r="C185" s="0" t="s">
        <v>2047</v>
      </c>
      <c r="I185" s="0" t="s">
        <v>2048</v>
      </c>
      <c r="J185" s="0" t="s">
        <v>2049</v>
      </c>
      <c r="K185" s="0" t="s">
        <v>212</v>
      </c>
      <c r="L185" s="0" t="s">
        <v>954</v>
      </c>
      <c r="M185" s="0" t="s">
        <v>1896</v>
      </c>
      <c r="W185" s="0" t="s">
        <v>29</v>
      </c>
      <c r="Z185" s="0" t="n">
        <f aca="false">LEN(C185)+LEN(D185)+LEN(E185)+LEN(F185)+LEN(G185)+LEN(H185)+LEN(J185)+LEN(K185)+LEN(L185)+LEN(M185)</f>
        <v>73</v>
      </c>
    </row>
    <row r="186" customFormat="false" ht="15" hidden="false" customHeight="false" outlineLevel="0" collapsed="false">
      <c r="A186" s="0" t="s">
        <v>2050</v>
      </c>
      <c r="B186" s="0" t="n">
        <v>1919</v>
      </c>
      <c r="C186" s="0" t="s">
        <v>2051</v>
      </c>
      <c r="I186" s="0" t="s">
        <v>2051</v>
      </c>
      <c r="Z186" s="0" t="n">
        <f aca="false">LEN(C186)+LEN(D186)+LEN(E186)+LEN(F186)+LEN(G186)+LEN(H186)+LEN(J186)+LEN(K186)+LEN(L186)+LEN(M186)</f>
        <v>50</v>
      </c>
    </row>
    <row r="187" customFormat="false" ht="15" hidden="false" customHeight="false" outlineLevel="0" collapsed="false">
      <c r="A187" s="0" t="s">
        <v>2052</v>
      </c>
      <c r="B187" s="0" t="n">
        <v>1919</v>
      </c>
      <c r="C187" s="0" t="s">
        <v>2053</v>
      </c>
      <c r="H187" s="0" t="s">
        <v>2054</v>
      </c>
      <c r="I187" s="0" t="s">
        <v>2053</v>
      </c>
      <c r="Z187" s="0" t="n">
        <f aca="false">LEN(C187)+LEN(D187)+LEN(E187)+LEN(F187)+LEN(G187)+LEN(H187)+LEN(J187)+LEN(K187)+LEN(L187)+LEN(M187)</f>
        <v>55</v>
      </c>
    </row>
    <row r="188" customFormat="false" ht="15" hidden="false" customHeight="false" outlineLevel="0" collapsed="false">
      <c r="A188" s="0" t="s">
        <v>2055</v>
      </c>
      <c r="B188" s="0" t="n">
        <v>1919</v>
      </c>
      <c r="C188" s="0" t="s">
        <v>2056</v>
      </c>
      <c r="I188" s="0" t="s">
        <v>2057</v>
      </c>
      <c r="Z188" s="0" t="n">
        <f aca="false">LEN(C188)+LEN(D188)+LEN(E188)+LEN(F188)+LEN(G188)+LEN(H188)+LEN(J188)+LEN(K188)+LEN(L188)+LEN(M188)</f>
        <v>45</v>
      </c>
    </row>
    <row r="189" customFormat="false" ht="15" hidden="false" customHeight="false" outlineLevel="0" collapsed="false">
      <c r="A189" s="0" t="s">
        <v>2058</v>
      </c>
      <c r="B189" s="0" t="n">
        <v>1919</v>
      </c>
      <c r="C189" s="0" t="s">
        <v>2059</v>
      </c>
      <c r="I189" s="0" t="s">
        <v>2060</v>
      </c>
      <c r="Z189" s="0" t="n">
        <f aca="false">LEN(C189)+LEN(D189)+LEN(E189)+LEN(F189)+LEN(G189)+LEN(H189)+LEN(J189)+LEN(K189)+LEN(L189)+LEN(M189)</f>
        <v>54</v>
      </c>
    </row>
    <row r="190" customFormat="false" ht="15" hidden="false" customHeight="false" outlineLevel="0" collapsed="false">
      <c r="A190" s="0" t="s">
        <v>2061</v>
      </c>
      <c r="B190" s="0" t="n">
        <v>1919</v>
      </c>
      <c r="C190" s="0" t="s">
        <v>2062</v>
      </c>
      <c r="E190" s="0" t="s">
        <v>2063</v>
      </c>
      <c r="H190" s="0" t="s">
        <v>2064</v>
      </c>
      <c r="I190" s="0" t="s">
        <v>2065</v>
      </c>
      <c r="Z190" s="0" t="n">
        <f aca="false">LEN(C190)+LEN(D190)+LEN(E190)+LEN(F190)+LEN(G190)+LEN(H190)+LEN(J190)+LEN(K190)+LEN(L190)+LEN(M190)</f>
        <v>81</v>
      </c>
    </row>
    <row r="191" customFormat="false" ht="15" hidden="false" customHeight="false" outlineLevel="0" collapsed="false">
      <c r="A191" s="0" t="s">
        <v>2066</v>
      </c>
      <c r="B191" s="0" t="n">
        <v>1919</v>
      </c>
      <c r="C191" s="0" t="s">
        <v>2067</v>
      </c>
      <c r="I191" s="0" t="s">
        <v>2068</v>
      </c>
      <c r="Z191" s="0" t="n">
        <f aca="false">LEN(C191)+LEN(D191)+LEN(E191)+LEN(F191)+LEN(G191)+LEN(H191)+LEN(J191)+LEN(K191)+LEN(L191)+LEN(M191)</f>
        <v>47</v>
      </c>
    </row>
    <row r="192" customFormat="false" ht="15" hidden="false" customHeight="false" outlineLevel="0" collapsed="false">
      <c r="A192" s="0" t="s">
        <v>2069</v>
      </c>
      <c r="B192" s="0" t="n">
        <v>1919</v>
      </c>
      <c r="C192" s="0" t="s">
        <v>2070</v>
      </c>
      <c r="I192" s="0" t="s">
        <v>2071</v>
      </c>
      <c r="J192" s="0" t="s">
        <v>2072</v>
      </c>
      <c r="K192" s="0" t="s">
        <v>385</v>
      </c>
      <c r="L192" s="0" t="s">
        <v>881</v>
      </c>
      <c r="M192" s="0" t="s">
        <v>1408</v>
      </c>
      <c r="U192" s="0" t="s">
        <v>29</v>
      </c>
      <c r="Z192" s="0" t="n">
        <f aca="false">LEN(C192)+LEN(D192)+LEN(E192)+LEN(F192)+LEN(G192)+LEN(H192)+LEN(J192)+LEN(K192)+LEN(L192)+LEN(M192)</f>
        <v>53</v>
      </c>
    </row>
    <row r="193" customFormat="false" ht="15" hidden="false" customHeight="false" outlineLevel="0" collapsed="false">
      <c r="A193" s="0" t="s">
        <v>2073</v>
      </c>
      <c r="B193" s="0" t="n">
        <v>1919</v>
      </c>
      <c r="C193" s="0" t="s">
        <v>2074</v>
      </c>
      <c r="I193" s="0" t="s">
        <v>2074</v>
      </c>
      <c r="Z193" s="0" t="n">
        <f aca="false">LEN(C193)+LEN(D193)+LEN(E193)+LEN(F193)+LEN(G193)+LEN(H193)+LEN(J193)+LEN(K193)+LEN(L193)+LEN(M193)</f>
        <v>46</v>
      </c>
    </row>
    <row r="194" customFormat="false" ht="15" hidden="false" customHeight="false" outlineLevel="0" collapsed="false">
      <c r="A194" s="0" t="s">
        <v>2075</v>
      </c>
      <c r="B194" s="0" t="n">
        <v>1919</v>
      </c>
      <c r="C194" s="0" t="s">
        <v>2076</v>
      </c>
      <c r="I194" s="0" t="s">
        <v>2077</v>
      </c>
      <c r="J194" s="0" t="s">
        <v>2078</v>
      </c>
      <c r="K194" s="0" t="s">
        <v>24</v>
      </c>
      <c r="L194" s="0" t="s">
        <v>1635</v>
      </c>
      <c r="M194" s="0" t="s">
        <v>1683</v>
      </c>
      <c r="U194" s="0" t="s">
        <v>29</v>
      </c>
      <c r="Z194" s="0" t="n">
        <f aca="false">LEN(C194)+LEN(D194)+LEN(E194)+LEN(F194)+LEN(G194)+LEN(H194)+LEN(J194)+LEN(K194)+LEN(L194)+LEN(M194)</f>
        <v>76</v>
      </c>
    </row>
    <row r="195" customFormat="false" ht="15" hidden="false" customHeight="false" outlineLevel="0" collapsed="false">
      <c r="A195" s="0" t="s">
        <v>2079</v>
      </c>
      <c r="B195" s="0" t="n">
        <v>1919</v>
      </c>
      <c r="C195" s="0" t="s">
        <v>2080</v>
      </c>
      <c r="D195" s="7" t="n">
        <v>8000000</v>
      </c>
      <c r="G195" s="0" t="s">
        <v>2081</v>
      </c>
      <c r="I195" s="0" t="s">
        <v>2082</v>
      </c>
      <c r="Z195" s="0" t="n">
        <f aca="false">LEN(C195)+LEN(D195)+LEN(E195)+LEN(F195)+LEN(G195)+LEN(H195)+LEN(J195)+LEN(K195)+LEN(L195)+LEN(M195)</f>
        <v>40</v>
      </c>
    </row>
    <row r="196" customFormat="false" ht="15" hidden="false" customHeight="false" outlineLevel="0" collapsed="false">
      <c r="A196" s="0" t="s">
        <v>2083</v>
      </c>
      <c r="B196" s="0" t="n">
        <v>1919</v>
      </c>
      <c r="C196" s="0" t="s">
        <v>2084</v>
      </c>
      <c r="I196" s="0" t="s">
        <v>2084</v>
      </c>
      <c r="Z196" s="0" t="n">
        <f aca="false">LEN(C196)+LEN(D196)+LEN(E196)+LEN(F196)+LEN(G196)+LEN(H196)+LEN(J196)+LEN(K196)+LEN(L196)+LEN(M196)</f>
        <v>40</v>
      </c>
    </row>
    <row r="197" customFormat="false" ht="15" hidden="false" customHeight="false" outlineLevel="0" collapsed="false">
      <c r="A197" s="0" t="s">
        <v>2085</v>
      </c>
      <c r="B197" s="0" t="n">
        <v>1919</v>
      </c>
      <c r="C197" s="0" t="s">
        <v>2086</v>
      </c>
      <c r="I197" s="0" t="s">
        <v>2087</v>
      </c>
      <c r="N197" s="0" t="s">
        <v>29</v>
      </c>
      <c r="Z197" s="0" t="n">
        <f aca="false">LEN(C197)+LEN(D197)+LEN(E197)+LEN(F197)+LEN(G197)+LEN(H197)+LEN(J197)+LEN(K197)+LEN(L197)+LEN(M197)</f>
        <v>52</v>
      </c>
    </row>
    <row r="198" customFormat="false" ht="15" hidden="false" customHeight="false" outlineLevel="0" collapsed="false">
      <c r="A198" s="0" t="s">
        <v>2088</v>
      </c>
      <c r="B198" s="0" t="n">
        <v>1919</v>
      </c>
      <c r="C198" s="0" t="s">
        <v>2089</v>
      </c>
      <c r="I198" s="0" t="s">
        <v>2089</v>
      </c>
      <c r="Z198" s="0" t="n">
        <f aca="false">LEN(C198)+LEN(D198)+LEN(E198)+LEN(F198)+LEN(G198)+LEN(H198)+LEN(J198)+LEN(K198)+LEN(L198)+LEN(M198)</f>
        <v>36</v>
      </c>
    </row>
    <row r="199" customFormat="false" ht="15" hidden="false" customHeight="false" outlineLevel="0" collapsed="false">
      <c r="A199" s="0" t="s">
        <v>2090</v>
      </c>
      <c r="B199" s="0" t="n">
        <v>1919</v>
      </c>
      <c r="C199" s="0" t="s">
        <v>2091</v>
      </c>
      <c r="I199" s="0" t="s">
        <v>2091</v>
      </c>
      <c r="Z199" s="0" t="n">
        <f aca="false">LEN(C199)+LEN(D199)+LEN(E199)+LEN(F199)+LEN(G199)+LEN(H199)+LEN(J199)+LEN(K199)+LEN(L199)+LEN(M199)</f>
        <v>31</v>
      </c>
    </row>
    <row r="200" customFormat="false" ht="15" hidden="false" customHeight="false" outlineLevel="0" collapsed="false">
      <c r="A200" s="0" t="s">
        <v>2092</v>
      </c>
      <c r="B200" s="0" t="n">
        <v>1919</v>
      </c>
      <c r="C200" s="0" t="s">
        <v>2093</v>
      </c>
      <c r="H200" s="0" t="s">
        <v>1988</v>
      </c>
      <c r="I200" s="0" t="s">
        <v>2094</v>
      </c>
      <c r="O200" s="0" t="s">
        <v>29</v>
      </c>
      <c r="Z200" s="0" t="n">
        <f aca="false">LEN(C200)+LEN(D200)+LEN(E200)+LEN(F200)+LEN(G200)+LEN(H200)+LEN(J200)+LEN(K200)+LEN(L200)+LEN(M200)</f>
        <v>51</v>
      </c>
    </row>
    <row r="201" customFormat="false" ht="15" hidden="false" customHeight="false" outlineLevel="0" collapsed="false">
      <c r="A201" s="0" t="s">
        <v>2095</v>
      </c>
      <c r="B201" s="0" t="n">
        <v>1919</v>
      </c>
      <c r="C201" s="0" t="s">
        <v>2096</v>
      </c>
      <c r="H201" s="0" t="s">
        <v>2097</v>
      </c>
      <c r="I201" s="0" t="s">
        <v>2098</v>
      </c>
      <c r="S201" s="0" t="s">
        <v>29</v>
      </c>
      <c r="Z201" s="0" t="n">
        <f aca="false">LEN(C201)+LEN(D201)+LEN(E201)+LEN(F201)+LEN(G201)+LEN(H201)+LEN(J201)+LEN(K201)+LEN(L201)+LEN(M201)</f>
        <v>54</v>
      </c>
    </row>
    <row r="202" customFormat="false" ht="15" hidden="false" customHeight="false" outlineLevel="0" collapsed="false">
      <c r="A202" s="0" t="s">
        <v>2099</v>
      </c>
      <c r="B202" s="0" t="n">
        <v>1919</v>
      </c>
      <c r="C202" s="0" t="s">
        <v>2100</v>
      </c>
      <c r="H202" s="0" t="s">
        <v>1980</v>
      </c>
      <c r="I202" s="0" t="s">
        <v>2101</v>
      </c>
      <c r="J202" s="0" t="s">
        <v>2102</v>
      </c>
      <c r="K202" s="0" t="s">
        <v>2103</v>
      </c>
      <c r="M202" s="0" t="s">
        <v>2104</v>
      </c>
      <c r="N202" s="0" t="s">
        <v>69</v>
      </c>
      <c r="Y202" s="0" t="n">
        <v>1</v>
      </c>
      <c r="Z202" s="0" t="n">
        <f aca="false">LEN(C202)+LEN(D202)+LEN(E202)+LEN(F202)+LEN(G202)+LEN(H202)+LEN(J202)+LEN(K202)+LEN(L202)+LEN(M202)</f>
        <v>72</v>
      </c>
    </row>
    <row r="203" customFormat="false" ht="15" hidden="false" customHeight="false" outlineLevel="0" collapsed="false">
      <c r="A203" s="0" t="s">
        <v>2105</v>
      </c>
      <c r="B203" s="0" t="n">
        <v>1919</v>
      </c>
      <c r="C203" s="0" t="s">
        <v>2106</v>
      </c>
      <c r="I203" s="0" t="s">
        <v>2107</v>
      </c>
      <c r="J203" s="0" t="s">
        <v>2108</v>
      </c>
      <c r="K203" s="0" t="s">
        <v>323</v>
      </c>
      <c r="M203" s="0" t="s">
        <v>1683</v>
      </c>
      <c r="N203" s="0" t="s">
        <v>29</v>
      </c>
      <c r="Z203" s="0" t="n">
        <f aca="false">LEN(C203)+LEN(D203)+LEN(E203)+LEN(F203)+LEN(G203)+LEN(H203)+LEN(J203)+LEN(K203)+LEN(L203)+LEN(M203)</f>
        <v>79</v>
      </c>
    </row>
    <row r="204" customFormat="false" ht="15" hidden="false" customHeight="false" outlineLevel="0" collapsed="false">
      <c r="A204" s="0" t="s">
        <v>2109</v>
      </c>
      <c r="B204" s="0" t="n">
        <v>1919</v>
      </c>
      <c r="C204" s="0" t="s">
        <v>2110</v>
      </c>
      <c r="I204" s="0" t="s">
        <v>2111</v>
      </c>
      <c r="Z204" s="0" t="n">
        <f aca="false">LEN(C204)+LEN(D204)+LEN(E204)+LEN(F204)+LEN(G204)+LEN(H204)+LEN(J204)+LEN(K204)+LEN(L204)+LEN(M204)</f>
        <v>45</v>
      </c>
    </row>
    <row r="205" customFormat="false" ht="15" hidden="false" customHeight="false" outlineLevel="0" collapsed="false">
      <c r="A205" s="0" t="s">
        <v>2112</v>
      </c>
      <c r="B205" s="0" t="n">
        <v>1919</v>
      </c>
      <c r="C205" s="0" t="s">
        <v>2113</v>
      </c>
      <c r="H205" s="0" t="s">
        <v>2114</v>
      </c>
      <c r="I205" s="0" t="s">
        <v>2115</v>
      </c>
      <c r="N205" s="0" t="s">
        <v>29</v>
      </c>
      <c r="O205" s="0" t="s">
        <v>29</v>
      </c>
      <c r="Z205" s="0" t="n">
        <f aca="false">LEN(C205)+LEN(D205)+LEN(E205)+LEN(F205)+LEN(G205)+LEN(H205)+LEN(J205)+LEN(K205)+LEN(L205)+LEN(M205)</f>
        <v>112</v>
      </c>
    </row>
    <row r="206" customFormat="false" ht="15" hidden="false" customHeight="false" outlineLevel="0" collapsed="false">
      <c r="A206" s="0" t="s">
        <v>2116</v>
      </c>
      <c r="B206" s="0" t="n">
        <v>1919</v>
      </c>
      <c r="C206" s="0" t="s">
        <v>2117</v>
      </c>
      <c r="H206" s="0" t="s">
        <v>2118</v>
      </c>
      <c r="I206" s="0" t="s">
        <v>2119</v>
      </c>
      <c r="J206" s="0" t="s">
        <v>2120</v>
      </c>
      <c r="K206" s="0" t="s">
        <v>2121</v>
      </c>
      <c r="L206" s="0" t="s">
        <v>2122</v>
      </c>
      <c r="M206" s="0" t="s">
        <v>1683</v>
      </c>
      <c r="N206" s="0" t="s">
        <v>29</v>
      </c>
      <c r="S206" s="0" t="s">
        <v>29</v>
      </c>
      <c r="U206" s="0" t="s">
        <v>29</v>
      </c>
      <c r="W206" s="0" t="s">
        <v>29</v>
      </c>
      <c r="Z206" s="0" t="n">
        <f aca="false">LEN(C206)+LEN(D206)+LEN(E206)+LEN(F206)+LEN(G206)+LEN(H206)+LEN(J206)+LEN(K206)+LEN(L206)+LEN(M206)</f>
        <v>83</v>
      </c>
    </row>
    <row r="207" customFormat="false" ht="15" hidden="false" customHeight="false" outlineLevel="0" collapsed="false">
      <c r="A207" s="0" t="s">
        <v>2123</v>
      </c>
      <c r="B207" s="0" t="n">
        <v>1919</v>
      </c>
      <c r="C207" s="0" t="s">
        <v>2124</v>
      </c>
      <c r="H207" s="0" t="s">
        <v>1763</v>
      </c>
      <c r="I207" s="0" t="s">
        <v>2125</v>
      </c>
      <c r="Z207" s="0" t="n">
        <f aca="false">LEN(C207)+LEN(D207)+LEN(E207)+LEN(F207)+LEN(G207)+LEN(H207)+LEN(J207)+LEN(K207)+LEN(L207)+LEN(M207)</f>
        <v>36</v>
      </c>
    </row>
    <row r="208" customFormat="false" ht="15" hidden="false" customHeight="false" outlineLevel="0" collapsed="false">
      <c r="A208" s="0" t="s">
        <v>2126</v>
      </c>
      <c r="B208" s="0" t="n">
        <v>1919</v>
      </c>
      <c r="C208" s="0" t="s">
        <v>2127</v>
      </c>
      <c r="H208" s="0" t="s">
        <v>2128</v>
      </c>
      <c r="I208" s="0" t="s">
        <v>2127</v>
      </c>
      <c r="N208" s="0" t="s">
        <v>29</v>
      </c>
      <c r="S208" s="0" t="s">
        <v>29</v>
      </c>
      <c r="Z208" s="0" t="n">
        <f aca="false">LEN(C208)+LEN(D208)+LEN(E208)+LEN(F208)+LEN(G208)+LEN(H208)+LEN(J208)+LEN(K208)+LEN(L208)+LEN(M208)</f>
        <v>61</v>
      </c>
    </row>
    <row r="209" customFormat="false" ht="15" hidden="false" customHeight="false" outlineLevel="0" collapsed="false">
      <c r="A209" s="0" t="s">
        <v>2129</v>
      </c>
      <c r="B209" s="0" t="n">
        <v>1919</v>
      </c>
      <c r="C209" s="0" t="s">
        <v>2130</v>
      </c>
      <c r="H209" s="0" t="s">
        <v>2131</v>
      </c>
      <c r="I209" s="0" t="s">
        <v>2130</v>
      </c>
      <c r="Z209" s="0" t="n">
        <f aca="false">LEN(C209)+LEN(D209)+LEN(E209)+LEN(F209)+LEN(G209)+LEN(H209)+LEN(J209)+LEN(K209)+LEN(L209)+LEN(M209)</f>
        <v>48</v>
      </c>
    </row>
    <row r="210" customFormat="false" ht="15" hidden="false" customHeight="false" outlineLevel="0" collapsed="false">
      <c r="A210" s="0" t="s">
        <v>2132</v>
      </c>
      <c r="B210" s="0" t="n">
        <v>1919</v>
      </c>
      <c r="C210" s="0" t="s">
        <v>2133</v>
      </c>
      <c r="I210" s="0" t="s">
        <v>2133</v>
      </c>
      <c r="Z210" s="0" t="n">
        <f aca="false">LEN(C210)+LEN(D210)+LEN(E210)+LEN(F210)+LEN(G210)+LEN(H210)+LEN(J210)+LEN(K210)+LEN(L210)+LEN(M210)</f>
        <v>41</v>
      </c>
    </row>
    <row r="211" customFormat="false" ht="15" hidden="false" customHeight="false" outlineLevel="0" collapsed="false">
      <c r="A211" s="0" t="s">
        <v>2134</v>
      </c>
      <c r="B211" s="0" t="n">
        <v>1919</v>
      </c>
      <c r="C211" s="0" t="s">
        <v>2135</v>
      </c>
      <c r="H211" s="0" t="s">
        <v>1980</v>
      </c>
      <c r="I211" s="0" t="s">
        <v>2136</v>
      </c>
      <c r="J211" s="0" t="s">
        <v>2137</v>
      </c>
      <c r="K211" s="0" t="s">
        <v>2138</v>
      </c>
      <c r="M211" s="0" t="s">
        <v>2139</v>
      </c>
      <c r="N211" s="0" t="s">
        <v>69</v>
      </c>
      <c r="U211" s="0" t="s">
        <v>29</v>
      </c>
      <c r="Y211" s="0" t="n">
        <v>17</v>
      </c>
      <c r="Z211" s="0" t="n">
        <f aca="false">LEN(C211)+LEN(D211)+LEN(E211)+LEN(F211)+LEN(G211)+LEN(H211)+LEN(J211)+LEN(K211)+LEN(L211)+LEN(M211)</f>
        <v>102</v>
      </c>
    </row>
    <row r="212" customFormat="false" ht="15" hidden="false" customHeight="false" outlineLevel="0" collapsed="false">
      <c r="A212" s="0" t="s">
        <v>2140</v>
      </c>
      <c r="B212" s="0" t="n">
        <v>1919</v>
      </c>
      <c r="C212" s="0" t="s">
        <v>2141</v>
      </c>
      <c r="H212" s="0" t="s">
        <v>2142</v>
      </c>
      <c r="I212" s="0" t="s">
        <v>2141</v>
      </c>
      <c r="N212" s="0" t="s">
        <v>29</v>
      </c>
      <c r="Z212" s="0" t="n">
        <f aca="false">LEN(C212)+LEN(D212)+LEN(E212)+LEN(F212)+LEN(G212)+LEN(H212)+LEN(J212)+LEN(K212)+LEN(L212)+LEN(M212)</f>
        <v>68</v>
      </c>
    </row>
    <row r="213" customFormat="false" ht="15" hidden="false" customHeight="false" outlineLevel="0" collapsed="false">
      <c r="A213" s="0" t="s">
        <v>2143</v>
      </c>
      <c r="B213" s="0" t="n">
        <v>1920</v>
      </c>
      <c r="C213" s="0" t="s">
        <v>2144</v>
      </c>
      <c r="I213" s="0" t="s">
        <v>2144</v>
      </c>
      <c r="Z213" s="0" t="n">
        <f aca="false">LEN(C213)+LEN(D213)+LEN(E213)+LEN(F213)+LEN(G213)+LEN(H213)+LEN(J213)+LEN(K213)+LEN(L213)+LEN(M213)</f>
        <v>26</v>
      </c>
    </row>
    <row r="214" customFormat="false" ht="15" hidden="false" customHeight="false" outlineLevel="0" collapsed="false">
      <c r="A214" s="0" t="s">
        <v>2145</v>
      </c>
      <c r="B214" s="0" t="n">
        <v>1920</v>
      </c>
      <c r="C214" s="0" t="s">
        <v>2146</v>
      </c>
      <c r="H214" s="0" t="s">
        <v>2147</v>
      </c>
      <c r="I214" s="0" t="s">
        <v>2148</v>
      </c>
      <c r="S214" s="0" t="s">
        <v>29</v>
      </c>
      <c r="Z214" s="0" t="n">
        <f aca="false">LEN(C214)+LEN(D214)+LEN(E214)+LEN(F214)+LEN(G214)+LEN(H214)+LEN(J214)+LEN(K214)+LEN(L214)+LEN(M214)</f>
        <v>42</v>
      </c>
    </row>
    <row r="215" customFormat="false" ht="15" hidden="false" customHeight="false" outlineLevel="0" collapsed="false">
      <c r="A215" s="0" t="s">
        <v>2149</v>
      </c>
      <c r="B215" s="0" t="n">
        <v>1920</v>
      </c>
      <c r="C215" s="0" t="s">
        <v>2150</v>
      </c>
      <c r="I215" s="0" t="s">
        <v>2151</v>
      </c>
      <c r="Z215" s="0" t="n">
        <f aca="false">LEN(C215)+LEN(D215)+LEN(E215)+LEN(F215)+LEN(G215)+LEN(H215)+LEN(J215)+LEN(K215)+LEN(L215)+LEN(M215)</f>
        <v>30</v>
      </c>
    </row>
    <row r="216" customFormat="false" ht="15" hidden="false" customHeight="false" outlineLevel="0" collapsed="false">
      <c r="A216" s="0" t="s">
        <v>2152</v>
      </c>
      <c r="B216" s="0" t="n">
        <v>1920</v>
      </c>
      <c r="C216" s="0" t="s">
        <v>2153</v>
      </c>
      <c r="H216" s="0" t="s">
        <v>2154</v>
      </c>
      <c r="I216" s="0" t="s">
        <v>2153</v>
      </c>
      <c r="N216" s="0" t="s">
        <v>29</v>
      </c>
      <c r="S216" s="0" t="s">
        <v>29</v>
      </c>
      <c r="Z216" s="0" t="n">
        <f aca="false">LEN(C216)+LEN(D216)+LEN(E216)+LEN(F216)+LEN(G216)+LEN(H216)+LEN(J216)+LEN(K216)+LEN(L216)+LEN(M216)</f>
        <v>61</v>
      </c>
    </row>
    <row r="217" customFormat="false" ht="15" hidden="false" customHeight="false" outlineLevel="0" collapsed="false">
      <c r="A217" s="0" t="s">
        <v>2155</v>
      </c>
      <c r="B217" s="0" t="n">
        <v>1920</v>
      </c>
      <c r="C217" s="0" t="s">
        <v>2156</v>
      </c>
      <c r="H217" s="0" t="s">
        <v>1763</v>
      </c>
      <c r="I217" s="0" t="s">
        <v>2157</v>
      </c>
      <c r="J217" s="0" t="s">
        <v>2158</v>
      </c>
      <c r="K217" s="0" t="s">
        <v>394</v>
      </c>
      <c r="L217" s="0" t="s">
        <v>880</v>
      </c>
      <c r="M217" s="0" t="s">
        <v>2159</v>
      </c>
      <c r="N217" s="0" t="s">
        <v>69</v>
      </c>
      <c r="U217" s="0" t="s">
        <v>29</v>
      </c>
      <c r="Y217" s="0" t="n">
        <v>1</v>
      </c>
      <c r="Z217" s="0" t="n">
        <f aca="false">LEN(C217)+LEN(D217)+LEN(E217)+LEN(F217)+LEN(G217)+LEN(H217)+LEN(J217)+LEN(K217)+LEN(L217)+LEN(M217)</f>
        <v>76</v>
      </c>
    </row>
    <row r="218" customFormat="false" ht="15" hidden="false" customHeight="false" outlineLevel="0" collapsed="false">
      <c r="A218" s="0" t="s">
        <v>2160</v>
      </c>
      <c r="B218" s="0" t="n">
        <v>1920</v>
      </c>
      <c r="C218" s="0" t="s">
        <v>2161</v>
      </c>
      <c r="H218" s="0" t="s">
        <v>1404</v>
      </c>
      <c r="I218" s="0" t="s">
        <v>2162</v>
      </c>
      <c r="P218" s="0" t="s">
        <v>29</v>
      </c>
      <c r="Z218" s="0" t="n">
        <f aca="false">LEN(C218)+LEN(D218)+LEN(E218)+LEN(F218)+LEN(G218)+LEN(H218)+LEN(J218)+LEN(K218)+LEN(L218)+LEN(M218)</f>
        <v>48</v>
      </c>
    </row>
    <row r="219" customFormat="false" ht="15" hidden="false" customHeight="false" outlineLevel="0" collapsed="false">
      <c r="A219" s="0" t="s">
        <v>2163</v>
      </c>
      <c r="B219" s="0" t="n">
        <v>1920</v>
      </c>
      <c r="C219" s="0" t="s">
        <v>2164</v>
      </c>
      <c r="I219" s="0" t="s">
        <v>2165</v>
      </c>
      <c r="J219" s="0" t="s">
        <v>2166</v>
      </c>
      <c r="K219" s="0" t="s">
        <v>324</v>
      </c>
      <c r="M219" s="0" t="s">
        <v>1408</v>
      </c>
      <c r="U219" s="0" t="s">
        <v>29</v>
      </c>
      <c r="X219" s="0" t="s">
        <v>29</v>
      </c>
      <c r="Z219" s="0" t="n">
        <f aca="false">LEN(C219)+LEN(D219)+LEN(E219)+LEN(F219)+LEN(G219)+LEN(H219)+LEN(J219)+LEN(K219)+LEN(L219)+LEN(M219)</f>
        <v>52</v>
      </c>
    </row>
    <row r="220" customFormat="false" ht="15" hidden="false" customHeight="false" outlineLevel="0" collapsed="false">
      <c r="A220" s="0" t="s">
        <v>2167</v>
      </c>
      <c r="B220" s="0" t="n">
        <v>1920</v>
      </c>
      <c r="C220" s="0" t="s">
        <v>2168</v>
      </c>
      <c r="H220" s="0" t="s">
        <v>1556</v>
      </c>
      <c r="I220" s="0" t="s">
        <v>2169</v>
      </c>
      <c r="J220" s="0" t="s">
        <v>2170</v>
      </c>
      <c r="K220" s="0" t="s">
        <v>212</v>
      </c>
      <c r="M220" s="0" t="s">
        <v>1683</v>
      </c>
      <c r="U220" s="0" t="s">
        <v>29</v>
      </c>
      <c r="W220" s="0" t="s">
        <v>29</v>
      </c>
      <c r="Z220" s="0" t="n">
        <f aca="false">LEN(C220)+LEN(D220)+LEN(E220)+LEN(F220)+LEN(G220)+LEN(H220)+LEN(J220)+LEN(K220)+LEN(L220)+LEN(M220)</f>
        <v>67</v>
      </c>
    </row>
    <row r="221" customFormat="false" ht="15" hidden="false" customHeight="false" outlineLevel="0" collapsed="false">
      <c r="A221" s="0" t="s">
        <v>2171</v>
      </c>
      <c r="B221" s="0" t="n">
        <v>1920</v>
      </c>
      <c r="C221" s="0" t="s">
        <v>2172</v>
      </c>
      <c r="H221" s="0" t="s">
        <v>1813</v>
      </c>
      <c r="I221" s="0" t="s">
        <v>2173</v>
      </c>
      <c r="J221" s="0" t="s">
        <v>2174</v>
      </c>
      <c r="K221" s="0" t="s">
        <v>385</v>
      </c>
      <c r="L221" s="0" t="s">
        <v>29</v>
      </c>
      <c r="M221" s="0" t="s">
        <v>1802</v>
      </c>
      <c r="U221" s="0" t="s">
        <v>29</v>
      </c>
      <c r="Z221" s="0" t="n">
        <f aca="false">LEN(C221)+LEN(D221)+LEN(E221)+LEN(F221)+LEN(G221)+LEN(H221)+LEN(J221)+LEN(K221)+LEN(L221)+LEN(M221)</f>
        <v>72</v>
      </c>
    </row>
    <row r="222" customFormat="false" ht="15" hidden="false" customHeight="false" outlineLevel="0" collapsed="false">
      <c r="A222" s="0" t="s">
        <v>2175</v>
      </c>
      <c r="B222" s="0" t="n">
        <v>1920</v>
      </c>
      <c r="C222" s="0" t="s">
        <v>2176</v>
      </c>
      <c r="D222" s="7" t="n">
        <v>3000000</v>
      </c>
      <c r="G222" s="0" t="s">
        <v>2177</v>
      </c>
      <c r="H222" s="0" t="s">
        <v>1556</v>
      </c>
      <c r="I222" s="0" t="s">
        <v>2178</v>
      </c>
      <c r="Z222" s="0" t="n">
        <f aca="false">LEN(C222)+LEN(D222)+LEN(E222)+LEN(F222)+LEN(G222)+LEN(H222)+LEN(J222)+LEN(K222)+LEN(L222)+LEN(M222)</f>
        <v>68</v>
      </c>
    </row>
    <row r="223" customFormat="false" ht="15" hidden="false" customHeight="false" outlineLevel="0" collapsed="false">
      <c r="A223" s="0" t="s">
        <v>2179</v>
      </c>
      <c r="B223" s="0" t="n">
        <v>1920</v>
      </c>
      <c r="C223" s="0" t="s">
        <v>2180</v>
      </c>
      <c r="H223" s="0" t="s">
        <v>1404</v>
      </c>
      <c r="I223" s="0" t="s">
        <v>2181</v>
      </c>
      <c r="J223" s="0" t="s">
        <v>2182</v>
      </c>
      <c r="K223" s="0" t="s">
        <v>1391</v>
      </c>
      <c r="M223" s="0" t="s">
        <v>1408</v>
      </c>
      <c r="U223" s="0" t="s">
        <v>29</v>
      </c>
      <c r="W223" s="0" t="s">
        <v>29</v>
      </c>
      <c r="Z223" s="0" t="n">
        <f aca="false">LEN(C223)+LEN(D223)+LEN(E223)+LEN(F223)+LEN(G223)+LEN(H223)+LEN(J223)+LEN(K223)+LEN(L223)+LEN(M223)</f>
        <v>55</v>
      </c>
    </row>
    <row r="224" customFormat="false" ht="15" hidden="false" customHeight="false" outlineLevel="0" collapsed="false">
      <c r="A224" s="0" t="s">
        <v>2183</v>
      </c>
      <c r="B224" s="0" t="n">
        <v>1920</v>
      </c>
      <c r="C224" s="0" t="s">
        <v>2184</v>
      </c>
      <c r="H224" s="0" t="s">
        <v>2185</v>
      </c>
      <c r="I224" s="0" t="s">
        <v>2184</v>
      </c>
      <c r="Z224" s="0" t="n">
        <f aca="false">LEN(C224)+LEN(D224)+LEN(E224)+LEN(F224)+LEN(G224)+LEN(H224)+LEN(J224)+LEN(K224)+LEN(L224)+LEN(M224)</f>
        <v>57</v>
      </c>
    </row>
    <row r="225" customFormat="false" ht="15" hidden="false" customHeight="false" outlineLevel="0" collapsed="false">
      <c r="A225" s="0" t="s">
        <v>2186</v>
      </c>
      <c r="B225" s="0" t="n">
        <v>1920</v>
      </c>
      <c r="C225" s="0" t="s">
        <v>2187</v>
      </c>
      <c r="H225" s="0" t="s">
        <v>2188</v>
      </c>
      <c r="I225" s="0" t="s">
        <v>2189</v>
      </c>
      <c r="J225" s="0" t="s">
        <v>2190</v>
      </c>
      <c r="K225" s="0" t="s">
        <v>2191</v>
      </c>
      <c r="M225" s="0" t="s">
        <v>1802</v>
      </c>
      <c r="W225" s="0" t="s">
        <v>29</v>
      </c>
      <c r="Z225" s="0" t="n">
        <f aca="false">LEN(C225)+LEN(D225)+LEN(E225)+LEN(F225)+LEN(G225)+LEN(H225)+LEN(J225)+LEN(K225)+LEN(L225)+LEN(M225)</f>
        <v>72</v>
      </c>
    </row>
    <row r="226" customFormat="false" ht="15" hidden="false" customHeight="false" outlineLevel="0" collapsed="false">
      <c r="A226" s="0" t="s">
        <v>2192</v>
      </c>
      <c r="B226" s="0" t="n">
        <v>1920</v>
      </c>
      <c r="C226" s="0" t="s">
        <v>2193</v>
      </c>
      <c r="I226" s="0" t="s">
        <v>2194</v>
      </c>
      <c r="Z226" s="0" t="n">
        <f aca="false">LEN(C226)+LEN(D226)+LEN(E226)+LEN(F226)+LEN(G226)+LEN(H226)+LEN(J226)+LEN(K226)+LEN(L226)+LEN(M226)</f>
        <v>39</v>
      </c>
    </row>
    <row r="227" customFormat="false" ht="15" hidden="false" customHeight="false" outlineLevel="0" collapsed="false">
      <c r="A227" s="0" t="s">
        <v>2195</v>
      </c>
      <c r="B227" s="0" t="n">
        <v>1920</v>
      </c>
      <c r="C227" s="0" t="s">
        <v>2196</v>
      </c>
      <c r="I227" s="0" t="s">
        <v>2197</v>
      </c>
      <c r="Z227" s="0" t="n">
        <f aca="false">LEN(C227)+LEN(D227)+LEN(E227)+LEN(F227)+LEN(G227)+LEN(H227)+LEN(J227)+LEN(K227)+LEN(L227)+LEN(M227)</f>
        <v>46</v>
      </c>
    </row>
    <row r="228" customFormat="false" ht="15" hidden="false" customHeight="false" outlineLevel="0" collapsed="false">
      <c r="A228" s="0" t="s">
        <v>2198</v>
      </c>
      <c r="B228" s="0" t="n">
        <v>1920</v>
      </c>
      <c r="C228" s="0" t="s">
        <v>2199</v>
      </c>
      <c r="H228" s="0" t="s">
        <v>1585</v>
      </c>
      <c r="I228" s="0" t="s">
        <v>2200</v>
      </c>
      <c r="J228" s="0" t="s">
        <v>2201</v>
      </c>
      <c r="K228" s="0" t="s">
        <v>2202</v>
      </c>
      <c r="M228" s="0" t="s">
        <v>1802</v>
      </c>
      <c r="V228" s="0" t="s">
        <v>29</v>
      </c>
      <c r="W228" s="0" t="s">
        <v>29</v>
      </c>
      <c r="Z228" s="0" t="n">
        <f aca="false">LEN(C228)+LEN(D228)+LEN(E228)+LEN(F228)+LEN(G228)+LEN(H228)+LEN(J228)+LEN(K228)+LEN(L228)+LEN(M228)</f>
        <v>79</v>
      </c>
    </row>
    <row r="229" customFormat="false" ht="15" hidden="false" customHeight="false" outlineLevel="0" collapsed="false">
      <c r="A229" s="0" t="s">
        <v>2203</v>
      </c>
      <c r="B229" s="0" t="n">
        <v>1920</v>
      </c>
      <c r="C229" s="0" t="s">
        <v>2204</v>
      </c>
      <c r="I229" s="0" t="s">
        <v>2205</v>
      </c>
      <c r="Z229" s="0" t="n">
        <f aca="false">LEN(C229)+LEN(D229)+LEN(E229)+LEN(F229)+LEN(G229)+LEN(H229)+LEN(J229)+LEN(K229)+LEN(L229)+LEN(M229)</f>
        <v>42</v>
      </c>
    </row>
    <row r="230" customFormat="false" ht="15" hidden="false" customHeight="false" outlineLevel="0" collapsed="false">
      <c r="A230" s="0" t="s">
        <v>2206</v>
      </c>
      <c r="B230" s="0" t="n">
        <v>1920</v>
      </c>
      <c r="C230" s="0" t="s">
        <v>2207</v>
      </c>
      <c r="I230" s="0" t="s">
        <v>2208</v>
      </c>
      <c r="N230" s="0" t="s">
        <v>69</v>
      </c>
      <c r="Y230" s="0" t="n">
        <v>3</v>
      </c>
      <c r="Z230" s="0" t="n">
        <f aca="false">LEN(C230)+LEN(D230)+LEN(E230)+LEN(F230)+LEN(G230)+LEN(H230)+LEN(J230)+LEN(K230)+LEN(L230)+LEN(M230)</f>
        <v>44</v>
      </c>
    </row>
    <row r="231" customFormat="false" ht="15" hidden="false" customHeight="false" outlineLevel="0" collapsed="false">
      <c r="A231" s="0" t="s">
        <v>2209</v>
      </c>
      <c r="B231" s="0" t="n">
        <v>1920</v>
      </c>
      <c r="C231" s="0" t="s">
        <v>2210</v>
      </c>
      <c r="I231" s="0" t="s">
        <v>2211</v>
      </c>
      <c r="N231" s="0" t="s">
        <v>69</v>
      </c>
      <c r="Y231" s="0" t="n">
        <v>2</v>
      </c>
      <c r="Z231" s="0" t="n">
        <f aca="false">LEN(C231)+LEN(D231)+LEN(E231)+LEN(F231)+LEN(G231)+LEN(H231)+LEN(J231)+LEN(K231)+LEN(L231)+LEN(M231)</f>
        <v>48</v>
      </c>
    </row>
    <row r="232" customFormat="false" ht="15" hidden="false" customHeight="false" outlineLevel="0" collapsed="false">
      <c r="A232" s="0" t="s">
        <v>2212</v>
      </c>
      <c r="B232" s="0" t="n">
        <v>1920</v>
      </c>
      <c r="C232" s="0" t="s">
        <v>2213</v>
      </c>
      <c r="H232" s="0" t="s">
        <v>2214</v>
      </c>
      <c r="I232" s="0" t="s">
        <v>2215</v>
      </c>
      <c r="J232" s="0" t="s">
        <v>2216</v>
      </c>
      <c r="K232" s="0" t="s">
        <v>2217</v>
      </c>
      <c r="M232" s="0" t="s">
        <v>1408</v>
      </c>
      <c r="W232" s="0" t="s">
        <v>29</v>
      </c>
      <c r="Z232" s="0" t="n">
        <f aca="false">LEN(C232)+LEN(D232)+LEN(E232)+LEN(F232)+LEN(G232)+LEN(H232)+LEN(J232)+LEN(K232)+LEN(L232)+LEN(M232)</f>
        <v>53</v>
      </c>
    </row>
    <row r="233" customFormat="false" ht="15" hidden="false" customHeight="false" outlineLevel="0" collapsed="false">
      <c r="A233" s="0" t="s">
        <v>2218</v>
      </c>
      <c r="B233" s="0" t="n">
        <v>1920</v>
      </c>
      <c r="C233" s="0" t="s">
        <v>2219</v>
      </c>
      <c r="I233" s="0" t="s">
        <v>2220</v>
      </c>
      <c r="Z233" s="0" t="n">
        <f aca="false">LEN(C233)+LEN(D233)+LEN(E233)+LEN(F233)+LEN(G233)+LEN(H233)+LEN(J233)+LEN(K233)+LEN(L233)+LEN(M233)</f>
        <v>49</v>
      </c>
    </row>
    <row r="234" customFormat="false" ht="15" hidden="false" customHeight="false" outlineLevel="0" collapsed="false">
      <c r="A234" s="0" t="s">
        <v>2221</v>
      </c>
      <c r="B234" s="0" t="n">
        <v>1920</v>
      </c>
      <c r="C234" s="0" t="s">
        <v>2222</v>
      </c>
      <c r="H234" s="0" t="s">
        <v>1993</v>
      </c>
      <c r="I234" s="0" t="s">
        <v>2223</v>
      </c>
      <c r="N234" s="0" t="s">
        <v>29</v>
      </c>
      <c r="S234" s="0" t="s">
        <v>29</v>
      </c>
      <c r="Z234" s="0" t="n">
        <f aca="false">LEN(C234)+LEN(D234)+LEN(E234)+LEN(F234)+LEN(G234)+LEN(H234)+LEN(J234)+LEN(K234)+LEN(L234)+LEN(M234)</f>
        <v>63</v>
      </c>
    </row>
    <row r="235" customFormat="false" ht="15" hidden="false" customHeight="false" outlineLevel="0" collapsed="false">
      <c r="A235" s="0" t="s">
        <v>2224</v>
      </c>
      <c r="B235" s="0" t="n">
        <v>1920</v>
      </c>
      <c r="C235" s="0" t="s">
        <v>2225</v>
      </c>
      <c r="I235" s="0" t="s">
        <v>2226</v>
      </c>
      <c r="Z235" s="0" t="n">
        <f aca="false">LEN(C235)+LEN(D235)+LEN(E235)+LEN(F235)+LEN(G235)+LEN(H235)+LEN(J235)+LEN(K235)+LEN(L235)+LEN(M235)</f>
        <v>29</v>
      </c>
    </row>
    <row r="236" customFormat="false" ht="15" hidden="false" customHeight="false" outlineLevel="0" collapsed="false">
      <c r="A236" s="0" t="s">
        <v>2227</v>
      </c>
      <c r="B236" s="0" t="n">
        <v>1920</v>
      </c>
      <c r="C236" s="0" t="s">
        <v>2228</v>
      </c>
      <c r="E236" s="0" t="s">
        <v>2229</v>
      </c>
      <c r="I236" s="0" t="s">
        <v>2230</v>
      </c>
      <c r="N236" s="0" t="s">
        <v>69</v>
      </c>
      <c r="Y236" s="0" t="n">
        <v>2</v>
      </c>
      <c r="Z236" s="0" t="n">
        <f aca="false">LEN(C236)+LEN(D236)+LEN(E236)+LEN(F236)+LEN(G236)+LEN(H236)+LEN(J236)+LEN(K236)+LEN(L236)+LEN(M236)</f>
        <v>69</v>
      </c>
    </row>
    <row r="237" customFormat="false" ht="15" hidden="false" customHeight="false" outlineLevel="0" collapsed="false">
      <c r="A237" s="0" t="s">
        <v>2231</v>
      </c>
      <c r="B237" s="0" t="n">
        <v>1920</v>
      </c>
      <c r="C237" s="0" t="s">
        <v>2232</v>
      </c>
      <c r="I237" s="0" t="s">
        <v>2233</v>
      </c>
      <c r="Z237" s="0" t="n">
        <f aca="false">LEN(C237)+LEN(D237)+LEN(E237)+LEN(F237)+LEN(G237)+LEN(H237)+LEN(J237)+LEN(K237)+LEN(L237)+LEN(M237)</f>
        <v>33</v>
      </c>
    </row>
    <row r="238" customFormat="false" ht="15" hidden="false" customHeight="false" outlineLevel="0" collapsed="false">
      <c r="A238" s="0" t="s">
        <v>2234</v>
      </c>
      <c r="B238" s="0" t="n">
        <v>1920</v>
      </c>
      <c r="C238" s="0" t="s">
        <v>2235</v>
      </c>
      <c r="I238" s="0" t="s">
        <v>2235</v>
      </c>
      <c r="Z238" s="0" t="n">
        <f aca="false">LEN(C238)+LEN(D238)+LEN(E238)+LEN(F238)+LEN(G238)+LEN(H238)+LEN(J238)+LEN(K238)+LEN(L238)+LEN(M238)</f>
        <v>26</v>
      </c>
    </row>
    <row r="239" customFormat="false" ht="15" hidden="false" customHeight="false" outlineLevel="0" collapsed="false">
      <c r="A239" s="0" t="s">
        <v>2236</v>
      </c>
      <c r="B239" s="0" t="n">
        <v>1920</v>
      </c>
      <c r="C239" s="0" t="s">
        <v>2237</v>
      </c>
      <c r="I239" s="0" t="s">
        <v>2237</v>
      </c>
      <c r="N239" s="0" t="s">
        <v>69</v>
      </c>
      <c r="Y239" s="0" t="n">
        <v>1</v>
      </c>
      <c r="Z239" s="0" t="n">
        <f aca="false">LEN(C239)+LEN(D239)+LEN(E239)+LEN(F239)+LEN(G239)+LEN(H239)+LEN(J239)+LEN(K239)+LEN(L239)+LEN(M239)</f>
        <v>37</v>
      </c>
    </row>
    <row r="240" customFormat="false" ht="15" hidden="false" customHeight="false" outlineLevel="0" collapsed="false">
      <c r="A240" s="0" t="s">
        <v>2238</v>
      </c>
      <c r="B240" s="0" t="n">
        <v>1920</v>
      </c>
      <c r="C240" s="0" t="s">
        <v>2239</v>
      </c>
      <c r="I240" s="0" t="s">
        <v>2239</v>
      </c>
      <c r="Z240" s="0" t="n">
        <f aca="false">LEN(C240)+LEN(D240)+LEN(E240)+LEN(F240)+LEN(G240)+LEN(H240)+LEN(J240)+LEN(K240)+LEN(L240)+LEN(M240)</f>
        <v>39</v>
      </c>
    </row>
    <row r="241" customFormat="false" ht="15" hidden="false" customHeight="false" outlineLevel="0" collapsed="false">
      <c r="A241" s="0" t="s">
        <v>2240</v>
      </c>
      <c r="B241" s="0" t="n">
        <v>1920</v>
      </c>
      <c r="C241" s="0" t="s">
        <v>2241</v>
      </c>
      <c r="I241" s="0" t="s">
        <v>2242</v>
      </c>
      <c r="N241" s="0" t="s">
        <v>29</v>
      </c>
      <c r="Z241" s="0" t="n">
        <f aca="false">LEN(C241)+LEN(D241)+LEN(E241)+LEN(F241)+LEN(G241)+LEN(H241)+LEN(J241)+LEN(K241)+LEN(L241)+LEN(M241)</f>
        <v>23</v>
      </c>
    </row>
    <row r="242" customFormat="false" ht="15" hidden="false" customHeight="false" outlineLevel="0" collapsed="false">
      <c r="A242" s="0" t="s">
        <v>2243</v>
      </c>
      <c r="B242" s="0" t="n">
        <v>1920</v>
      </c>
      <c r="C242" s="0" t="s">
        <v>2244</v>
      </c>
      <c r="H242" s="0" t="s">
        <v>1450</v>
      </c>
      <c r="I242" s="0" t="s">
        <v>2245</v>
      </c>
      <c r="Z242" s="0" t="n">
        <f aca="false">LEN(C242)+LEN(D242)+LEN(E242)+LEN(F242)+LEN(G242)+LEN(H242)+LEN(J242)+LEN(K242)+LEN(L242)+LEN(M242)</f>
        <v>38</v>
      </c>
    </row>
    <row r="243" customFormat="false" ht="15" hidden="false" customHeight="false" outlineLevel="0" collapsed="false">
      <c r="A243" s="0" t="s">
        <v>2246</v>
      </c>
      <c r="B243" s="0" t="n">
        <v>1920</v>
      </c>
      <c r="C243" s="0" t="s">
        <v>2247</v>
      </c>
      <c r="H243" s="0" t="s">
        <v>1404</v>
      </c>
      <c r="I243" s="0" t="s">
        <v>2248</v>
      </c>
      <c r="P243" s="0" t="s">
        <v>29</v>
      </c>
      <c r="Z243" s="0" t="n">
        <f aca="false">LEN(C243)+LEN(D243)+LEN(E243)+LEN(F243)+LEN(G243)+LEN(H243)+LEN(J243)+LEN(K243)+LEN(L243)+LEN(M243)</f>
        <v>50</v>
      </c>
    </row>
    <row r="244" customFormat="false" ht="15" hidden="false" customHeight="false" outlineLevel="0" collapsed="false">
      <c r="A244" s="0" t="s">
        <v>2249</v>
      </c>
      <c r="B244" s="0" t="n">
        <v>1920</v>
      </c>
      <c r="C244" s="0" t="s">
        <v>2250</v>
      </c>
      <c r="H244" s="0" t="s">
        <v>1763</v>
      </c>
      <c r="I244" s="0" t="s">
        <v>2251</v>
      </c>
      <c r="P244" s="0" t="s">
        <v>29</v>
      </c>
      <c r="Z244" s="0" t="n">
        <f aca="false">LEN(C244)+LEN(D244)+LEN(E244)+LEN(F244)+LEN(G244)+LEN(H244)+LEN(J244)+LEN(K244)+LEN(L244)+LEN(M244)</f>
        <v>40</v>
      </c>
    </row>
    <row r="245" customFormat="false" ht="15" hidden="false" customHeight="false" outlineLevel="0" collapsed="false">
      <c r="A245" s="0" t="s">
        <v>2252</v>
      </c>
      <c r="B245" s="0" t="n">
        <v>1920</v>
      </c>
      <c r="C245" s="0" t="s">
        <v>2253</v>
      </c>
      <c r="D245" s="7" t="n">
        <v>2000000</v>
      </c>
      <c r="G245" s="0" t="s">
        <v>2254</v>
      </c>
      <c r="H245" s="0" t="s">
        <v>1467</v>
      </c>
      <c r="I245" s="0" t="s">
        <v>2255</v>
      </c>
      <c r="N245" s="0" t="s">
        <v>29</v>
      </c>
      <c r="Z245" s="0" t="n">
        <f aca="false">LEN(C245)+LEN(D245)+LEN(E245)+LEN(F245)+LEN(G245)+LEN(H245)+LEN(J245)+LEN(K245)+LEN(L245)+LEN(M245)</f>
        <v>88</v>
      </c>
    </row>
    <row r="246" customFormat="false" ht="15" hidden="false" customHeight="false" outlineLevel="0" collapsed="false">
      <c r="A246" s="0" t="s">
        <v>2256</v>
      </c>
      <c r="B246" s="0" t="n">
        <v>1920</v>
      </c>
      <c r="C246" s="0" t="s">
        <v>2257</v>
      </c>
      <c r="D246" s="7" t="n">
        <v>30000000</v>
      </c>
      <c r="H246" s="0" t="s">
        <v>2258</v>
      </c>
      <c r="I246" s="0" t="s">
        <v>2259</v>
      </c>
      <c r="Z246" s="0" t="n">
        <f aca="false">LEN(C246)+LEN(D246)+LEN(E246)+LEN(F246)+LEN(G246)+LEN(H246)+LEN(J246)+LEN(K246)+LEN(L246)+LEN(M246)</f>
        <v>47</v>
      </c>
    </row>
    <row r="247" customFormat="false" ht="15" hidden="false" customHeight="false" outlineLevel="0" collapsed="false">
      <c r="A247" s="0" t="s">
        <v>2260</v>
      </c>
      <c r="B247" s="0" t="n">
        <v>1920</v>
      </c>
      <c r="C247" s="0" t="s">
        <v>2261</v>
      </c>
      <c r="I247" s="0" t="s">
        <v>2262</v>
      </c>
      <c r="Z247" s="0" t="n">
        <f aca="false">LEN(C247)+LEN(D247)+LEN(E247)+LEN(F247)+LEN(G247)+LEN(H247)+LEN(J247)+LEN(K247)+LEN(L247)+LEN(M247)</f>
        <v>31</v>
      </c>
    </row>
    <row r="248" customFormat="false" ht="15" hidden="false" customHeight="false" outlineLevel="0" collapsed="false">
      <c r="A248" s="0" t="s">
        <v>2263</v>
      </c>
      <c r="B248" s="0" t="n">
        <v>1920</v>
      </c>
      <c r="C248" s="0" t="s">
        <v>2264</v>
      </c>
      <c r="H248" s="0" t="s">
        <v>2265</v>
      </c>
      <c r="I248" s="0" t="s">
        <v>2266</v>
      </c>
      <c r="J248" s="0" t="s">
        <v>2267</v>
      </c>
      <c r="K248" s="0" t="s">
        <v>24</v>
      </c>
      <c r="L248" s="0" t="s">
        <v>962</v>
      </c>
      <c r="M248" s="0" t="s">
        <v>2139</v>
      </c>
      <c r="Z248" s="0" t="n">
        <f aca="false">LEN(C248)+LEN(D248)+LEN(E248)+LEN(F248)+LEN(G248)+LEN(H248)+LEN(J248)+LEN(K248)+LEN(L248)+LEN(M248)</f>
        <v>55</v>
      </c>
    </row>
    <row r="249" customFormat="false" ht="15" hidden="false" customHeight="false" outlineLevel="0" collapsed="false">
      <c r="A249" s="0" t="s">
        <v>2268</v>
      </c>
      <c r="B249" s="0" t="n">
        <v>1920</v>
      </c>
      <c r="C249" s="0" t="s">
        <v>2269</v>
      </c>
      <c r="I249" s="0" t="s">
        <v>2270</v>
      </c>
      <c r="N249" s="0" t="s">
        <v>29</v>
      </c>
      <c r="Z249" s="0" t="n">
        <f aca="false">LEN(C249)+LEN(D249)+LEN(E249)+LEN(F249)+LEN(G249)+LEN(H249)+LEN(J249)+LEN(K249)+LEN(L249)+LEN(M249)</f>
        <v>48</v>
      </c>
    </row>
    <row r="250" customFormat="false" ht="15" hidden="false" customHeight="false" outlineLevel="0" collapsed="false">
      <c r="A250" s="0" t="s">
        <v>2271</v>
      </c>
      <c r="B250" s="0" t="n">
        <v>1920</v>
      </c>
      <c r="C250" s="0" t="s">
        <v>2272</v>
      </c>
      <c r="H250" s="0" t="s">
        <v>2273</v>
      </c>
      <c r="I250" s="0" t="s">
        <v>2274</v>
      </c>
      <c r="J250" s="0" t="s">
        <v>447</v>
      </c>
      <c r="K250" s="0" t="s">
        <v>1734</v>
      </c>
      <c r="L250" s="0" t="s">
        <v>2202</v>
      </c>
      <c r="M250" s="0" t="s">
        <v>1408</v>
      </c>
      <c r="W250" s="0" t="s">
        <v>29</v>
      </c>
      <c r="Z250" s="0" t="n">
        <f aca="false">LEN(C250)+LEN(D250)+LEN(E250)+LEN(F250)+LEN(G250)+LEN(H250)+LEN(J250)+LEN(K250)+LEN(L250)+LEN(M250)</f>
        <v>71</v>
      </c>
    </row>
    <row r="251" customFormat="false" ht="15" hidden="false" customHeight="false" outlineLevel="0" collapsed="false">
      <c r="A251" s="0" t="s">
        <v>2275</v>
      </c>
      <c r="B251" s="0" t="n">
        <v>1920</v>
      </c>
      <c r="C251" s="0" t="s">
        <v>2276</v>
      </c>
      <c r="I251" s="0" t="s">
        <v>2277</v>
      </c>
      <c r="N251" s="0" t="s">
        <v>29</v>
      </c>
      <c r="Z251" s="0" t="n">
        <f aca="false">LEN(C251)+LEN(D251)+LEN(E251)+LEN(F251)+LEN(G251)+LEN(H251)+LEN(J251)+LEN(K251)+LEN(L251)+LEN(M251)</f>
        <v>103</v>
      </c>
    </row>
    <row r="252" customFormat="false" ht="15" hidden="false" customHeight="false" outlineLevel="0" collapsed="false">
      <c r="A252" s="0" t="s">
        <v>2278</v>
      </c>
      <c r="B252" s="0" t="n">
        <v>1920</v>
      </c>
      <c r="C252" s="0" t="s">
        <v>2279</v>
      </c>
      <c r="I252" s="0" t="s">
        <v>2280</v>
      </c>
      <c r="N252" s="0" t="s">
        <v>29</v>
      </c>
      <c r="Z252" s="0" t="n">
        <f aca="false">LEN(C252)+LEN(D252)+LEN(E252)+LEN(F252)+LEN(G252)+LEN(H252)+LEN(J252)+LEN(K252)+LEN(L252)+LEN(M252)</f>
        <v>62</v>
      </c>
    </row>
    <row r="253" customFormat="false" ht="15" hidden="false" customHeight="false" outlineLevel="0" collapsed="false">
      <c r="A253" s="0" t="s">
        <v>2281</v>
      </c>
      <c r="B253" s="0" t="n">
        <v>1920</v>
      </c>
      <c r="C253" s="0" t="s">
        <v>2279</v>
      </c>
      <c r="I253" s="0" t="s">
        <v>2282</v>
      </c>
      <c r="N253" s="0" t="s">
        <v>29</v>
      </c>
      <c r="Z253" s="0" t="n">
        <f aca="false">LEN(C253)+LEN(D253)+LEN(E253)+LEN(F253)+LEN(G253)+LEN(H253)+LEN(J253)+LEN(K253)+LEN(L253)+LEN(M253)</f>
        <v>62</v>
      </c>
    </row>
    <row r="254" customFormat="false" ht="15" hidden="false" customHeight="false" outlineLevel="0" collapsed="false">
      <c r="A254" s="0" t="s">
        <v>2283</v>
      </c>
      <c r="B254" s="0" t="n">
        <v>1920</v>
      </c>
      <c r="C254" s="0" t="s">
        <v>2284</v>
      </c>
      <c r="H254" s="0" t="s">
        <v>2285</v>
      </c>
      <c r="I254" s="0" t="s">
        <v>2284</v>
      </c>
      <c r="N254" s="0" t="s">
        <v>29</v>
      </c>
      <c r="Z254" s="0" t="n">
        <f aca="false">LEN(C254)+LEN(D254)+LEN(E254)+LEN(F254)+LEN(G254)+LEN(H254)+LEN(J254)+LEN(K254)+LEN(L254)+LEN(M254)</f>
        <v>77</v>
      </c>
    </row>
    <row r="255" customFormat="false" ht="15" hidden="false" customHeight="false" outlineLevel="0" collapsed="false">
      <c r="A255" s="0" t="s">
        <v>2286</v>
      </c>
      <c r="B255" s="0" t="n">
        <v>1920</v>
      </c>
      <c r="C255" s="0" t="s">
        <v>2287</v>
      </c>
      <c r="I255" s="0" t="s">
        <v>2287</v>
      </c>
      <c r="Z255" s="0" t="n">
        <f aca="false">LEN(C255)+LEN(D255)+LEN(E255)+LEN(F255)+LEN(G255)+LEN(H255)+LEN(J255)+LEN(K255)+LEN(L255)+LEN(M255)</f>
        <v>52</v>
      </c>
    </row>
    <row r="256" customFormat="false" ht="15" hidden="false" customHeight="false" outlineLevel="0" collapsed="false">
      <c r="A256" s="0" t="s">
        <v>2288</v>
      </c>
      <c r="B256" s="0" t="n">
        <v>1920</v>
      </c>
      <c r="C256" s="0" t="s">
        <v>2289</v>
      </c>
      <c r="D256" s="7" t="n">
        <v>100000</v>
      </c>
      <c r="G256" s="0" t="s">
        <v>2290</v>
      </c>
      <c r="H256" s="0" t="s">
        <v>1763</v>
      </c>
      <c r="I256" s="0" t="s">
        <v>2291</v>
      </c>
      <c r="Z256" s="0" t="n">
        <f aca="false">LEN(C256)+LEN(D256)+LEN(E256)+LEN(F256)+LEN(G256)+LEN(H256)+LEN(J256)+LEN(K256)+LEN(L256)+LEN(M256)</f>
        <v>60</v>
      </c>
    </row>
    <row r="257" customFormat="false" ht="15" hidden="false" customHeight="false" outlineLevel="0" collapsed="false">
      <c r="A257" s="0" t="s">
        <v>2292</v>
      </c>
      <c r="B257" s="0" t="n">
        <v>1920</v>
      </c>
      <c r="C257" s="0" t="s">
        <v>2293</v>
      </c>
      <c r="D257" s="7" t="n">
        <v>3000000</v>
      </c>
      <c r="G257" s="0" t="s">
        <v>2290</v>
      </c>
      <c r="H257" s="0" t="s">
        <v>1763</v>
      </c>
      <c r="I257" s="0" t="s">
        <v>2294</v>
      </c>
      <c r="Z257" s="0" t="n">
        <f aca="false">LEN(C257)+LEN(D257)+LEN(E257)+LEN(F257)+LEN(G257)+LEN(H257)+LEN(J257)+LEN(K257)+LEN(L257)+LEN(M257)</f>
        <v>70</v>
      </c>
    </row>
    <row r="258" customFormat="false" ht="15" hidden="false" customHeight="false" outlineLevel="0" collapsed="false">
      <c r="A258" s="0" t="s">
        <v>2295</v>
      </c>
      <c r="B258" s="0" t="n">
        <v>1920</v>
      </c>
      <c r="C258" s="0" t="s">
        <v>2296</v>
      </c>
      <c r="H258" s="0" t="s">
        <v>2297</v>
      </c>
      <c r="I258" s="0" t="s">
        <v>2298</v>
      </c>
      <c r="J258" s="0" t="s">
        <v>2299</v>
      </c>
      <c r="K258" s="0" t="s">
        <v>69</v>
      </c>
      <c r="L258" s="0" t="s">
        <v>393</v>
      </c>
      <c r="M258" s="0" t="s">
        <v>1408</v>
      </c>
      <c r="U258" s="0" t="s">
        <v>29</v>
      </c>
      <c r="Z258" s="0" t="n">
        <f aca="false">LEN(C258)+LEN(D258)+LEN(E258)+LEN(F258)+LEN(G258)+LEN(H258)+LEN(J258)+LEN(K258)+LEN(L258)+LEN(M258)</f>
        <v>50</v>
      </c>
    </row>
    <row r="259" customFormat="false" ht="15" hidden="false" customHeight="false" outlineLevel="0" collapsed="false">
      <c r="A259" s="0" t="s">
        <v>2300</v>
      </c>
      <c r="B259" s="0" t="n">
        <v>1920</v>
      </c>
      <c r="C259" s="0" t="s">
        <v>2301</v>
      </c>
      <c r="H259" s="0" t="s">
        <v>2302</v>
      </c>
      <c r="I259" s="0" t="s">
        <v>2303</v>
      </c>
      <c r="J259" s="0" t="s">
        <v>2304</v>
      </c>
      <c r="K259" s="0" t="s">
        <v>1728</v>
      </c>
      <c r="M259" s="0" t="s">
        <v>1802</v>
      </c>
      <c r="Z259" s="0" t="n">
        <f aca="false">LEN(C259)+LEN(D259)+LEN(E259)+LEN(F259)+LEN(G259)+LEN(H259)+LEN(J259)+LEN(K259)+LEN(L259)+LEN(M259)</f>
        <v>73</v>
      </c>
    </row>
    <row r="260" customFormat="false" ht="15" hidden="false" customHeight="false" outlineLevel="0" collapsed="false">
      <c r="A260" s="0" t="s">
        <v>2305</v>
      </c>
      <c r="B260" s="0" t="n">
        <v>1920</v>
      </c>
      <c r="C260" s="0" t="s">
        <v>2306</v>
      </c>
      <c r="I260" s="0" t="s">
        <v>2307</v>
      </c>
      <c r="Z260" s="0" t="n">
        <f aca="false">LEN(C260)+LEN(D260)+LEN(E260)+LEN(F260)+LEN(G260)+LEN(H260)+LEN(J260)+LEN(K260)+LEN(L260)+LEN(M260)</f>
        <v>34</v>
      </c>
    </row>
    <row r="261" customFormat="false" ht="15" hidden="false" customHeight="false" outlineLevel="0" collapsed="false">
      <c r="A261" s="0" t="s">
        <v>2308</v>
      </c>
      <c r="B261" s="0" t="n">
        <v>1920</v>
      </c>
      <c r="C261" s="0" t="s">
        <v>2309</v>
      </c>
      <c r="I261" s="0" t="s">
        <v>2310</v>
      </c>
      <c r="N261" s="0" t="s">
        <v>29</v>
      </c>
      <c r="Z261" s="0" t="n">
        <f aca="false">LEN(C261)+LEN(D261)+LEN(E261)+LEN(F261)+LEN(G261)+LEN(H261)+LEN(J261)+LEN(K261)+LEN(L261)+LEN(M261)</f>
        <v>64</v>
      </c>
    </row>
    <row r="262" customFormat="false" ht="15" hidden="false" customHeight="false" outlineLevel="0" collapsed="false">
      <c r="A262" s="0" t="s">
        <v>2311</v>
      </c>
      <c r="B262" s="0" t="n">
        <v>1920</v>
      </c>
      <c r="C262" s="0" t="s">
        <v>2312</v>
      </c>
      <c r="I262" s="0" t="s">
        <v>2313</v>
      </c>
      <c r="Z262" s="0" t="n">
        <f aca="false">LEN(C262)+LEN(D262)+LEN(E262)+LEN(F262)+LEN(G262)+LEN(H262)+LEN(J262)+LEN(K262)+LEN(L262)+LEN(M262)</f>
        <v>48</v>
      </c>
    </row>
    <row r="263" customFormat="false" ht="15" hidden="false" customHeight="false" outlineLevel="0" collapsed="false">
      <c r="A263" s="0" t="s">
        <v>2314</v>
      </c>
      <c r="B263" s="0" t="n">
        <v>1920</v>
      </c>
      <c r="C263" s="0" t="s">
        <v>2315</v>
      </c>
      <c r="I263" s="0" t="s">
        <v>2315</v>
      </c>
      <c r="Z263" s="0" t="n">
        <f aca="false">LEN(C263)+LEN(D263)+LEN(E263)+LEN(F263)+LEN(G263)+LEN(H263)+LEN(J263)+LEN(K263)+LEN(L263)+LEN(M263)</f>
        <v>47</v>
      </c>
    </row>
    <row r="264" customFormat="false" ht="15" hidden="false" customHeight="false" outlineLevel="0" collapsed="false">
      <c r="A264" s="0" t="s">
        <v>2316</v>
      </c>
      <c r="B264" s="0" t="n">
        <v>1920</v>
      </c>
      <c r="C264" s="0" t="s">
        <v>2317</v>
      </c>
      <c r="H264" s="0" t="s">
        <v>2318</v>
      </c>
      <c r="I264" s="0" t="s">
        <v>2319</v>
      </c>
      <c r="N264" s="0" t="s">
        <v>69</v>
      </c>
      <c r="S264" s="0" t="s">
        <v>29</v>
      </c>
      <c r="Y264" s="0" t="n">
        <v>1</v>
      </c>
      <c r="Z264" s="0" t="n">
        <f aca="false">LEN(C264)+LEN(D264)+LEN(E264)+LEN(F264)+LEN(G264)+LEN(H264)+LEN(J264)+LEN(K264)+LEN(L264)+LEN(M264)</f>
        <v>48</v>
      </c>
    </row>
    <row r="265" customFormat="false" ht="15" hidden="false" customHeight="false" outlineLevel="0" collapsed="false">
      <c r="A265" s="0" t="s">
        <v>2320</v>
      </c>
      <c r="B265" s="0" t="n">
        <v>1920</v>
      </c>
      <c r="C265" s="0" t="s">
        <v>2321</v>
      </c>
      <c r="H265" s="0" t="s">
        <v>1662</v>
      </c>
      <c r="I265" s="0" t="s">
        <v>2321</v>
      </c>
      <c r="Z265" s="0" t="n">
        <f aca="false">LEN(C265)+LEN(D265)+LEN(E265)+LEN(F265)+LEN(G265)+LEN(H265)+LEN(J265)+LEN(K265)+LEN(L265)+LEN(M265)</f>
        <v>42</v>
      </c>
    </row>
    <row r="266" customFormat="false" ht="15" hidden="false" customHeight="false" outlineLevel="0" collapsed="false">
      <c r="A266" s="0" t="s">
        <v>2322</v>
      </c>
      <c r="B266" s="0" t="n">
        <v>1920</v>
      </c>
      <c r="C266" s="0" t="s">
        <v>2323</v>
      </c>
      <c r="I266" s="0" t="s">
        <v>2324</v>
      </c>
      <c r="N266" s="0" t="s">
        <v>29</v>
      </c>
      <c r="Z266" s="0" t="n">
        <f aca="false">LEN(C266)+LEN(D266)+LEN(E266)+LEN(F266)+LEN(G266)+LEN(H266)+LEN(J266)+LEN(K266)+LEN(L266)+LEN(M266)</f>
        <v>38</v>
      </c>
    </row>
    <row r="267" customFormat="false" ht="15" hidden="false" customHeight="false" outlineLevel="0" collapsed="false">
      <c r="A267" s="0" t="s">
        <v>2325</v>
      </c>
      <c r="B267" s="0" t="n">
        <v>1920</v>
      </c>
      <c r="C267" s="0" t="s">
        <v>2326</v>
      </c>
      <c r="I267" s="0" t="s">
        <v>2327</v>
      </c>
      <c r="J267" s="0" t="s">
        <v>2328</v>
      </c>
      <c r="K267" s="0" t="s">
        <v>881</v>
      </c>
      <c r="L267" s="0" t="s">
        <v>2329</v>
      </c>
      <c r="M267" s="0" t="s">
        <v>1408</v>
      </c>
      <c r="N267" s="6" t="s">
        <v>29</v>
      </c>
      <c r="U267" s="0" t="s">
        <v>29</v>
      </c>
      <c r="Z267" s="0" t="n">
        <f aca="false">LEN(C267)+LEN(D267)+LEN(E267)+LEN(F267)+LEN(G267)+LEN(H267)+LEN(J267)+LEN(K267)+LEN(L267)+LEN(M267)</f>
        <v>60</v>
      </c>
    </row>
    <row r="268" customFormat="false" ht="15" hidden="false" customHeight="false" outlineLevel="0" collapsed="false">
      <c r="A268" s="0" t="s">
        <v>2330</v>
      </c>
      <c r="B268" s="0" t="n">
        <v>1920</v>
      </c>
      <c r="C268" s="0" t="s">
        <v>2331</v>
      </c>
      <c r="H268" s="0" t="s">
        <v>2142</v>
      </c>
      <c r="I268" s="0" t="s">
        <v>2332</v>
      </c>
      <c r="J268" s="0" t="s">
        <v>2333</v>
      </c>
      <c r="K268" s="0" t="s">
        <v>2334</v>
      </c>
      <c r="M268" s="0" t="s">
        <v>1408</v>
      </c>
      <c r="U268" s="0" t="s">
        <v>29</v>
      </c>
      <c r="W268" s="0" t="s">
        <v>29</v>
      </c>
      <c r="Z268" s="0" t="n">
        <f aca="false">LEN(C268)+LEN(D268)+LEN(E268)+LEN(F268)+LEN(G268)+LEN(H268)+LEN(J268)+LEN(K268)+LEN(L268)+LEN(M268)</f>
        <v>58</v>
      </c>
    </row>
    <row r="269" customFormat="false" ht="15" hidden="false" customHeight="false" outlineLevel="0" collapsed="false">
      <c r="A269" s="0" t="s">
        <v>2335</v>
      </c>
      <c r="B269" s="0" t="n">
        <v>1920</v>
      </c>
      <c r="C269" s="0" t="s">
        <v>2336</v>
      </c>
      <c r="I269" s="0" t="s">
        <v>2337</v>
      </c>
      <c r="Z269" s="0" t="n">
        <f aca="false">LEN(C269)+LEN(D269)+LEN(E269)+LEN(F269)+LEN(G269)+LEN(H269)+LEN(J269)+LEN(K269)+LEN(L269)+LEN(M269)</f>
        <v>40</v>
      </c>
    </row>
    <row r="270" customFormat="false" ht="15" hidden="false" customHeight="false" outlineLevel="0" collapsed="false">
      <c r="A270" s="0" t="s">
        <v>2338</v>
      </c>
      <c r="B270" s="0" t="n">
        <v>1920</v>
      </c>
      <c r="C270" s="0" t="s">
        <v>2339</v>
      </c>
      <c r="I270" s="0" t="s">
        <v>2340</v>
      </c>
      <c r="N270" s="0" t="s">
        <v>29</v>
      </c>
      <c r="Z270" s="0" t="n">
        <f aca="false">LEN(C270)+LEN(D270)+LEN(E270)+LEN(F270)+LEN(G270)+LEN(H270)+LEN(J270)+LEN(K270)+LEN(L270)+LEN(M270)</f>
        <v>38</v>
      </c>
    </row>
    <row r="271" customFormat="false" ht="15" hidden="false" customHeight="false" outlineLevel="0" collapsed="false">
      <c r="A271" s="0" t="s">
        <v>2341</v>
      </c>
      <c r="B271" s="0" t="n">
        <v>1920</v>
      </c>
      <c r="C271" s="0" t="s">
        <v>2342</v>
      </c>
      <c r="I271" s="0" t="s">
        <v>2342</v>
      </c>
      <c r="Z271" s="0" t="n">
        <f aca="false">LEN(C271)+LEN(D271)+LEN(E271)+LEN(F271)+LEN(G271)+LEN(H271)+LEN(J271)+LEN(K271)+LEN(L271)+LEN(M271)</f>
        <v>42</v>
      </c>
    </row>
    <row r="272" customFormat="false" ht="15" hidden="false" customHeight="false" outlineLevel="0" collapsed="false">
      <c r="A272" s="0" t="s">
        <v>2343</v>
      </c>
      <c r="B272" s="0" t="n">
        <v>1920</v>
      </c>
      <c r="C272" s="0" t="s">
        <v>2344</v>
      </c>
      <c r="I272" s="0" t="s">
        <v>2344</v>
      </c>
      <c r="Z272" s="0" t="n">
        <f aca="false">LEN(C272)+LEN(D272)+LEN(E272)+LEN(F272)+LEN(G272)+LEN(H272)+LEN(J272)+LEN(K272)+LEN(L272)+LEN(M272)</f>
        <v>46</v>
      </c>
    </row>
    <row r="273" customFormat="false" ht="15" hidden="false" customHeight="false" outlineLevel="0" collapsed="false">
      <c r="A273" s="0" t="s">
        <v>2345</v>
      </c>
      <c r="B273" s="0" t="n">
        <v>1920</v>
      </c>
      <c r="C273" s="0" t="s">
        <v>2346</v>
      </c>
      <c r="I273" s="0" t="s">
        <v>2347</v>
      </c>
      <c r="Z273" s="0" t="n">
        <f aca="false">LEN(C273)+LEN(D273)+LEN(E273)+LEN(F273)+LEN(G273)+LEN(H273)+LEN(J273)+LEN(K273)+LEN(L273)+LEN(M273)</f>
        <v>45</v>
      </c>
    </row>
    <row r="274" customFormat="false" ht="15" hidden="false" customHeight="false" outlineLevel="0" collapsed="false">
      <c r="A274" s="0" t="s">
        <v>2348</v>
      </c>
      <c r="B274" s="0" t="n">
        <v>1920</v>
      </c>
      <c r="C274" s="0" t="s">
        <v>2349</v>
      </c>
      <c r="I274" s="0" t="s">
        <v>2350</v>
      </c>
      <c r="Z274" s="0" t="n">
        <f aca="false">LEN(C274)+LEN(D274)+LEN(E274)+LEN(F274)+LEN(G274)+LEN(H274)+LEN(J274)+LEN(K274)+LEN(L274)+LEN(M274)</f>
        <v>42</v>
      </c>
    </row>
    <row r="275" customFormat="false" ht="15" hidden="false" customHeight="false" outlineLevel="0" collapsed="false">
      <c r="A275" s="0" t="s">
        <v>2351</v>
      </c>
      <c r="B275" s="0" t="n">
        <v>1920</v>
      </c>
      <c r="C275" s="0" t="s">
        <v>2352</v>
      </c>
      <c r="I275" s="0" t="s">
        <v>2352</v>
      </c>
      <c r="N275" s="0" t="s">
        <v>29</v>
      </c>
      <c r="Z275" s="0" t="n">
        <f aca="false">LEN(C275)+LEN(D275)+LEN(E275)+LEN(F275)+LEN(G275)+LEN(H275)+LEN(J275)+LEN(K275)+LEN(L275)+LEN(M275)</f>
        <v>52</v>
      </c>
    </row>
    <row r="276" customFormat="false" ht="15" hidden="false" customHeight="false" outlineLevel="0" collapsed="false">
      <c r="A276" s="0" t="s">
        <v>2353</v>
      </c>
      <c r="B276" s="0" t="n">
        <v>1920</v>
      </c>
      <c r="C276" s="0" t="s">
        <v>2354</v>
      </c>
      <c r="H276" s="0" t="s">
        <v>2355</v>
      </c>
      <c r="I276" s="0" t="s">
        <v>2356</v>
      </c>
      <c r="P276" s="0" t="s">
        <v>29</v>
      </c>
      <c r="Z276" s="0" t="n">
        <f aca="false">LEN(C276)+LEN(D276)+LEN(E276)+LEN(F276)+LEN(G276)+LEN(H276)+LEN(J276)+LEN(K276)+LEN(L276)+LEN(M276)</f>
        <v>50</v>
      </c>
    </row>
    <row r="277" customFormat="false" ht="15" hidden="false" customHeight="false" outlineLevel="0" collapsed="false">
      <c r="A277" s="0" t="s">
        <v>2357</v>
      </c>
      <c r="B277" s="0" t="n">
        <v>1920</v>
      </c>
      <c r="C277" s="0" t="s">
        <v>2358</v>
      </c>
      <c r="I277" s="0" t="s">
        <v>2359</v>
      </c>
      <c r="J277" s="0" t="s">
        <v>2360</v>
      </c>
      <c r="K277" s="0" t="s">
        <v>1391</v>
      </c>
      <c r="L277" s="0" t="s">
        <v>880</v>
      </c>
      <c r="M277" s="0" t="s">
        <v>1802</v>
      </c>
      <c r="U277" s="0" t="s">
        <v>29</v>
      </c>
      <c r="Z277" s="0" t="n">
        <f aca="false">LEN(C277)+LEN(D277)+LEN(E277)+LEN(F277)+LEN(G277)+LEN(H277)+LEN(J277)+LEN(K277)+LEN(L277)+LEN(M277)</f>
        <v>75</v>
      </c>
    </row>
    <row r="278" customFormat="false" ht="15" hidden="false" customHeight="false" outlineLevel="0" collapsed="false">
      <c r="A278" s="0" t="s">
        <v>2361</v>
      </c>
      <c r="B278" s="0" t="n">
        <v>1920</v>
      </c>
      <c r="C278" s="0" t="s">
        <v>2362</v>
      </c>
      <c r="I278" s="0" t="s">
        <v>2363</v>
      </c>
      <c r="Z278" s="0" t="n">
        <f aca="false">LEN(C278)+LEN(D278)+LEN(E278)+LEN(F278)+LEN(G278)+LEN(H278)+LEN(J278)+LEN(K278)+LEN(L278)+LEN(M278)</f>
        <v>49</v>
      </c>
    </row>
    <row r="279" customFormat="false" ht="15" hidden="false" customHeight="false" outlineLevel="0" collapsed="false">
      <c r="A279" s="0" t="s">
        <v>2364</v>
      </c>
      <c r="B279" s="0" t="n">
        <v>1920</v>
      </c>
      <c r="C279" s="0" t="s">
        <v>2365</v>
      </c>
      <c r="I279" s="0" t="s">
        <v>2366</v>
      </c>
      <c r="N279" s="0" t="s">
        <v>29</v>
      </c>
      <c r="Z279" s="0" t="n">
        <f aca="false">LEN(C279)+LEN(D279)+LEN(E279)+LEN(F279)+LEN(G279)+LEN(H279)+LEN(J279)+LEN(K279)+LEN(L279)+LEN(M279)</f>
        <v>62</v>
      </c>
    </row>
    <row r="280" customFormat="false" ht="15" hidden="false" customHeight="false" outlineLevel="0" collapsed="false">
      <c r="A280" s="0" t="s">
        <v>2367</v>
      </c>
      <c r="B280" s="0" t="n">
        <v>1920</v>
      </c>
      <c r="C280" s="0" t="s">
        <v>2368</v>
      </c>
      <c r="I280" s="0" t="s">
        <v>2368</v>
      </c>
      <c r="Z280" s="0" t="n">
        <f aca="false">LEN(C280)+LEN(D280)+LEN(E280)+LEN(F280)+LEN(G280)+LEN(H280)+LEN(J280)+LEN(K280)+LEN(L280)+LEN(M280)</f>
        <v>50</v>
      </c>
    </row>
    <row r="281" customFormat="false" ht="15" hidden="false" customHeight="false" outlineLevel="0" collapsed="false">
      <c r="A281" s="0" t="s">
        <v>2369</v>
      </c>
      <c r="B281" s="0" t="n">
        <v>1920</v>
      </c>
      <c r="C281" s="0" t="s">
        <v>2370</v>
      </c>
      <c r="H281" s="0" t="s">
        <v>1917</v>
      </c>
      <c r="I281" s="0" t="s">
        <v>2371</v>
      </c>
      <c r="S281" s="0" t="s">
        <v>29</v>
      </c>
      <c r="Z281" s="0" t="n">
        <f aca="false">LEN(C281)+LEN(D281)+LEN(E281)+LEN(F281)+LEN(G281)+LEN(H281)+LEN(J281)+LEN(K281)+LEN(L281)+LEN(M281)</f>
        <v>51</v>
      </c>
    </row>
    <row r="282" customFormat="false" ht="15" hidden="false" customHeight="false" outlineLevel="0" collapsed="false">
      <c r="A282" s="0" t="s">
        <v>2372</v>
      </c>
      <c r="B282" s="0" t="n">
        <v>1920</v>
      </c>
      <c r="C282" s="0" t="s">
        <v>2373</v>
      </c>
      <c r="I282" s="0" t="s">
        <v>2374</v>
      </c>
      <c r="Z282" s="0" t="n">
        <f aca="false">LEN(C282)+LEN(D282)+LEN(E282)+LEN(F282)+LEN(G282)+LEN(H282)+LEN(J282)+LEN(K282)+LEN(L282)+LEN(M282)</f>
        <v>47</v>
      </c>
    </row>
    <row r="283" customFormat="false" ht="15" hidden="false" customHeight="false" outlineLevel="0" collapsed="false">
      <c r="A283" s="0" t="s">
        <v>2375</v>
      </c>
      <c r="B283" s="0" t="n">
        <v>1920</v>
      </c>
      <c r="C283" s="0" t="s">
        <v>2376</v>
      </c>
      <c r="H283" s="0" t="s">
        <v>2377</v>
      </c>
      <c r="I283" s="0" t="s">
        <v>2378</v>
      </c>
      <c r="J283" s="0" t="s">
        <v>631</v>
      </c>
      <c r="K283" s="0" t="s">
        <v>1600</v>
      </c>
      <c r="M283" s="0" t="s">
        <v>1802</v>
      </c>
      <c r="N283" s="0" t="s">
        <v>29</v>
      </c>
      <c r="W283" s="0" t="s">
        <v>29</v>
      </c>
      <c r="Z283" s="0" t="n">
        <f aca="false">LEN(C283)+LEN(D283)+LEN(E283)+LEN(F283)+LEN(G283)+LEN(H283)+LEN(J283)+LEN(K283)+LEN(L283)+LEN(M283)</f>
        <v>95</v>
      </c>
    </row>
    <row r="284" customFormat="false" ht="15" hidden="false" customHeight="false" outlineLevel="0" collapsed="false">
      <c r="A284" s="0" t="s">
        <v>2379</v>
      </c>
      <c r="B284" s="0" t="n">
        <v>1920</v>
      </c>
      <c r="C284" s="0" t="s">
        <v>2380</v>
      </c>
      <c r="H284" s="0" t="s">
        <v>2381</v>
      </c>
      <c r="I284" s="0" t="s">
        <v>2382</v>
      </c>
      <c r="J284" s="0" t="s">
        <v>2383</v>
      </c>
      <c r="K284" s="0" t="s">
        <v>386</v>
      </c>
      <c r="M284" s="0" t="s">
        <v>2384</v>
      </c>
      <c r="U284" s="0" t="s">
        <v>29</v>
      </c>
      <c r="Z284" s="0" t="n">
        <f aca="false">LEN(C284)+LEN(D284)+LEN(E284)+LEN(F284)+LEN(G284)+LEN(H284)+LEN(J284)+LEN(K284)+LEN(L284)+LEN(M284)</f>
        <v>63</v>
      </c>
    </row>
    <row r="285" customFormat="false" ht="15" hidden="false" customHeight="false" outlineLevel="0" collapsed="false">
      <c r="A285" s="0" t="s">
        <v>2385</v>
      </c>
      <c r="B285" s="0" t="n">
        <v>1920</v>
      </c>
      <c r="C285" s="0" t="s">
        <v>2386</v>
      </c>
      <c r="I285" s="0" t="s">
        <v>2387</v>
      </c>
      <c r="Z285" s="0" t="n">
        <f aca="false">LEN(C285)+LEN(D285)+LEN(E285)+LEN(F285)+LEN(G285)+LEN(H285)+LEN(J285)+LEN(K285)+LEN(L285)+LEN(M285)</f>
        <v>35</v>
      </c>
    </row>
    <row r="286" customFormat="false" ht="15" hidden="false" customHeight="false" outlineLevel="0" collapsed="false">
      <c r="A286" s="0" t="s">
        <v>2388</v>
      </c>
      <c r="B286" s="0" t="n">
        <v>1920</v>
      </c>
      <c r="C286" s="0" t="s">
        <v>2389</v>
      </c>
      <c r="H286" s="0" t="s">
        <v>2390</v>
      </c>
      <c r="I286" s="0" t="s">
        <v>2391</v>
      </c>
      <c r="Z286" s="0" t="n">
        <f aca="false">LEN(C286)+LEN(D286)+LEN(E286)+LEN(F286)+LEN(G286)+LEN(H286)+LEN(J286)+LEN(K286)+LEN(L286)+LEN(M286)</f>
        <v>59</v>
      </c>
    </row>
    <row r="287" customFormat="false" ht="15" hidden="false" customHeight="false" outlineLevel="0" collapsed="false">
      <c r="A287" s="0" t="s">
        <v>2392</v>
      </c>
      <c r="B287" s="0" t="n">
        <v>1922</v>
      </c>
      <c r="C287" s="0" t="s">
        <v>2393</v>
      </c>
      <c r="H287" s="0" t="s">
        <v>2154</v>
      </c>
      <c r="I287" s="0" t="s">
        <v>2394</v>
      </c>
      <c r="Z287" s="0" t="n">
        <f aca="false">LEN(C287)+LEN(D287)+LEN(E287)+LEN(F287)+LEN(G287)+LEN(H287)+LEN(J287)+LEN(K287)+LEN(L287)+LEN(M287)</f>
        <v>43</v>
      </c>
    </row>
    <row r="288" customFormat="false" ht="15" hidden="false" customHeight="false" outlineLevel="0" collapsed="false">
      <c r="A288" s="0" t="s">
        <v>2395</v>
      </c>
      <c r="B288" s="0" t="n">
        <v>1922</v>
      </c>
      <c r="C288" s="0" t="s">
        <v>2396</v>
      </c>
      <c r="D288" s="7" t="n">
        <v>100000</v>
      </c>
      <c r="E288" s="0" t="s">
        <v>2397</v>
      </c>
      <c r="I288" s="0" t="s">
        <v>2398</v>
      </c>
      <c r="P288" s="0" t="s">
        <v>29</v>
      </c>
      <c r="Z288" s="0" t="n">
        <f aca="false">LEN(C288)+LEN(D288)+LEN(E288)+LEN(F288)+LEN(G288)+LEN(H288)+LEN(J288)+LEN(K288)+LEN(L288)+LEN(M288)</f>
        <v>52</v>
      </c>
    </row>
    <row r="289" customFormat="false" ht="15" hidden="false" customHeight="false" outlineLevel="0" collapsed="false">
      <c r="A289" s="0" t="s">
        <v>2399</v>
      </c>
      <c r="B289" s="0" t="n">
        <v>1922</v>
      </c>
      <c r="C289" s="0" t="s">
        <v>2400</v>
      </c>
      <c r="I289" s="0" t="s">
        <v>2401</v>
      </c>
      <c r="N289" s="0" t="s">
        <v>29</v>
      </c>
      <c r="Z289" s="0" t="n">
        <f aca="false">LEN(C289)+LEN(D289)+LEN(E289)+LEN(F289)+LEN(G289)+LEN(H289)+LEN(J289)+LEN(K289)+LEN(L289)+LEN(M289)</f>
        <v>41</v>
      </c>
    </row>
    <row r="290" customFormat="false" ht="15" hidden="false" customHeight="false" outlineLevel="0" collapsed="false">
      <c r="A290" s="0" t="s">
        <v>2402</v>
      </c>
      <c r="B290" s="0" t="n">
        <v>1922</v>
      </c>
      <c r="C290" s="0" t="s">
        <v>2403</v>
      </c>
      <c r="I290" s="0" t="s">
        <v>2403</v>
      </c>
      <c r="Z290" s="0" t="n">
        <f aca="false">LEN(C290)+LEN(D290)+LEN(E290)+LEN(F290)+LEN(G290)+LEN(H290)+LEN(J290)+LEN(K290)+LEN(L290)+LEN(M290)</f>
        <v>31</v>
      </c>
    </row>
    <row r="291" customFormat="false" ht="15" hidden="false" customHeight="false" outlineLevel="0" collapsed="false">
      <c r="A291" s="0" t="s">
        <v>2404</v>
      </c>
      <c r="B291" s="0" t="n">
        <v>1922</v>
      </c>
      <c r="C291" s="0" t="s">
        <v>2405</v>
      </c>
      <c r="I291" s="0" t="s">
        <v>2405</v>
      </c>
      <c r="Z291" s="0" t="n">
        <f aca="false">LEN(C291)+LEN(D291)+LEN(E291)+LEN(F291)+LEN(G291)+LEN(H291)+LEN(J291)+LEN(K291)+LEN(L291)+LEN(M291)</f>
        <v>41</v>
      </c>
    </row>
    <row r="292" customFormat="false" ht="15" hidden="false" customHeight="false" outlineLevel="0" collapsed="false">
      <c r="A292" s="0" t="s">
        <v>2406</v>
      </c>
      <c r="B292" s="0" t="n">
        <v>1922</v>
      </c>
      <c r="C292" s="0" t="s">
        <v>2407</v>
      </c>
      <c r="D292" s="7" t="n">
        <v>4000000</v>
      </c>
      <c r="G292" s="0" t="s">
        <v>2177</v>
      </c>
      <c r="H292" s="0" t="s">
        <v>1556</v>
      </c>
      <c r="I292" s="0" t="s">
        <v>2408</v>
      </c>
      <c r="J292" s="0" t="s">
        <v>2409</v>
      </c>
      <c r="K292" s="0" t="s">
        <v>964</v>
      </c>
      <c r="M292" s="0" t="s">
        <v>1408</v>
      </c>
      <c r="N292" s="0" t="s">
        <v>69</v>
      </c>
      <c r="W292" s="0" t="s">
        <v>29</v>
      </c>
      <c r="Y292" s="0" t="n">
        <v>1</v>
      </c>
      <c r="Z292" s="0" t="n">
        <f aca="false">LEN(C292)+LEN(D292)+LEN(E292)+LEN(F292)+LEN(G292)+LEN(H292)+LEN(J292)+LEN(K292)+LEN(L292)+LEN(M292)</f>
        <v>78</v>
      </c>
    </row>
    <row r="293" customFormat="false" ht="15" hidden="false" customHeight="false" outlineLevel="0" collapsed="false">
      <c r="A293" s="0" t="s">
        <v>2410</v>
      </c>
      <c r="B293" s="0" t="n">
        <v>1922</v>
      </c>
      <c r="C293" s="0" t="s">
        <v>2411</v>
      </c>
      <c r="H293" s="0" t="s">
        <v>1556</v>
      </c>
      <c r="I293" s="0" t="s">
        <v>2412</v>
      </c>
      <c r="N293" s="0" t="s">
        <v>29</v>
      </c>
      <c r="Z293" s="0" t="n">
        <f aca="false">LEN(C293)+LEN(D293)+LEN(E293)+LEN(F293)+LEN(G293)+LEN(H293)+LEN(J293)+LEN(K293)+LEN(L293)+LEN(M293)</f>
        <v>72</v>
      </c>
    </row>
    <row r="294" customFormat="false" ht="15" hidden="false" customHeight="false" outlineLevel="0" collapsed="false">
      <c r="A294" s="0" t="s">
        <v>2413</v>
      </c>
      <c r="B294" s="0" t="n">
        <v>1922</v>
      </c>
      <c r="C294" s="0" t="s">
        <v>2414</v>
      </c>
      <c r="H294" s="0" t="s">
        <v>1556</v>
      </c>
      <c r="I294" s="0" t="s">
        <v>2415</v>
      </c>
      <c r="J294" s="0" t="s">
        <v>561</v>
      </c>
      <c r="K294" s="0" t="s">
        <v>2416</v>
      </c>
      <c r="M294" s="0" t="s">
        <v>1802</v>
      </c>
      <c r="N294" s="0" t="s">
        <v>29</v>
      </c>
      <c r="W294" s="0" t="s">
        <v>29</v>
      </c>
      <c r="Z294" s="0" t="n">
        <f aca="false">LEN(C294)+LEN(D294)+LEN(E294)+LEN(F294)+LEN(G294)+LEN(H294)+LEN(J294)+LEN(K294)+LEN(L294)+LEN(M294)</f>
        <v>60</v>
      </c>
    </row>
    <row r="295" customFormat="false" ht="15" hidden="false" customHeight="false" outlineLevel="0" collapsed="false">
      <c r="A295" s="0" t="s">
        <v>2417</v>
      </c>
      <c r="B295" s="0" t="n">
        <v>1922</v>
      </c>
      <c r="C295" s="0" t="s">
        <v>2418</v>
      </c>
      <c r="I295" s="0" t="s">
        <v>2419</v>
      </c>
      <c r="J295" s="0" t="s">
        <v>2420</v>
      </c>
      <c r="K295" s="0" t="s">
        <v>2421</v>
      </c>
      <c r="M295" s="0" t="s">
        <v>1408</v>
      </c>
      <c r="U295" s="0" t="s">
        <v>29</v>
      </c>
      <c r="Z295" s="0" t="n">
        <f aca="false">LEN(C295)+LEN(D295)+LEN(E295)+LEN(F295)+LEN(G295)+LEN(H295)+LEN(J295)+LEN(K295)+LEN(L295)+LEN(M295)</f>
        <v>65</v>
      </c>
    </row>
    <row r="296" customFormat="false" ht="15" hidden="false" customHeight="false" outlineLevel="0" collapsed="false">
      <c r="A296" s="0" t="s">
        <v>2422</v>
      </c>
      <c r="B296" s="0" t="n">
        <v>1922</v>
      </c>
      <c r="C296" s="0" t="s">
        <v>2423</v>
      </c>
      <c r="I296" s="0" t="s">
        <v>1844</v>
      </c>
      <c r="N296" s="0" t="s">
        <v>29</v>
      </c>
      <c r="Z296" s="0" t="n">
        <f aca="false">LEN(C296)+LEN(D296)+LEN(E296)+LEN(F296)+LEN(G296)+LEN(H296)+LEN(J296)+LEN(K296)+LEN(L296)+LEN(M296)</f>
        <v>44</v>
      </c>
    </row>
    <row r="297" customFormat="false" ht="15" hidden="false" customHeight="false" outlineLevel="0" collapsed="false">
      <c r="A297" s="0" t="s">
        <v>2424</v>
      </c>
      <c r="B297" s="0" t="n">
        <v>1922</v>
      </c>
      <c r="C297" s="0" t="s">
        <v>2425</v>
      </c>
      <c r="I297" s="0" t="s">
        <v>2426</v>
      </c>
      <c r="Z297" s="0" t="n">
        <f aca="false">LEN(C297)+LEN(D297)+LEN(E297)+LEN(F297)+LEN(G297)+LEN(H297)+LEN(J297)+LEN(K297)+LEN(L297)+LEN(M297)</f>
        <v>50</v>
      </c>
    </row>
    <row r="298" customFormat="false" ht="15" hidden="false" customHeight="false" outlineLevel="0" collapsed="false">
      <c r="A298" s="0" t="s">
        <v>2427</v>
      </c>
      <c r="B298" s="0" t="n">
        <v>1922</v>
      </c>
      <c r="C298" s="0" t="s">
        <v>2428</v>
      </c>
      <c r="I298" s="0" t="s">
        <v>2428</v>
      </c>
      <c r="N298" s="0" t="s">
        <v>69</v>
      </c>
      <c r="Y298" s="0" t="n">
        <v>1</v>
      </c>
      <c r="Z298" s="0" t="n">
        <f aca="false">LEN(C298)+LEN(D298)+LEN(E298)+LEN(F298)+LEN(G298)+LEN(H298)+LEN(J298)+LEN(K298)+LEN(L298)+LEN(M298)</f>
        <v>51</v>
      </c>
    </row>
    <row r="299" customFormat="false" ht="15" hidden="false" customHeight="false" outlineLevel="0" collapsed="false">
      <c r="A299" s="0" t="s">
        <v>2429</v>
      </c>
      <c r="B299" s="0" t="n">
        <v>1922</v>
      </c>
      <c r="C299" s="0" t="s">
        <v>2430</v>
      </c>
      <c r="D299" s="0" t="n">
        <v>150000</v>
      </c>
      <c r="G299" s="0" t="s">
        <v>2431</v>
      </c>
      <c r="I299" s="0" t="s">
        <v>2432</v>
      </c>
      <c r="Z299" s="0" t="n">
        <f aca="false">LEN(C299)+LEN(D299)+LEN(E299)+LEN(F299)+LEN(G299)+LEN(H299)+LEN(J299)+LEN(K299)+LEN(L299)+LEN(M299)</f>
        <v>48</v>
      </c>
    </row>
    <row r="300" customFormat="false" ht="15" hidden="false" customHeight="false" outlineLevel="0" collapsed="false">
      <c r="A300" s="0" t="s">
        <v>2433</v>
      </c>
      <c r="B300" s="0" t="n">
        <v>1922</v>
      </c>
      <c r="C300" s="0" t="s">
        <v>2434</v>
      </c>
      <c r="H300" s="0" t="s">
        <v>2435</v>
      </c>
      <c r="I300" s="0" t="s">
        <v>2434</v>
      </c>
      <c r="Z300" s="0" t="n">
        <f aca="false">LEN(C300)+LEN(D300)+LEN(E300)+LEN(F300)+LEN(G300)+LEN(H300)+LEN(J300)+LEN(K300)+LEN(L300)+LEN(M300)</f>
        <v>40</v>
      </c>
    </row>
    <row r="301" customFormat="false" ht="15" hidden="false" customHeight="false" outlineLevel="0" collapsed="false">
      <c r="A301" s="0" t="s">
        <v>2436</v>
      </c>
      <c r="B301" s="0" t="n">
        <v>1922</v>
      </c>
      <c r="C301" s="0" t="s">
        <v>2193</v>
      </c>
      <c r="I301" s="0" t="s">
        <v>2437</v>
      </c>
      <c r="Z301" s="0" t="n">
        <f aca="false">LEN(C301)+LEN(D301)+LEN(E301)+LEN(F301)+LEN(G301)+LEN(H301)+LEN(J301)+LEN(K301)+LEN(L301)+LEN(M301)</f>
        <v>39</v>
      </c>
    </row>
    <row r="302" customFormat="false" ht="15" hidden="false" customHeight="false" outlineLevel="0" collapsed="false">
      <c r="A302" s="0" t="s">
        <v>2438</v>
      </c>
      <c r="B302" s="0" t="n">
        <v>1922</v>
      </c>
      <c r="C302" s="0" t="s">
        <v>2439</v>
      </c>
      <c r="I302" s="0" t="s">
        <v>2440</v>
      </c>
      <c r="N302" s="0" t="s">
        <v>69</v>
      </c>
      <c r="Y302" s="0" t="n">
        <v>2</v>
      </c>
      <c r="Z302" s="0" t="n">
        <f aca="false">LEN(C302)+LEN(D302)+LEN(E302)+LEN(F302)+LEN(G302)+LEN(H302)+LEN(J302)+LEN(K302)+LEN(L302)+LEN(M302)</f>
        <v>37</v>
      </c>
    </row>
    <row r="303" customFormat="false" ht="15" hidden="false" customHeight="false" outlineLevel="0" collapsed="false">
      <c r="A303" s="0" t="s">
        <v>2441</v>
      </c>
      <c r="B303" s="0" t="n">
        <v>1922</v>
      </c>
      <c r="C303" s="0" t="s">
        <v>2442</v>
      </c>
      <c r="I303" s="0" t="s">
        <v>2443</v>
      </c>
      <c r="N303" s="0" t="s">
        <v>29</v>
      </c>
      <c r="Z303" s="0" t="n">
        <f aca="false">LEN(C303)+LEN(D303)+LEN(E303)+LEN(F303)+LEN(G303)+LEN(H303)+LEN(J303)+LEN(K303)+LEN(L303)+LEN(M303)</f>
        <v>63</v>
      </c>
    </row>
    <row r="304" customFormat="false" ht="15" hidden="false" customHeight="false" outlineLevel="0" collapsed="false">
      <c r="A304" s="0" t="s">
        <v>2444</v>
      </c>
      <c r="B304" s="0" t="n">
        <v>1922</v>
      </c>
      <c r="C304" s="0" t="s">
        <v>2445</v>
      </c>
      <c r="D304" s="0" t="n">
        <v>75000</v>
      </c>
      <c r="G304" s="0" t="s">
        <v>2446</v>
      </c>
      <c r="H304" s="0" t="s">
        <v>2447</v>
      </c>
      <c r="I304" s="0" t="s">
        <v>2448</v>
      </c>
      <c r="Z304" s="0" t="n">
        <f aca="false">LEN(C304)+LEN(D304)+LEN(E304)+LEN(F304)+LEN(G304)+LEN(H304)+LEN(J304)+LEN(K304)+LEN(L304)+LEN(M304)</f>
        <v>68</v>
      </c>
    </row>
    <row r="305" customFormat="false" ht="15" hidden="false" customHeight="false" outlineLevel="0" collapsed="false">
      <c r="A305" s="0" t="s">
        <v>2449</v>
      </c>
      <c r="B305" s="0" t="n">
        <v>1922</v>
      </c>
      <c r="C305" s="0" t="s">
        <v>2450</v>
      </c>
      <c r="H305" s="0" t="s">
        <v>2451</v>
      </c>
      <c r="I305" s="0" t="s">
        <v>2452</v>
      </c>
      <c r="Z305" s="0" t="n">
        <f aca="false">LEN(C305)+LEN(D305)+LEN(E305)+LEN(F305)+LEN(G305)+LEN(H305)+LEN(J305)+LEN(K305)+LEN(L305)+LEN(M305)</f>
        <v>60</v>
      </c>
    </row>
    <row r="306" customFormat="false" ht="15" hidden="false" customHeight="false" outlineLevel="0" collapsed="false">
      <c r="A306" s="0" t="s">
        <v>2453</v>
      </c>
      <c r="B306" s="0" t="n">
        <v>1922</v>
      </c>
      <c r="C306" s="0" t="s">
        <v>2454</v>
      </c>
      <c r="H306" s="0" t="s">
        <v>2455</v>
      </c>
      <c r="I306" s="0" t="s">
        <v>2456</v>
      </c>
      <c r="N306" s="0" t="s">
        <v>29</v>
      </c>
      <c r="P306" s="0" t="s">
        <v>29</v>
      </c>
      <c r="Z306" s="0" t="n">
        <f aca="false">LEN(C306)+LEN(D306)+LEN(E306)+LEN(F306)+LEN(G306)+LEN(H306)+LEN(J306)+LEN(K306)+LEN(L306)+LEN(M306)</f>
        <v>114</v>
      </c>
    </row>
    <row r="307" customFormat="false" ht="15" hidden="false" customHeight="false" outlineLevel="0" collapsed="false">
      <c r="A307" s="0" t="s">
        <v>2457</v>
      </c>
      <c r="B307" s="0" t="n">
        <v>1922</v>
      </c>
      <c r="C307" s="0" t="s">
        <v>2458</v>
      </c>
      <c r="H307" s="0" t="s">
        <v>2447</v>
      </c>
      <c r="I307" s="0" t="s">
        <v>2459</v>
      </c>
      <c r="J307" s="0" t="s">
        <v>2460</v>
      </c>
      <c r="K307" s="0" t="s">
        <v>394</v>
      </c>
      <c r="M307" s="0" t="s">
        <v>1595</v>
      </c>
      <c r="U307" s="0" t="s">
        <v>29</v>
      </c>
      <c r="W307" s="0" t="s">
        <v>29</v>
      </c>
      <c r="Z307" s="0" t="n">
        <f aca="false">LEN(C307)+LEN(D307)+LEN(E307)+LEN(F307)+LEN(G307)+LEN(H307)+LEN(J307)+LEN(K307)+LEN(L307)+LEN(M307)</f>
        <v>60</v>
      </c>
    </row>
    <row r="308" customFormat="false" ht="15" hidden="false" customHeight="false" outlineLevel="0" collapsed="false">
      <c r="A308" s="0" t="s">
        <v>2461</v>
      </c>
      <c r="B308" s="0" t="n">
        <v>1922</v>
      </c>
      <c r="C308" s="0" t="s">
        <v>2462</v>
      </c>
      <c r="I308" s="0" t="s">
        <v>2463</v>
      </c>
      <c r="N308" s="0" t="s">
        <v>29</v>
      </c>
      <c r="Z308" s="0" t="n">
        <f aca="false">LEN(C308)+LEN(D308)+LEN(E308)+LEN(F308)+LEN(G308)+LEN(H308)+LEN(J308)+LEN(K308)+LEN(L308)+LEN(M308)</f>
        <v>56</v>
      </c>
    </row>
    <row r="309" customFormat="false" ht="15" hidden="false" customHeight="false" outlineLevel="0" collapsed="false">
      <c r="A309" s="0" t="s">
        <v>2464</v>
      </c>
      <c r="B309" s="0" t="n">
        <v>1922</v>
      </c>
      <c r="C309" s="0" t="s">
        <v>2465</v>
      </c>
      <c r="D309" s="0" t="n">
        <v>2500000</v>
      </c>
      <c r="G309" s="0" t="s">
        <v>2466</v>
      </c>
      <c r="I309" s="0" t="s">
        <v>2467</v>
      </c>
      <c r="Z309" s="0" t="n">
        <f aca="false">LEN(C309)+LEN(D309)+LEN(E309)+LEN(F309)+LEN(G309)+LEN(H309)+LEN(J309)+LEN(K309)+LEN(L309)+LEN(M309)</f>
        <v>69</v>
      </c>
    </row>
    <row r="310" customFormat="false" ht="15" hidden="false" customHeight="false" outlineLevel="0" collapsed="false">
      <c r="A310" s="0" t="s">
        <v>2468</v>
      </c>
      <c r="B310" s="0" t="n">
        <v>1922</v>
      </c>
      <c r="C310" s="0" t="s">
        <v>2469</v>
      </c>
      <c r="H310" s="0" t="s">
        <v>2470</v>
      </c>
      <c r="I310" s="0" t="s">
        <v>2471</v>
      </c>
      <c r="J310" s="0" t="s">
        <v>52</v>
      </c>
      <c r="K310" s="0" t="s">
        <v>954</v>
      </c>
      <c r="M310" s="0" t="s">
        <v>1408</v>
      </c>
      <c r="N310" s="0" t="s">
        <v>69</v>
      </c>
      <c r="S310" s="0" t="s">
        <v>29</v>
      </c>
      <c r="W310" s="0" t="s">
        <v>29</v>
      </c>
      <c r="Y310" s="0" t="n">
        <v>2</v>
      </c>
      <c r="Z310" s="0" t="n">
        <f aca="false">LEN(C310)+LEN(D310)+LEN(E310)+LEN(F310)+LEN(G310)+LEN(H310)+LEN(J310)+LEN(K310)+LEN(L310)+LEN(M310)</f>
        <v>82</v>
      </c>
    </row>
    <row r="311" customFormat="false" ht="15" hidden="false" customHeight="false" outlineLevel="0" collapsed="false">
      <c r="A311" s="0" t="s">
        <v>2472</v>
      </c>
      <c r="B311" s="0" t="n">
        <v>1922</v>
      </c>
      <c r="C311" s="0" t="s">
        <v>2473</v>
      </c>
      <c r="I311" s="0" t="s">
        <v>2474</v>
      </c>
      <c r="N311" s="0" t="s">
        <v>29</v>
      </c>
      <c r="Z311" s="0" t="n">
        <f aca="false">LEN(C311)+LEN(D311)+LEN(E311)+LEN(F311)+LEN(G311)+LEN(H311)+LEN(J311)+LEN(K311)+LEN(L311)+LEN(M311)</f>
        <v>63</v>
      </c>
    </row>
    <row r="312" customFormat="false" ht="15" hidden="false" customHeight="false" outlineLevel="0" collapsed="false">
      <c r="A312" s="0" t="s">
        <v>2475</v>
      </c>
      <c r="B312" s="0" t="n">
        <v>1922</v>
      </c>
      <c r="C312" s="0" t="s">
        <v>2476</v>
      </c>
      <c r="I312" s="0" t="s">
        <v>2477</v>
      </c>
      <c r="J312" s="0" t="s">
        <v>2478</v>
      </c>
      <c r="K312" s="0" t="s">
        <v>1734</v>
      </c>
      <c r="L312" s="0" t="s">
        <v>526</v>
      </c>
      <c r="M312" s="0" t="s">
        <v>1595</v>
      </c>
      <c r="N312" s="0" t="s">
        <v>69</v>
      </c>
      <c r="U312" s="0" t="s">
        <v>29</v>
      </c>
      <c r="Y312" s="0" t="n">
        <v>1</v>
      </c>
      <c r="Z312" s="0" t="n">
        <f aca="false">LEN(C312)+LEN(D312)+LEN(E312)+LEN(F312)+LEN(G312)+LEN(H312)+LEN(J312)+LEN(K312)+LEN(L312)+LEN(M312)</f>
        <v>70</v>
      </c>
    </row>
    <row r="313" customFormat="false" ht="15" hidden="false" customHeight="false" outlineLevel="0" collapsed="false">
      <c r="A313" s="0" t="s">
        <v>2479</v>
      </c>
      <c r="B313" s="0" t="n">
        <v>1922</v>
      </c>
      <c r="C313" s="0" t="s">
        <v>2480</v>
      </c>
      <c r="I313" s="0" t="s">
        <v>2481</v>
      </c>
      <c r="N313" s="0" t="s">
        <v>29</v>
      </c>
      <c r="Z313" s="0" t="n">
        <f aca="false">LEN(C313)+LEN(D313)+LEN(E313)+LEN(F313)+LEN(G313)+LEN(H313)+LEN(J313)+LEN(K313)+LEN(L313)+LEN(M313)</f>
        <v>121</v>
      </c>
    </row>
    <row r="314" customFormat="false" ht="15" hidden="false" customHeight="false" outlineLevel="0" collapsed="false">
      <c r="A314" s="0" t="s">
        <v>2482</v>
      </c>
      <c r="B314" s="0" t="n">
        <v>1922</v>
      </c>
      <c r="C314" s="0" t="s">
        <v>2483</v>
      </c>
      <c r="I314" s="0" t="s">
        <v>2484</v>
      </c>
      <c r="N314" s="0" t="s">
        <v>69</v>
      </c>
      <c r="Y314" s="0" t="n">
        <v>1</v>
      </c>
      <c r="Z314" s="0" t="n">
        <f aca="false">LEN(C314)+LEN(D314)+LEN(E314)+LEN(F314)+LEN(G314)+LEN(H314)+LEN(J314)+LEN(K314)+LEN(L314)+LEN(M314)</f>
        <v>48</v>
      </c>
    </row>
    <row r="315" customFormat="false" ht="15" hidden="false" customHeight="false" outlineLevel="0" collapsed="false">
      <c r="A315" s="0" t="s">
        <v>2485</v>
      </c>
      <c r="B315" s="0" t="n">
        <v>1922</v>
      </c>
      <c r="C315" s="0" t="s">
        <v>2486</v>
      </c>
      <c r="D315" s="0" t="n">
        <v>3270000</v>
      </c>
      <c r="G315" s="0" t="s">
        <v>2487</v>
      </c>
      <c r="H315" s="0" t="s">
        <v>2488</v>
      </c>
      <c r="I315" s="0" t="s">
        <v>2489</v>
      </c>
      <c r="J315" s="0" t="s">
        <v>2490</v>
      </c>
      <c r="K315" s="0" t="s">
        <v>2491</v>
      </c>
      <c r="M315" s="0" t="s">
        <v>1408</v>
      </c>
      <c r="N315" s="6" t="s">
        <v>29</v>
      </c>
      <c r="U315" s="0" t="s">
        <v>29</v>
      </c>
      <c r="V315" s="0" t="s">
        <v>29</v>
      </c>
      <c r="W315" s="0" t="s">
        <v>29</v>
      </c>
      <c r="Z315" s="0" t="n">
        <f aca="false">LEN(C315)+LEN(D315)+LEN(E315)+LEN(F315)+LEN(G315)+LEN(H315)+LEN(J315)+LEN(K315)+LEN(L315)+LEN(M315)</f>
        <v>79</v>
      </c>
    </row>
    <row r="316" customFormat="false" ht="15" hidden="false" customHeight="false" outlineLevel="0" collapsed="false">
      <c r="A316" s="0" t="s">
        <v>2492</v>
      </c>
      <c r="B316" s="0" t="n">
        <v>1922</v>
      </c>
      <c r="C316" s="0" t="s">
        <v>2493</v>
      </c>
      <c r="I316" s="0" t="s">
        <v>2494</v>
      </c>
      <c r="Z316" s="0" t="n">
        <f aca="false">LEN(C316)+LEN(D316)+LEN(E316)+LEN(F316)+LEN(G316)+LEN(H316)+LEN(J316)+LEN(K316)+LEN(L316)+LEN(M316)</f>
        <v>41</v>
      </c>
    </row>
    <row r="317" customFormat="false" ht="15" hidden="false" customHeight="false" outlineLevel="0" collapsed="false">
      <c r="A317" s="0" t="s">
        <v>2495</v>
      </c>
      <c r="B317" s="0" t="n">
        <v>1922</v>
      </c>
      <c r="C317" s="0" t="s">
        <v>2496</v>
      </c>
      <c r="I317" s="0" t="s">
        <v>2496</v>
      </c>
      <c r="Z317" s="0" t="n">
        <f aca="false">LEN(C317)+LEN(D317)+LEN(E317)+LEN(F317)+LEN(G317)+LEN(H317)+LEN(J317)+LEN(K317)+LEN(L317)+LEN(M317)</f>
        <v>39</v>
      </c>
    </row>
    <row r="318" customFormat="false" ht="15" hidden="false" customHeight="false" outlineLevel="0" collapsed="false">
      <c r="A318" s="0" t="s">
        <v>2497</v>
      </c>
      <c r="B318" s="0" t="n">
        <v>1922</v>
      </c>
      <c r="C318" s="0" t="s">
        <v>2498</v>
      </c>
      <c r="H318" s="0" t="s">
        <v>2499</v>
      </c>
      <c r="I318" s="0" t="s">
        <v>2500</v>
      </c>
      <c r="P318" s="0" t="s">
        <v>29</v>
      </c>
      <c r="Z318" s="0" t="n">
        <f aca="false">LEN(C318)+LEN(D318)+LEN(E318)+LEN(F318)+LEN(G318)+LEN(H318)+LEN(J318)+LEN(K318)+LEN(L318)+LEN(M318)</f>
        <v>55</v>
      </c>
    </row>
    <row r="319" customFormat="false" ht="15" hidden="false" customHeight="false" outlineLevel="0" collapsed="false">
      <c r="A319" s="0" t="s">
        <v>2501</v>
      </c>
      <c r="B319" s="0" t="n">
        <v>1922</v>
      </c>
      <c r="C319" s="0" t="s">
        <v>2502</v>
      </c>
      <c r="H319" s="0" t="s">
        <v>1662</v>
      </c>
      <c r="I319" s="0" t="s">
        <v>2503</v>
      </c>
      <c r="Z319" s="0" t="n">
        <f aca="false">LEN(C319)+LEN(D319)+LEN(E319)+LEN(F319)+LEN(G319)+LEN(H319)+LEN(J319)+LEN(K319)+LEN(L319)+LEN(M319)</f>
        <v>43</v>
      </c>
    </row>
    <row r="320" customFormat="false" ht="15" hidden="false" customHeight="false" outlineLevel="0" collapsed="false">
      <c r="A320" s="0" t="s">
        <v>2504</v>
      </c>
      <c r="B320" s="0" t="n">
        <v>1922</v>
      </c>
      <c r="C320" s="0" t="s">
        <v>2505</v>
      </c>
      <c r="I320" s="0" t="s">
        <v>2506</v>
      </c>
      <c r="J320" s="0" t="s">
        <v>2507</v>
      </c>
      <c r="K320" s="0" t="s">
        <v>1707</v>
      </c>
      <c r="M320" s="0" t="s">
        <v>1408</v>
      </c>
      <c r="W320" s="0" t="s">
        <v>29</v>
      </c>
      <c r="Z320" s="0" t="n">
        <f aca="false">LEN(C320)+LEN(D320)+LEN(E320)+LEN(F320)+LEN(G320)+LEN(H320)+LEN(J320)+LEN(K320)+LEN(L320)+LEN(M320)</f>
        <v>69</v>
      </c>
    </row>
    <row r="321" customFormat="false" ht="15" hidden="false" customHeight="false" outlineLevel="0" collapsed="false">
      <c r="A321" s="0" t="s">
        <v>2508</v>
      </c>
      <c r="B321" s="0" t="n">
        <v>1922</v>
      </c>
      <c r="C321" s="0" t="s">
        <v>2509</v>
      </c>
      <c r="D321" s="0" t="n">
        <v>1500000</v>
      </c>
      <c r="G321" s="0" t="s">
        <v>2510</v>
      </c>
      <c r="H321" s="0" t="s">
        <v>2511</v>
      </c>
      <c r="I321" s="0" t="s">
        <v>2512</v>
      </c>
      <c r="N321" s="0" t="s">
        <v>29</v>
      </c>
      <c r="Z321" s="0" t="n">
        <f aca="false">LEN(C321)+LEN(D321)+LEN(E321)+LEN(F321)+LEN(G321)+LEN(H321)+LEN(J321)+LEN(K321)+LEN(L321)+LEN(M321)</f>
        <v>76</v>
      </c>
    </row>
    <row r="322" customFormat="false" ht="15" hidden="false" customHeight="false" outlineLevel="0" collapsed="false">
      <c r="A322" s="0" t="s">
        <v>2513</v>
      </c>
      <c r="B322" s="0" t="n">
        <v>1922</v>
      </c>
      <c r="C322" s="0" t="s">
        <v>2514</v>
      </c>
      <c r="I322" s="0" t="s">
        <v>2515</v>
      </c>
      <c r="N322" s="0" t="s">
        <v>29</v>
      </c>
      <c r="Z322" s="0" t="n">
        <f aca="false">LEN(C322)+LEN(D322)+LEN(E322)+LEN(F322)+LEN(G322)+LEN(H322)+LEN(J322)+LEN(K322)+LEN(L322)+LEN(M322)</f>
        <v>59</v>
      </c>
    </row>
    <row r="323" customFormat="false" ht="15" hidden="false" customHeight="false" outlineLevel="0" collapsed="false">
      <c r="A323" s="0" t="s">
        <v>2516</v>
      </c>
      <c r="B323" s="0" t="n">
        <v>1922</v>
      </c>
      <c r="C323" s="0" t="s">
        <v>2517</v>
      </c>
      <c r="I323" s="0" t="s">
        <v>2518</v>
      </c>
      <c r="Z323" s="0" t="n">
        <f aca="false">LEN(C323)+LEN(D323)+LEN(E323)+LEN(F323)+LEN(G323)+LEN(H323)+LEN(J323)+LEN(K323)+LEN(L323)+LEN(M323)</f>
        <v>35</v>
      </c>
    </row>
    <row r="324" customFormat="false" ht="15" hidden="false" customHeight="false" outlineLevel="0" collapsed="false">
      <c r="A324" s="0" t="s">
        <v>2519</v>
      </c>
      <c r="B324" s="0" t="n">
        <v>1922</v>
      </c>
      <c r="C324" s="0" t="s">
        <v>2520</v>
      </c>
      <c r="H324" s="0" t="s">
        <v>2521</v>
      </c>
      <c r="I324" s="0" t="s">
        <v>2522</v>
      </c>
      <c r="J324" s="0" t="s">
        <v>2523</v>
      </c>
      <c r="K324" s="0" t="s">
        <v>385</v>
      </c>
      <c r="L324" s="0" t="s">
        <v>1391</v>
      </c>
      <c r="M324" s="0" t="s">
        <v>1408</v>
      </c>
      <c r="U324" s="0" t="s">
        <v>29</v>
      </c>
      <c r="Z324" s="0" t="n">
        <f aca="false">LEN(C324)+LEN(D324)+LEN(E324)+LEN(F324)+LEN(G324)+LEN(H324)+LEN(J324)+LEN(K324)+LEN(L324)+LEN(M324)</f>
        <v>59</v>
      </c>
    </row>
    <row r="325" customFormat="false" ht="15" hidden="false" customHeight="false" outlineLevel="0" collapsed="false">
      <c r="A325" s="0" t="s">
        <v>2524</v>
      </c>
      <c r="B325" s="0" t="n">
        <v>1922</v>
      </c>
      <c r="C325" s="0" t="s">
        <v>2321</v>
      </c>
      <c r="H325" s="0" t="s">
        <v>1662</v>
      </c>
      <c r="I325" s="0" t="s">
        <v>2321</v>
      </c>
      <c r="Z325" s="0" t="n">
        <f aca="false">LEN(C325)+LEN(D325)+LEN(E325)+LEN(F325)+LEN(G325)+LEN(H325)+LEN(J325)+LEN(K325)+LEN(L325)+LEN(M325)</f>
        <v>42</v>
      </c>
    </row>
    <row r="326" customFormat="false" ht="15" hidden="false" customHeight="false" outlineLevel="0" collapsed="false">
      <c r="A326" s="0" t="s">
        <v>2525</v>
      </c>
      <c r="B326" s="0" t="n">
        <v>1922</v>
      </c>
      <c r="C326" s="0" t="s">
        <v>2526</v>
      </c>
      <c r="I326" s="0" t="s">
        <v>2527</v>
      </c>
      <c r="P326" s="0" t="s">
        <v>29</v>
      </c>
      <c r="Z326" s="0" t="n">
        <f aca="false">LEN(C326)+LEN(D326)+LEN(E326)+LEN(F326)+LEN(G326)+LEN(H326)+LEN(J326)+LEN(K326)+LEN(L326)+LEN(M326)</f>
        <v>37</v>
      </c>
    </row>
    <row r="327" customFormat="false" ht="15" hidden="false" customHeight="false" outlineLevel="0" collapsed="false">
      <c r="A327" s="0" t="s">
        <v>2528</v>
      </c>
      <c r="B327" s="0" t="n">
        <v>1922</v>
      </c>
      <c r="C327" s="0" t="s">
        <v>2529</v>
      </c>
      <c r="I327" s="0" t="s">
        <v>2530</v>
      </c>
      <c r="N327" s="0" t="s">
        <v>29</v>
      </c>
      <c r="Z327" s="0" t="n">
        <f aca="false">LEN(C327)+LEN(D327)+LEN(E327)+LEN(F327)+LEN(G327)+LEN(H327)+LEN(J327)+LEN(K327)+LEN(L327)+LEN(M327)</f>
        <v>32</v>
      </c>
    </row>
    <row r="328" customFormat="false" ht="15" hidden="false" customHeight="false" outlineLevel="0" collapsed="false">
      <c r="A328" s="0" t="s">
        <v>2531</v>
      </c>
      <c r="B328" s="0" t="n">
        <v>1922</v>
      </c>
      <c r="C328" s="0" t="s">
        <v>2323</v>
      </c>
      <c r="I328" s="0" t="s">
        <v>2532</v>
      </c>
      <c r="N328" s="0" t="s">
        <v>29</v>
      </c>
      <c r="Z328" s="0" t="n">
        <f aca="false">LEN(C328)+LEN(D328)+LEN(E328)+LEN(F328)+LEN(G328)+LEN(H328)+LEN(J328)+LEN(K328)+LEN(L328)+LEN(M328)</f>
        <v>38</v>
      </c>
    </row>
    <row r="329" customFormat="false" ht="15" hidden="false" customHeight="false" outlineLevel="0" collapsed="false">
      <c r="A329" s="0" t="s">
        <v>2533</v>
      </c>
      <c r="B329" s="0" t="n">
        <v>1922</v>
      </c>
      <c r="C329" s="0" t="s">
        <v>2534</v>
      </c>
      <c r="I329" s="0" t="s">
        <v>2534</v>
      </c>
      <c r="Z329" s="0" t="n">
        <f aca="false">LEN(C329)+LEN(D329)+LEN(E329)+LEN(F329)+LEN(G329)+LEN(H329)+LEN(J329)+LEN(K329)+LEN(L329)+LEN(M329)</f>
        <v>47</v>
      </c>
    </row>
    <row r="330" customFormat="false" ht="15" hidden="false" customHeight="false" outlineLevel="0" collapsed="false">
      <c r="A330" s="0" t="s">
        <v>2535</v>
      </c>
      <c r="B330" s="0" t="n">
        <v>1922</v>
      </c>
      <c r="C330" s="0" t="s">
        <v>2536</v>
      </c>
      <c r="H330" s="0" t="s">
        <v>2537</v>
      </c>
      <c r="I330" s="0" t="s">
        <v>2538</v>
      </c>
      <c r="Z330" s="0" t="n">
        <f aca="false">LEN(C330)+LEN(D330)+LEN(E330)+LEN(F330)+LEN(G330)+LEN(H330)+LEN(J330)+LEN(K330)+LEN(L330)+LEN(M330)</f>
        <v>45</v>
      </c>
    </row>
    <row r="331" customFormat="false" ht="15" hidden="false" customHeight="false" outlineLevel="0" collapsed="false">
      <c r="A331" s="0" t="s">
        <v>2539</v>
      </c>
      <c r="B331" s="0" t="n">
        <v>1922</v>
      </c>
      <c r="C331" s="0" t="s">
        <v>2540</v>
      </c>
      <c r="I331" s="0" t="s">
        <v>2540</v>
      </c>
      <c r="Z331" s="0" t="n">
        <f aca="false">LEN(C331)+LEN(D331)+LEN(E331)+LEN(F331)+LEN(G331)+LEN(H331)+LEN(J331)+LEN(K331)+LEN(L331)+LEN(M331)</f>
        <v>49</v>
      </c>
    </row>
    <row r="332" customFormat="false" ht="15" hidden="false" customHeight="false" outlineLevel="0" collapsed="false">
      <c r="A332" s="0" t="s">
        <v>2541</v>
      </c>
      <c r="B332" s="0" t="n">
        <v>1922</v>
      </c>
      <c r="C332" s="0" t="s">
        <v>2542</v>
      </c>
      <c r="H332" s="0" t="s">
        <v>2543</v>
      </c>
      <c r="I332" s="0" t="s">
        <v>2542</v>
      </c>
      <c r="Z332" s="0" t="n">
        <f aca="false">LEN(C332)+LEN(D332)+LEN(E332)+LEN(F332)+LEN(G332)+LEN(H332)+LEN(J332)+LEN(K332)+LEN(L332)+LEN(M332)</f>
        <v>55</v>
      </c>
    </row>
    <row r="333" customFormat="false" ht="15" hidden="false" customHeight="false" outlineLevel="0" collapsed="false">
      <c r="A333" s="0" t="s">
        <v>2544</v>
      </c>
      <c r="B333" s="0" t="n">
        <v>1922</v>
      </c>
      <c r="C333" s="0" t="s">
        <v>2545</v>
      </c>
      <c r="H333" s="0" t="s">
        <v>2546</v>
      </c>
      <c r="I333" s="0" t="s">
        <v>2545</v>
      </c>
      <c r="Z333" s="0" t="n">
        <f aca="false">LEN(C333)+LEN(D333)+LEN(E333)+LEN(F333)+LEN(G333)+LEN(H333)+LEN(J333)+LEN(K333)+LEN(L333)+LEN(M333)</f>
        <v>48</v>
      </c>
    </row>
    <row r="334" customFormat="false" ht="15" hidden="false" customHeight="false" outlineLevel="0" collapsed="false">
      <c r="A334" s="0" t="s">
        <v>2547</v>
      </c>
      <c r="B334" s="0" t="n">
        <v>1922</v>
      </c>
      <c r="C334" s="0" t="s">
        <v>2548</v>
      </c>
      <c r="E334" s="0" t="s">
        <v>2549</v>
      </c>
      <c r="H334" s="0" t="s">
        <v>2550</v>
      </c>
      <c r="I334" s="0" t="s">
        <v>2551</v>
      </c>
      <c r="Z334" s="0" t="n">
        <f aca="false">LEN(C334)+LEN(D334)+LEN(E334)+LEN(F334)+LEN(G334)+LEN(H334)+LEN(J334)+LEN(K334)+LEN(L334)+LEN(M334)</f>
        <v>73</v>
      </c>
    </row>
    <row r="335" customFormat="false" ht="15" hidden="false" customHeight="false" outlineLevel="0" collapsed="false">
      <c r="A335" s="0" t="s">
        <v>2552</v>
      </c>
      <c r="B335" s="0" t="n">
        <v>1922</v>
      </c>
      <c r="C335" s="0" t="s">
        <v>2553</v>
      </c>
      <c r="H335" s="0" t="s">
        <v>2554</v>
      </c>
      <c r="I335" s="0" t="s">
        <v>2553</v>
      </c>
      <c r="Z335" s="0" t="n">
        <f aca="false">LEN(C335)+LEN(D335)+LEN(E335)+LEN(F335)+LEN(G335)+LEN(H335)+LEN(J335)+LEN(K335)+LEN(L335)+LEN(M335)</f>
        <v>55</v>
      </c>
    </row>
    <row r="336" customFormat="false" ht="15" hidden="false" customHeight="false" outlineLevel="0" collapsed="false">
      <c r="A336" s="0" t="s">
        <v>2555</v>
      </c>
      <c r="B336" s="0" t="n">
        <v>1922</v>
      </c>
      <c r="C336" s="0" t="s">
        <v>2556</v>
      </c>
      <c r="D336" s="7" t="n">
        <v>1000000</v>
      </c>
      <c r="H336" s="0" t="s">
        <v>2557</v>
      </c>
      <c r="I336" s="0" t="s">
        <v>2558</v>
      </c>
      <c r="P336" s="0" t="s">
        <v>29</v>
      </c>
      <c r="Q336" s="0" t="s">
        <v>29</v>
      </c>
      <c r="Z336" s="0" t="n">
        <f aca="false">LEN(C336)+LEN(D336)+LEN(E336)+LEN(F336)+LEN(G336)+LEN(H336)+LEN(J336)+LEN(K336)+LEN(L336)+LEN(M336)</f>
        <v>45</v>
      </c>
    </row>
    <row r="337" customFormat="false" ht="15" hidden="false" customHeight="false" outlineLevel="0" collapsed="false">
      <c r="A337" s="0" t="s">
        <v>2559</v>
      </c>
      <c r="B337" s="0" t="n">
        <v>1922</v>
      </c>
      <c r="C337" s="0" t="s">
        <v>2560</v>
      </c>
      <c r="H337" s="0" t="s">
        <v>2561</v>
      </c>
      <c r="I337" s="0" t="s">
        <v>2562</v>
      </c>
      <c r="J337" s="0" t="s">
        <v>2563</v>
      </c>
      <c r="K337" s="0" t="s">
        <v>526</v>
      </c>
      <c r="L337" s="0" t="s">
        <v>962</v>
      </c>
      <c r="M337" s="0" t="s">
        <v>1408</v>
      </c>
      <c r="U337" s="0" t="s">
        <v>29</v>
      </c>
      <c r="Z337" s="0" t="n">
        <f aca="false">LEN(C337)+LEN(D337)+LEN(E337)+LEN(F337)+LEN(G337)+LEN(H337)+LEN(J337)+LEN(K337)+LEN(L337)+LEN(M337)</f>
        <v>61</v>
      </c>
    </row>
    <row r="338" customFormat="false" ht="15" hidden="false" customHeight="false" outlineLevel="0" collapsed="false">
      <c r="A338" s="0" t="s">
        <v>2564</v>
      </c>
      <c r="B338" s="0" t="n">
        <v>1922</v>
      </c>
      <c r="C338" s="0" t="s">
        <v>2565</v>
      </c>
      <c r="I338" s="0" t="s">
        <v>2566</v>
      </c>
      <c r="N338" s="0" t="s">
        <v>69</v>
      </c>
      <c r="Y338" s="0" t="n">
        <v>2</v>
      </c>
      <c r="Z338" s="0" t="n">
        <f aca="false">LEN(C338)+LEN(D338)+LEN(E338)+LEN(F338)+LEN(G338)+LEN(H338)+LEN(J338)+LEN(K338)+LEN(L338)+LEN(M338)</f>
        <v>35</v>
      </c>
    </row>
    <row r="339" customFormat="false" ht="15" hidden="false" customHeight="false" outlineLevel="0" collapsed="false">
      <c r="A339" s="0" t="s">
        <v>2567</v>
      </c>
      <c r="B339" s="0" t="n">
        <v>1922</v>
      </c>
      <c r="C339" s="0" t="s">
        <v>2568</v>
      </c>
      <c r="H339" s="0" t="s">
        <v>2569</v>
      </c>
      <c r="I339" s="0" t="s">
        <v>2568</v>
      </c>
      <c r="Z339" s="0" t="n">
        <f aca="false">LEN(C339)+LEN(D339)+LEN(E339)+LEN(F339)+LEN(G339)+LEN(H339)+LEN(J339)+LEN(K339)+LEN(L339)+LEN(M339)</f>
        <v>56</v>
      </c>
    </row>
    <row r="340" customFormat="false" ht="15" hidden="false" customHeight="false" outlineLevel="0" collapsed="false">
      <c r="A340" s="0" t="s">
        <v>2570</v>
      </c>
      <c r="B340" s="0" t="n">
        <v>1922</v>
      </c>
      <c r="C340" s="0" t="s">
        <v>2571</v>
      </c>
      <c r="D340" s="7" t="n">
        <v>1000000</v>
      </c>
      <c r="H340" s="0" t="s">
        <v>2572</v>
      </c>
      <c r="I340" s="0" t="s">
        <v>2573</v>
      </c>
      <c r="Q340" s="0" t="s">
        <v>29</v>
      </c>
      <c r="R340" s="0" t="s">
        <v>29</v>
      </c>
      <c r="Z340" s="0" t="n">
        <f aca="false">LEN(C340)+LEN(D340)+LEN(E340)+LEN(F340)+LEN(G340)+LEN(H340)+LEN(J340)+LEN(K340)+LEN(L340)+LEN(M340)</f>
        <v>53</v>
      </c>
    </row>
    <row r="341" customFormat="false" ht="15" hidden="false" customHeight="false" outlineLevel="0" collapsed="false">
      <c r="A341" s="0" t="s">
        <v>2574</v>
      </c>
      <c r="B341" s="0" t="n">
        <v>1922</v>
      </c>
      <c r="C341" s="0" t="s">
        <v>2575</v>
      </c>
      <c r="D341" s="7" t="n">
        <v>100000</v>
      </c>
      <c r="E341" s="0" t="s">
        <v>2576</v>
      </c>
      <c r="H341" s="0" t="s">
        <v>2569</v>
      </c>
      <c r="I341" s="0" t="s">
        <v>2577</v>
      </c>
      <c r="Q341" s="0" t="s">
        <v>29</v>
      </c>
      <c r="R341" s="0" t="s">
        <v>29</v>
      </c>
      <c r="Z341" s="0" t="n">
        <f aca="false">LEN(C341)+LEN(D341)+LEN(E341)+LEN(F341)+LEN(G341)+LEN(H341)+LEN(J341)+LEN(K341)+LEN(L341)+LEN(M341)</f>
        <v>69</v>
      </c>
    </row>
    <row r="342" customFormat="false" ht="15" hidden="false" customHeight="false" outlineLevel="0" collapsed="false">
      <c r="A342" s="0" t="s">
        <v>2578</v>
      </c>
      <c r="B342" s="0" t="n">
        <v>1922</v>
      </c>
      <c r="C342" s="0" t="s">
        <v>2579</v>
      </c>
      <c r="D342" s="7" t="n">
        <v>50000000</v>
      </c>
      <c r="H342" s="0" t="s">
        <v>1763</v>
      </c>
      <c r="I342" s="0" t="s">
        <v>2580</v>
      </c>
      <c r="P342" s="0" t="s">
        <v>29</v>
      </c>
      <c r="Z342" s="0" t="n">
        <f aca="false">LEN(C342)+LEN(D342)+LEN(E342)+LEN(F342)+LEN(G342)+LEN(H342)+LEN(J342)+LEN(K342)+LEN(L342)+LEN(M342)</f>
        <v>57</v>
      </c>
    </row>
    <row r="343" customFormat="false" ht="15" hidden="false" customHeight="false" outlineLevel="0" collapsed="false">
      <c r="A343" s="0" t="s">
        <v>2581</v>
      </c>
      <c r="B343" s="0" t="n">
        <v>1922</v>
      </c>
      <c r="C343" s="0" t="s">
        <v>2582</v>
      </c>
      <c r="D343" s="7" t="n">
        <v>500000</v>
      </c>
      <c r="H343" s="0" t="s">
        <v>1899</v>
      </c>
      <c r="I343" s="0" t="s">
        <v>2583</v>
      </c>
      <c r="N343" s="6" t="s">
        <v>29</v>
      </c>
      <c r="Q343" s="0" t="s">
        <v>29</v>
      </c>
      <c r="R343" s="0" t="s">
        <v>29</v>
      </c>
      <c r="Z343" s="0" t="n">
        <f aca="false">LEN(C343)+LEN(D343)+LEN(E343)+LEN(F343)+LEN(G343)+LEN(H343)+LEN(J343)+LEN(K343)+LEN(L343)+LEN(M343)</f>
        <v>46</v>
      </c>
    </row>
    <row r="344" customFormat="false" ht="15" hidden="false" customHeight="false" outlineLevel="0" collapsed="false">
      <c r="A344" s="0" t="s">
        <v>2584</v>
      </c>
      <c r="B344" s="0" t="n">
        <v>1922</v>
      </c>
      <c r="C344" s="0" t="s">
        <v>2585</v>
      </c>
      <c r="D344" s="0" t="n">
        <v>75000</v>
      </c>
      <c r="H344" s="0" t="s">
        <v>2586</v>
      </c>
      <c r="I344" s="0" t="s">
        <v>2587</v>
      </c>
      <c r="P344" s="0" t="s">
        <v>29</v>
      </c>
      <c r="Z344" s="0" t="n">
        <f aca="false">LEN(C344)+LEN(D344)+LEN(E344)+LEN(F344)+LEN(G344)+LEN(H344)+LEN(J344)+LEN(K344)+LEN(L344)+LEN(M344)</f>
        <v>66</v>
      </c>
    </row>
    <row r="345" customFormat="false" ht="15" hidden="false" customHeight="false" outlineLevel="0" collapsed="false">
      <c r="A345" s="0" t="s">
        <v>2588</v>
      </c>
      <c r="B345" s="0" t="n">
        <v>1922</v>
      </c>
      <c r="C345" s="0" t="s">
        <v>2589</v>
      </c>
      <c r="I345" s="0" t="s">
        <v>2590</v>
      </c>
      <c r="Z345" s="0" t="n">
        <f aca="false">LEN(C345)+LEN(D345)+LEN(E345)+LEN(F345)+LEN(G345)+LEN(H345)+LEN(J345)+LEN(K345)+LEN(L345)+LEN(M345)</f>
        <v>37</v>
      </c>
    </row>
    <row r="346" customFormat="false" ht="15" hidden="false" customHeight="false" outlineLevel="0" collapsed="false">
      <c r="A346" s="0" t="s">
        <v>2591</v>
      </c>
      <c r="B346" s="0" t="n">
        <v>1922</v>
      </c>
      <c r="C346" s="0" t="s">
        <v>2592</v>
      </c>
      <c r="D346" s="7" t="n">
        <v>20000000</v>
      </c>
      <c r="G346" s="0" t="s">
        <v>2290</v>
      </c>
      <c r="H346" s="0" t="s">
        <v>1763</v>
      </c>
      <c r="I346" s="0" t="s">
        <v>2593</v>
      </c>
      <c r="Q346" s="0" t="s">
        <v>29</v>
      </c>
      <c r="Z346" s="0" t="n">
        <f aca="false">LEN(C346)+LEN(D346)+LEN(E346)+LEN(F346)+LEN(G346)+LEN(H346)+LEN(J346)+LEN(K346)+LEN(L346)+LEN(M346)</f>
        <v>62</v>
      </c>
    </row>
    <row r="347" customFormat="false" ht="15" hidden="false" customHeight="false" outlineLevel="0" collapsed="false">
      <c r="A347" s="0" t="s">
        <v>2594</v>
      </c>
      <c r="B347" s="0" t="n">
        <v>1922</v>
      </c>
      <c r="C347" s="0" t="s">
        <v>2595</v>
      </c>
      <c r="H347" s="0" t="s">
        <v>2596</v>
      </c>
      <c r="I347" s="0" t="s">
        <v>2597</v>
      </c>
      <c r="J347" s="0" t="s">
        <v>2598</v>
      </c>
      <c r="K347" s="0" t="s">
        <v>1600</v>
      </c>
      <c r="M347" s="0" t="s">
        <v>1802</v>
      </c>
      <c r="W347" s="0" t="s">
        <v>29</v>
      </c>
      <c r="Z347" s="0" t="n">
        <f aca="false">LEN(C347)+LEN(D347)+LEN(E347)+LEN(F347)+LEN(G347)+LEN(H347)+LEN(J347)+LEN(K347)+LEN(L347)+LEN(M347)</f>
        <v>73</v>
      </c>
    </row>
    <row r="348" customFormat="false" ht="15" hidden="false" customHeight="false" outlineLevel="0" collapsed="false">
      <c r="A348" s="0" t="s">
        <v>2599</v>
      </c>
      <c r="B348" s="0" t="n">
        <v>1922</v>
      </c>
      <c r="C348" s="0" t="s">
        <v>2600</v>
      </c>
      <c r="I348" s="0" t="s">
        <v>2601</v>
      </c>
      <c r="N348" s="0" t="s">
        <v>29</v>
      </c>
      <c r="Z348" s="0" t="n">
        <f aca="false">LEN(C348)+LEN(D348)+LEN(E348)+LEN(F348)+LEN(G348)+LEN(H348)+LEN(J348)+LEN(K348)+LEN(L348)+LEN(M348)</f>
        <v>64</v>
      </c>
    </row>
    <row r="349" customFormat="false" ht="15" hidden="false" customHeight="false" outlineLevel="0" collapsed="false">
      <c r="A349" s="0" t="s">
        <v>2602</v>
      </c>
      <c r="B349" s="0" t="n">
        <v>1922</v>
      </c>
      <c r="C349" s="0" t="s">
        <v>2603</v>
      </c>
      <c r="H349" s="0" t="s">
        <v>2604</v>
      </c>
      <c r="I349" s="0" t="s">
        <v>2605</v>
      </c>
      <c r="J349" s="0" t="s">
        <v>2606</v>
      </c>
      <c r="K349" s="0" t="s">
        <v>2607</v>
      </c>
      <c r="M349" s="0" t="s">
        <v>2104</v>
      </c>
      <c r="U349" s="0" t="s">
        <v>69</v>
      </c>
      <c r="Y349" s="0" t="n">
        <v>2</v>
      </c>
      <c r="Z349" s="0" t="n">
        <f aca="false">LEN(C349)+LEN(D349)+LEN(E349)+LEN(F349)+LEN(G349)+LEN(H349)+LEN(J349)+LEN(K349)+LEN(L349)+LEN(M349)</f>
        <v>71</v>
      </c>
    </row>
    <row r="350" customFormat="false" ht="15" hidden="false" customHeight="false" outlineLevel="0" collapsed="false">
      <c r="A350" s="0" t="s">
        <v>2608</v>
      </c>
      <c r="B350" s="0" t="n">
        <v>1922</v>
      </c>
      <c r="C350" s="0" t="s">
        <v>2603</v>
      </c>
      <c r="I350" s="0" t="s">
        <v>2609</v>
      </c>
      <c r="Z350" s="0" t="n">
        <f aca="false">LEN(C350)+LEN(D350)+LEN(E350)+LEN(F350)+LEN(G350)+LEN(H350)+LEN(J350)+LEN(K350)+LEN(L350)+LEN(M350)</f>
        <v>45</v>
      </c>
    </row>
    <row r="351" customFormat="false" ht="15" hidden="false" customHeight="false" outlineLevel="0" collapsed="false">
      <c r="A351" s="0" t="s">
        <v>2610</v>
      </c>
      <c r="B351" s="0" t="n">
        <v>1922</v>
      </c>
      <c r="C351" s="0" t="s">
        <v>2611</v>
      </c>
      <c r="I351" s="0" t="s">
        <v>2612</v>
      </c>
      <c r="Z351" s="0" t="n">
        <f aca="false">LEN(C351)+LEN(D351)+LEN(E351)+LEN(F351)+LEN(G351)+LEN(H351)+LEN(J351)+LEN(K351)+LEN(L351)+LEN(M351)</f>
        <v>38</v>
      </c>
    </row>
    <row r="352" customFormat="false" ht="15" hidden="false" customHeight="false" outlineLevel="0" collapsed="false">
      <c r="A352" s="0" t="s">
        <v>2613</v>
      </c>
      <c r="B352" s="0" t="n">
        <v>1922</v>
      </c>
      <c r="C352" s="0" t="s">
        <v>2614</v>
      </c>
      <c r="H352" s="0" t="s">
        <v>2615</v>
      </c>
      <c r="I352" s="0" t="s">
        <v>2616</v>
      </c>
      <c r="J352" s="0" t="s">
        <v>2617</v>
      </c>
      <c r="K352" s="0" t="s">
        <v>1600</v>
      </c>
      <c r="L352" s="0" t="s">
        <v>2618</v>
      </c>
      <c r="M352" s="0" t="s">
        <v>1408</v>
      </c>
      <c r="S352" s="0" t="s">
        <v>29</v>
      </c>
      <c r="W352" s="0" t="s">
        <v>29</v>
      </c>
      <c r="Z352" s="0" t="n">
        <f aca="false">LEN(C352)+LEN(D352)+LEN(E352)+LEN(F352)+LEN(G352)+LEN(H352)+LEN(J352)+LEN(K352)+LEN(L352)+LEN(M352)</f>
        <v>68</v>
      </c>
    </row>
    <row r="353" customFormat="false" ht="15" hidden="false" customHeight="false" outlineLevel="0" collapsed="false">
      <c r="A353" s="0" t="s">
        <v>2619</v>
      </c>
      <c r="B353" s="0" t="n">
        <v>1922</v>
      </c>
      <c r="C353" s="0" t="s">
        <v>2620</v>
      </c>
      <c r="I353" s="0" t="s">
        <v>2621</v>
      </c>
      <c r="J353" s="0" t="s">
        <v>2622</v>
      </c>
      <c r="K353" s="0" t="s">
        <v>1682</v>
      </c>
      <c r="L353" s="0" t="s">
        <v>507</v>
      </c>
      <c r="M353" s="0" t="s">
        <v>2623</v>
      </c>
      <c r="W353" s="0" t="s">
        <v>29</v>
      </c>
      <c r="Z353" s="0" t="n">
        <f aca="false">LEN(C353)+LEN(D353)+LEN(E353)+LEN(F353)+LEN(G353)+LEN(H353)+LEN(J353)+LEN(K353)+LEN(L353)+LEN(M353)</f>
        <v>67</v>
      </c>
    </row>
    <row r="354" customFormat="false" ht="15" hidden="false" customHeight="false" outlineLevel="0" collapsed="false">
      <c r="A354" s="0" t="s">
        <v>2624</v>
      </c>
      <c r="B354" s="0" t="n">
        <v>1922</v>
      </c>
      <c r="C354" s="0" t="s">
        <v>2625</v>
      </c>
      <c r="I354" s="0" t="s">
        <v>2626</v>
      </c>
      <c r="Z354" s="0" t="n">
        <f aca="false">LEN(C354)+LEN(D354)+LEN(E354)+LEN(F354)+LEN(G354)+LEN(H354)+LEN(J354)+LEN(K354)+LEN(L354)+LEN(M354)</f>
        <v>36</v>
      </c>
    </row>
    <row r="355" customFormat="false" ht="15" hidden="false" customHeight="false" outlineLevel="0" collapsed="false">
      <c r="A355" s="0" t="s">
        <v>2627</v>
      </c>
      <c r="B355" s="0" t="n">
        <v>1922</v>
      </c>
      <c r="C355" s="0" t="s">
        <v>2628</v>
      </c>
      <c r="D355" s="7" t="n">
        <v>2000000</v>
      </c>
      <c r="E355" s="0" t="s">
        <v>2629</v>
      </c>
      <c r="H355" s="0" t="s">
        <v>2630</v>
      </c>
      <c r="I355" s="0" t="s">
        <v>2631</v>
      </c>
      <c r="Q355" s="0" t="s">
        <v>29</v>
      </c>
      <c r="Z355" s="0" t="n">
        <f aca="false">LEN(C355)+LEN(D355)+LEN(E355)+LEN(F355)+LEN(G355)+LEN(H355)+LEN(J355)+LEN(K355)+LEN(L355)+LEN(M355)</f>
        <v>67</v>
      </c>
    </row>
    <row r="356" customFormat="false" ht="15" hidden="false" customHeight="false" outlineLevel="0" collapsed="false">
      <c r="A356" s="0" t="s">
        <v>2632</v>
      </c>
      <c r="B356" s="0" t="n">
        <v>1922</v>
      </c>
      <c r="C356" s="0" t="s">
        <v>2633</v>
      </c>
      <c r="I356" s="0" t="s">
        <v>2634</v>
      </c>
      <c r="Z356" s="0" t="n">
        <f aca="false">LEN(C356)+LEN(D356)+LEN(E356)+LEN(F356)+LEN(G356)+LEN(H356)+LEN(J356)+LEN(K356)+LEN(L356)+LEN(M356)</f>
        <v>42</v>
      </c>
    </row>
    <row r="357" customFormat="false" ht="15" hidden="false" customHeight="false" outlineLevel="0" collapsed="false">
      <c r="A357" s="0" t="s">
        <v>2635</v>
      </c>
      <c r="B357" s="0" t="n">
        <v>1922</v>
      </c>
      <c r="C357" s="0" t="s">
        <v>2636</v>
      </c>
      <c r="I357" s="0" t="s">
        <v>2637</v>
      </c>
      <c r="Z357" s="0" t="n">
        <f aca="false">LEN(C357)+LEN(D357)+LEN(E357)+LEN(F357)+LEN(G357)+LEN(H357)+LEN(J357)+LEN(K357)+LEN(L357)+LEN(M357)</f>
        <v>30</v>
      </c>
    </row>
    <row r="358" customFormat="false" ht="15" hidden="false" customHeight="false" outlineLevel="0" collapsed="false">
      <c r="A358" s="0" t="s">
        <v>2638</v>
      </c>
      <c r="B358" s="0" t="n">
        <v>1922</v>
      </c>
      <c r="C358" s="0" t="s">
        <v>2639</v>
      </c>
      <c r="H358" s="0" t="s">
        <v>2640</v>
      </c>
      <c r="I358" s="0" t="s">
        <v>2641</v>
      </c>
      <c r="S358" s="0" t="s">
        <v>29</v>
      </c>
      <c r="Z358" s="0" t="n">
        <f aca="false">LEN(C358)+LEN(D358)+LEN(E358)+LEN(F358)+LEN(G358)+LEN(H358)+LEN(J358)+LEN(K358)+LEN(L358)+LEN(M358)</f>
        <v>50</v>
      </c>
    </row>
    <row r="359" customFormat="false" ht="15" hidden="false" customHeight="false" outlineLevel="0" collapsed="false">
      <c r="A359" s="0" t="s">
        <v>2642</v>
      </c>
      <c r="B359" s="0" t="n">
        <v>1922</v>
      </c>
      <c r="C359" s="0" t="s">
        <v>2643</v>
      </c>
      <c r="I359" s="0" t="s">
        <v>2644</v>
      </c>
      <c r="N359" s="0" t="s">
        <v>29</v>
      </c>
      <c r="Z359" s="0" t="n">
        <f aca="false">LEN(C359)+LEN(D359)+LEN(E359)+LEN(F359)+LEN(G359)+LEN(H359)+LEN(J359)+LEN(K359)+LEN(L359)+LEN(M359)</f>
        <v>64</v>
      </c>
    </row>
    <row r="360" customFormat="false" ht="15" hidden="false" customHeight="false" outlineLevel="0" collapsed="false">
      <c r="A360" s="0" t="s">
        <v>2645</v>
      </c>
      <c r="B360" s="0" t="n">
        <v>1922</v>
      </c>
      <c r="C360" s="0" t="s">
        <v>2646</v>
      </c>
      <c r="H360" s="0" t="s">
        <v>1866</v>
      </c>
      <c r="I360" s="0" t="s">
        <v>2647</v>
      </c>
      <c r="J360" s="0" t="s">
        <v>2648</v>
      </c>
      <c r="K360" s="0" t="s">
        <v>1734</v>
      </c>
      <c r="L360" s="0" t="s">
        <v>1267</v>
      </c>
      <c r="M360" s="0" t="s">
        <v>1408</v>
      </c>
      <c r="N360" s="6" t="s">
        <v>29</v>
      </c>
      <c r="U360" s="0" t="s">
        <v>29</v>
      </c>
      <c r="Z360" s="0" t="n">
        <f aca="false">LEN(C360)+LEN(D360)+LEN(E360)+LEN(F360)+LEN(G360)+LEN(H360)+LEN(J360)+LEN(K360)+LEN(L360)+LEN(M360)</f>
        <v>65</v>
      </c>
    </row>
    <row r="361" customFormat="false" ht="15" hidden="false" customHeight="false" outlineLevel="0" collapsed="false">
      <c r="A361" s="0" t="s">
        <v>2649</v>
      </c>
      <c r="B361" s="0" t="n">
        <v>1922</v>
      </c>
      <c r="C361" s="0" t="s">
        <v>2650</v>
      </c>
      <c r="I361" s="0" t="s">
        <v>2651</v>
      </c>
      <c r="Z361" s="0" t="n">
        <f aca="false">LEN(C361)+LEN(D361)+LEN(E361)+LEN(F361)+LEN(G361)+LEN(H361)+LEN(J361)+LEN(K361)+LEN(L361)+LEN(M361)</f>
        <v>48</v>
      </c>
    </row>
    <row r="362" customFormat="false" ht="15" hidden="false" customHeight="false" outlineLevel="0" collapsed="false">
      <c r="A362" s="0" t="s">
        <v>2652</v>
      </c>
      <c r="B362" s="0" t="n">
        <v>1922</v>
      </c>
      <c r="C362" s="0" t="s">
        <v>2653</v>
      </c>
      <c r="I362" s="0" t="s">
        <v>2653</v>
      </c>
      <c r="Z362" s="0" t="n">
        <f aca="false">LEN(C362)+LEN(D362)+LEN(E362)+LEN(F362)+LEN(G362)+LEN(H362)+LEN(J362)+LEN(K362)+LEN(L362)+LEN(M362)</f>
        <v>36</v>
      </c>
    </row>
    <row r="363" customFormat="false" ht="15" hidden="false" customHeight="false" outlineLevel="0" collapsed="false">
      <c r="A363" s="0" t="s">
        <v>2654</v>
      </c>
      <c r="B363" s="0" t="n">
        <v>1922</v>
      </c>
      <c r="C363" s="0" t="s">
        <v>2655</v>
      </c>
      <c r="I363" s="0" t="s">
        <v>2656</v>
      </c>
      <c r="Z363" s="0" t="n">
        <f aca="false">LEN(C363)+LEN(D363)+LEN(E363)+LEN(F363)+LEN(G363)+LEN(H363)+LEN(J363)+LEN(K363)+LEN(L363)+LEN(M363)</f>
        <v>34</v>
      </c>
    </row>
    <row r="364" customFormat="false" ht="15" hidden="false" customHeight="false" outlineLevel="0" collapsed="false">
      <c r="A364" s="0" t="s">
        <v>2657</v>
      </c>
      <c r="B364" s="0" t="n">
        <v>1922</v>
      </c>
      <c r="C364" s="0" t="s">
        <v>2658</v>
      </c>
      <c r="I364" s="0" t="s">
        <v>2659</v>
      </c>
      <c r="Z364" s="0" t="n">
        <f aca="false">LEN(C364)+LEN(D364)+LEN(E364)+LEN(F364)+LEN(G364)+LEN(H364)+LEN(J364)+LEN(K364)+LEN(L364)+LEN(M364)</f>
        <v>38</v>
      </c>
    </row>
    <row r="365" customFormat="false" ht="15" hidden="false" customHeight="false" outlineLevel="0" collapsed="false">
      <c r="A365" s="0" t="s">
        <v>2660</v>
      </c>
      <c r="B365" s="0" t="n">
        <v>1922</v>
      </c>
      <c r="C365" s="0" t="s">
        <v>2661</v>
      </c>
      <c r="I365" s="0" t="s">
        <v>2662</v>
      </c>
      <c r="Z365" s="0" t="n">
        <f aca="false">LEN(C365)+LEN(D365)+LEN(E365)+LEN(F365)+LEN(G365)+LEN(H365)+LEN(J365)+LEN(K365)+LEN(L365)+LEN(M365)</f>
        <v>36</v>
      </c>
    </row>
    <row r="366" customFormat="false" ht="15" hidden="false" customHeight="false" outlineLevel="0" collapsed="false">
      <c r="A366" s="0" t="s">
        <v>2663</v>
      </c>
      <c r="B366" s="0" t="n">
        <v>1922</v>
      </c>
      <c r="C366" s="0" t="s">
        <v>2664</v>
      </c>
      <c r="I366" s="0" t="s">
        <v>2665</v>
      </c>
      <c r="Z366" s="0" t="n">
        <f aca="false">LEN(C366)+LEN(D366)+LEN(E366)+LEN(F366)+LEN(G366)+LEN(H366)+LEN(J366)+LEN(K366)+LEN(L366)+LEN(M366)</f>
        <v>53</v>
      </c>
    </row>
    <row r="367" customFormat="false" ht="15" hidden="false" customHeight="false" outlineLevel="0" collapsed="false">
      <c r="A367" s="0" t="s">
        <v>2666</v>
      </c>
      <c r="B367" s="0" t="n">
        <v>1922</v>
      </c>
      <c r="C367" s="0" t="s">
        <v>2667</v>
      </c>
      <c r="I367" s="0" t="s">
        <v>2668</v>
      </c>
      <c r="J367" s="0" t="s">
        <v>2669</v>
      </c>
      <c r="K367" s="0" t="s">
        <v>385</v>
      </c>
      <c r="M367" s="0" t="s">
        <v>1802</v>
      </c>
      <c r="N367" s="0" t="s">
        <v>29</v>
      </c>
      <c r="U367" s="0" t="s">
        <v>29</v>
      </c>
      <c r="W367" s="0" t="s">
        <v>29</v>
      </c>
      <c r="Z367" s="0" t="n">
        <f aca="false">LEN(C367)+LEN(D367)+LEN(E367)+LEN(F367)+LEN(G367)+LEN(H367)+LEN(J367)+LEN(K367)+LEN(L367)+LEN(M367)</f>
        <v>84</v>
      </c>
    </row>
    <row r="368" customFormat="false" ht="15" hidden="false" customHeight="false" outlineLevel="0" collapsed="false">
      <c r="A368" s="0" t="s">
        <v>2670</v>
      </c>
      <c r="B368" s="0" t="n">
        <v>1922</v>
      </c>
      <c r="C368" s="0" t="s">
        <v>2671</v>
      </c>
      <c r="I368" s="0" t="s">
        <v>2672</v>
      </c>
      <c r="J368" s="0" t="s">
        <v>2673</v>
      </c>
      <c r="K368" s="0" t="s">
        <v>880</v>
      </c>
      <c r="M368" s="0" t="s">
        <v>1595</v>
      </c>
      <c r="N368" s="6" t="s">
        <v>29</v>
      </c>
      <c r="U368" s="0" t="s">
        <v>29</v>
      </c>
      <c r="W368" s="0" t="s">
        <v>29</v>
      </c>
      <c r="Z368" s="0" t="n">
        <f aca="false">LEN(C368)+LEN(D368)+LEN(E368)+LEN(F368)+LEN(G368)+LEN(H368)+LEN(J368)+LEN(K368)+LEN(L368)+LEN(M368)</f>
        <v>58</v>
      </c>
    </row>
    <row r="369" customFormat="false" ht="15" hidden="false" customHeight="false" outlineLevel="0" collapsed="false">
      <c r="A369" s="0" t="s">
        <v>2674</v>
      </c>
      <c r="B369" s="0" t="n">
        <v>1922</v>
      </c>
      <c r="C369" s="0" t="s">
        <v>2675</v>
      </c>
      <c r="D369" s="7" t="n">
        <v>200000</v>
      </c>
      <c r="H369" s="0" t="s">
        <v>1472</v>
      </c>
      <c r="I369" s="0" t="s">
        <v>2676</v>
      </c>
      <c r="P369" s="0" t="s">
        <v>29</v>
      </c>
      <c r="Z369" s="0" t="n">
        <f aca="false">LEN(C369)+LEN(D369)+LEN(E369)+LEN(F369)+LEN(G369)+LEN(H369)+LEN(J369)+LEN(K369)+LEN(L369)+LEN(M369)</f>
        <v>53</v>
      </c>
    </row>
    <row r="370" customFormat="false" ht="15" hidden="false" customHeight="false" outlineLevel="0" collapsed="false">
      <c r="A370" s="0" t="s">
        <v>2677</v>
      </c>
      <c r="B370" s="0" t="n">
        <v>1922</v>
      </c>
      <c r="C370" s="0" t="s">
        <v>2678</v>
      </c>
      <c r="I370" s="0" t="s">
        <v>2679</v>
      </c>
      <c r="Z370" s="0" t="n">
        <f aca="false">LEN(C370)+LEN(D370)+LEN(E370)+LEN(F370)+LEN(G370)+LEN(H370)+LEN(J370)+LEN(K370)+LEN(L370)+LEN(M370)</f>
        <v>46</v>
      </c>
    </row>
    <row r="371" customFormat="false" ht="15" hidden="false" customHeight="false" outlineLevel="0" collapsed="false">
      <c r="A371" s="0" t="s">
        <v>2680</v>
      </c>
      <c r="B371" s="0" t="n">
        <v>1922</v>
      </c>
      <c r="C371" s="0" t="s">
        <v>2681</v>
      </c>
      <c r="I371" s="0" t="s">
        <v>2682</v>
      </c>
      <c r="J371" s="0" t="s">
        <v>2683</v>
      </c>
      <c r="K371" s="0" t="s">
        <v>212</v>
      </c>
      <c r="L371" s="0" t="s">
        <v>1391</v>
      </c>
      <c r="M371" s="0" t="s">
        <v>1802</v>
      </c>
      <c r="U371" s="0" t="s">
        <v>29</v>
      </c>
      <c r="Z371" s="0" t="n">
        <f aca="false">LEN(C371)+LEN(D371)+LEN(E371)+LEN(F371)+LEN(G371)+LEN(H371)+LEN(J371)+LEN(K371)+LEN(L371)+LEN(M371)</f>
        <v>78</v>
      </c>
    </row>
    <row r="372" customFormat="false" ht="15" hidden="false" customHeight="false" outlineLevel="0" collapsed="false">
      <c r="A372" s="0" t="s">
        <v>2684</v>
      </c>
      <c r="B372" s="0" t="n">
        <v>1922</v>
      </c>
      <c r="C372" s="0" t="s">
        <v>2685</v>
      </c>
      <c r="H372" s="0" t="s">
        <v>2686</v>
      </c>
      <c r="I372" s="0" t="s">
        <v>2687</v>
      </c>
      <c r="J372" s="0" t="s">
        <v>2688</v>
      </c>
      <c r="K372" s="0" t="s">
        <v>2689</v>
      </c>
      <c r="L372" s="0" t="s">
        <v>1671</v>
      </c>
      <c r="M372" s="0" t="s">
        <v>1683</v>
      </c>
      <c r="N372" s="0" t="s">
        <v>69</v>
      </c>
      <c r="U372" s="0" t="s">
        <v>69</v>
      </c>
      <c r="Y372" s="0" t="n">
        <v>2</v>
      </c>
      <c r="Z372" s="0" t="n">
        <f aca="false">LEN(C372)+LEN(D372)+LEN(E372)+LEN(F372)+LEN(G372)+LEN(H372)+LEN(J372)+LEN(K372)+LEN(L372)+LEN(M372)</f>
        <v>94</v>
      </c>
    </row>
    <row r="373" customFormat="false" ht="15" hidden="false" customHeight="false" outlineLevel="0" collapsed="false">
      <c r="A373" s="0" t="s">
        <v>2690</v>
      </c>
      <c r="B373" s="0" t="n">
        <v>1922</v>
      </c>
      <c r="C373" s="0" t="s">
        <v>2691</v>
      </c>
      <c r="I373" s="0" t="s">
        <v>2692</v>
      </c>
      <c r="N373" s="0" t="s">
        <v>29</v>
      </c>
      <c r="Z373" s="0" t="n">
        <f aca="false">LEN(C373)+LEN(D373)+LEN(E373)+LEN(F373)+LEN(G373)+LEN(H373)+LEN(J373)+LEN(K373)+LEN(L373)+LEN(M373)</f>
        <v>109</v>
      </c>
    </row>
    <row r="374" customFormat="false" ht="15" hidden="false" customHeight="false" outlineLevel="0" collapsed="false">
      <c r="A374" s="0" t="s">
        <v>2693</v>
      </c>
      <c r="B374" s="0" t="n">
        <v>1922</v>
      </c>
      <c r="C374" s="0" t="s">
        <v>2694</v>
      </c>
      <c r="I374" s="0" t="s">
        <v>2695</v>
      </c>
      <c r="Z374" s="0" t="n">
        <f aca="false">LEN(C374)+LEN(D374)+LEN(E374)+LEN(F374)+LEN(G374)+LEN(H374)+LEN(J374)+LEN(K374)+LEN(L374)+LEN(M374)</f>
        <v>35</v>
      </c>
    </row>
    <row r="375" s="3" customFormat="true" ht="15" hidden="false" customHeight="false" outlineLevel="0" collapsed="false">
      <c r="A375" s="3" t="s">
        <v>2696</v>
      </c>
      <c r="B375" s="3" t="n">
        <v>1922</v>
      </c>
      <c r="C375" s="3" t="s">
        <v>2697</v>
      </c>
      <c r="I375" s="3" t="s">
        <v>2697</v>
      </c>
      <c r="Z375" s="3" t="n">
        <f aca="false">LEN(C375)+LEN(D375)+LEN(E375)+LEN(F375)+LEN(G375)+LEN(H375)+LEN(J375)+LEN(K375)+LEN(L375)+LEN(M375)</f>
        <v>10</v>
      </c>
    </row>
    <row r="376" customFormat="false" ht="15" hidden="false" customHeight="false" outlineLevel="0" collapsed="false">
      <c r="A376" s="0" t="s">
        <v>2698</v>
      </c>
      <c r="B376" s="0" t="n">
        <v>1922</v>
      </c>
      <c r="C376" s="0" t="s">
        <v>2699</v>
      </c>
      <c r="H376" s="0" t="s">
        <v>2700</v>
      </c>
      <c r="I376" s="0" t="s">
        <v>2701</v>
      </c>
      <c r="S376" s="0" t="s">
        <v>29</v>
      </c>
      <c r="Z376" s="0" t="n">
        <f aca="false">LEN(C376)+LEN(D376)+LEN(E376)+LEN(F376)+LEN(G376)+LEN(H376)+LEN(J376)+LEN(K376)+LEN(L376)+LEN(M376)</f>
        <v>64</v>
      </c>
    </row>
    <row r="377" customFormat="false" ht="15" hidden="false" customHeight="false" outlineLevel="0" collapsed="false">
      <c r="A377" s="0" t="s">
        <v>2702</v>
      </c>
      <c r="B377" s="0" t="n">
        <v>1922</v>
      </c>
      <c r="C377" s="0" t="s">
        <v>2703</v>
      </c>
      <c r="I377" s="0" t="s">
        <v>2704</v>
      </c>
      <c r="Z377" s="0" t="n">
        <f aca="false">LEN(C377)+LEN(D377)+LEN(E377)+LEN(F377)+LEN(G377)+LEN(H377)+LEN(J377)+LEN(K377)+LEN(L377)+LEN(M377)</f>
        <v>46</v>
      </c>
    </row>
    <row r="378" customFormat="false" ht="15" hidden="false" customHeight="false" outlineLevel="0" collapsed="false">
      <c r="A378" s="0" t="s">
        <v>2705</v>
      </c>
      <c r="B378" s="0" t="n">
        <v>1922</v>
      </c>
      <c r="C378" s="0" t="s">
        <v>2706</v>
      </c>
      <c r="I378" s="0" t="s">
        <v>2707</v>
      </c>
      <c r="Z378" s="0" t="n">
        <f aca="false">LEN(C378)+LEN(D378)+LEN(E378)+LEN(F378)+LEN(G378)+LEN(H378)+LEN(J378)+LEN(K378)+LEN(L378)+LEN(M378)</f>
        <v>36</v>
      </c>
    </row>
    <row r="379" customFormat="false" ht="15" hidden="false" customHeight="false" outlineLevel="0" collapsed="false">
      <c r="A379" s="0" t="s">
        <v>2708</v>
      </c>
      <c r="B379" s="0" t="n">
        <v>1922</v>
      </c>
      <c r="C379" s="0" t="s">
        <v>2709</v>
      </c>
      <c r="I379" s="0" t="s">
        <v>2710</v>
      </c>
      <c r="J379" s="0" t="s">
        <v>2711</v>
      </c>
      <c r="K379" s="0" t="s">
        <v>2712</v>
      </c>
      <c r="L379" s="0" t="s">
        <v>24</v>
      </c>
      <c r="M379" s="0" t="s">
        <v>1683</v>
      </c>
      <c r="U379" s="0" t="s">
        <v>29</v>
      </c>
      <c r="Z379" s="0" t="n">
        <f aca="false">LEN(C379)+LEN(D379)+LEN(E379)+LEN(F379)+LEN(G379)+LEN(H379)+LEN(J379)+LEN(K379)+LEN(L379)+LEN(M379)</f>
        <v>69</v>
      </c>
    </row>
    <row r="380" customFormat="false" ht="15" hidden="false" customHeight="false" outlineLevel="0" collapsed="false">
      <c r="A380" s="0" t="s">
        <v>2713</v>
      </c>
      <c r="B380" s="0" t="n">
        <v>1922</v>
      </c>
      <c r="C380" s="0" t="s">
        <v>2714</v>
      </c>
      <c r="H380" s="0" t="s">
        <v>1763</v>
      </c>
      <c r="I380" s="0" t="s">
        <v>2715</v>
      </c>
      <c r="J380" s="0" t="s">
        <v>2716</v>
      </c>
      <c r="K380" s="0" t="s">
        <v>394</v>
      </c>
      <c r="L380" s="0" t="s">
        <v>526</v>
      </c>
      <c r="M380" s="0" t="s">
        <v>1408</v>
      </c>
      <c r="U380" s="0" t="s">
        <v>69</v>
      </c>
      <c r="Y380" s="0" t="n">
        <v>1</v>
      </c>
      <c r="Z380" s="0" t="n">
        <f aca="false">LEN(C380)+LEN(D380)+LEN(E380)+LEN(F380)+LEN(G380)+LEN(H380)+LEN(J380)+LEN(K380)+LEN(L380)+LEN(M380)</f>
        <v>48</v>
      </c>
    </row>
    <row r="381" customFormat="false" ht="15" hidden="false" customHeight="false" outlineLevel="0" collapsed="false">
      <c r="A381" s="0" t="s">
        <v>2717</v>
      </c>
      <c r="B381" s="0" t="n">
        <v>1922</v>
      </c>
      <c r="C381" s="0" t="s">
        <v>2718</v>
      </c>
      <c r="I381" s="0" t="s">
        <v>2718</v>
      </c>
      <c r="Z381" s="0" t="n">
        <f aca="false">LEN(C381)+LEN(D381)+LEN(E381)+LEN(F381)+LEN(G381)+LEN(H381)+LEN(J381)+LEN(K381)+LEN(L381)+LEN(M381)</f>
        <v>44</v>
      </c>
    </row>
    <row r="382" customFormat="false" ht="15" hidden="false" customHeight="false" outlineLevel="0" collapsed="false">
      <c r="A382" s="0" t="s">
        <v>2719</v>
      </c>
      <c r="B382" s="0" t="n">
        <v>1922</v>
      </c>
      <c r="C382" s="0" t="s">
        <v>2720</v>
      </c>
      <c r="H382" s="0" t="s">
        <v>2721</v>
      </c>
      <c r="I382" s="0" t="s">
        <v>2722</v>
      </c>
      <c r="N382" s="0" t="s">
        <v>29</v>
      </c>
      <c r="U382" s="0" t="s">
        <v>29</v>
      </c>
      <c r="V382" s="0" t="s">
        <v>29</v>
      </c>
      <c r="W382" s="0" t="s">
        <v>29</v>
      </c>
      <c r="X382" s="0" t="s">
        <v>29</v>
      </c>
      <c r="Z382" s="0" t="n">
        <f aca="false">LEN(C382)+LEN(D382)+LEN(E382)+LEN(F382)+LEN(G382)+LEN(H382)+LEN(J382)+LEN(K382)+LEN(L382)+LEN(M382)</f>
        <v>72</v>
      </c>
    </row>
    <row r="383" customFormat="false" ht="15" hidden="false" customHeight="false" outlineLevel="0" collapsed="false">
      <c r="A383" s="0" t="s">
        <v>2723</v>
      </c>
      <c r="B383" s="0" t="n">
        <v>1922</v>
      </c>
      <c r="C383" s="0" t="s">
        <v>2724</v>
      </c>
      <c r="I383" s="0" t="s">
        <v>2725</v>
      </c>
      <c r="Z383" s="0" t="n">
        <f aca="false">LEN(C383)+LEN(D383)+LEN(E383)+LEN(F383)+LEN(G383)+LEN(H383)+LEN(J383)+LEN(K383)+LEN(L383)+LEN(M383)</f>
        <v>30</v>
      </c>
    </row>
    <row r="384" customFormat="false" ht="15" hidden="false" customHeight="false" outlineLevel="0" collapsed="false">
      <c r="A384" s="0" t="s">
        <v>2726</v>
      </c>
      <c r="B384" s="0" t="n">
        <v>1922</v>
      </c>
      <c r="C384" s="0" t="s">
        <v>2727</v>
      </c>
      <c r="I384" s="0" t="s">
        <v>2728</v>
      </c>
      <c r="Z384" s="0" t="n">
        <f aca="false">LEN(C384)+LEN(D384)+LEN(E384)+LEN(F384)+LEN(G384)+LEN(H384)+LEN(J384)+LEN(K384)+LEN(L384)+LEN(M384)</f>
        <v>49</v>
      </c>
    </row>
    <row r="385" customFormat="false" ht="15" hidden="false" customHeight="false" outlineLevel="0" collapsed="false">
      <c r="A385" s="0" t="s">
        <v>2729</v>
      </c>
      <c r="B385" s="0" t="n">
        <v>1922</v>
      </c>
      <c r="C385" s="0" t="s">
        <v>2730</v>
      </c>
      <c r="I385" s="0" t="s">
        <v>2731</v>
      </c>
      <c r="N385" s="0" t="s">
        <v>29</v>
      </c>
      <c r="Z385" s="0" t="n">
        <f aca="false">LEN(C385)+LEN(D385)+LEN(E385)+LEN(F385)+LEN(G385)+LEN(H385)+LEN(J385)+LEN(K385)+LEN(L385)+LEN(M385)</f>
        <v>41</v>
      </c>
    </row>
    <row r="386" customFormat="false" ht="15" hidden="false" customHeight="false" outlineLevel="0" collapsed="false">
      <c r="N386" s="0" t="n">
        <f aca="false">COUNTIF(N2:N385, "f") + COUNTIF(N2:N385, "a") + COUNTIF(N2:N385, "b") + COUNTIF(N2:N385, "a/b")</f>
        <v>107</v>
      </c>
      <c r="O386" s="0" t="n">
        <f aca="false">COUNTIF(O2:O385, "f") + COUNTIF(O2:O385, "a") + COUNTIF(O2:O385, "b") + COUNTIF(O2:O385, "a/b")</f>
        <v>5</v>
      </c>
      <c r="P386" s="0" t="n">
        <f aca="false">COUNTIF(P2:P385, "f") + COUNTIF(P2:P385, "a") + COUNTIF(P2:P385, "b") + COUNTIF(P2:P385, "a/b")</f>
        <v>17</v>
      </c>
      <c r="Q386" s="0" t="n">
        <f aca="false">COUNTIF(Q2:Q385, "f") + COUNTIF(Q2:Q385, "a") + COUNTIF(Q2:Q385, "b") + COUNTIF(Q2:Q385, "a/b")</f>
        <v>7</v>
      </c>
      <c r="R386" s="0" t="n">
        <f aca="false">COUNTIF(R2:R385, "f") + COUNTIF(R2:R385, "a") + COUNTIF(R2:R385, "b") + COUNTIF(R2:R385, "a/b")</f>
        <v>3</v>
      </c>
      <c r="S386" s="0" t="n">
        <f aca="false">COUNTIF(S2:S385, "f") + COUNTIF(S2:S385, "a") + COUNTIF(S2:S385, "b") + COUNTIF(S2:S385, "a/b")</f>
        <v>23</v>
      </c>
      <c r="T386" s="0" t="n">
        <f aca="false">COUNTIF(T2:T385, "f") + COUNTIF(T2:T385, "a") + COUNTIF(T2:T385, "b") + COUNTIF(T2:T385, "a/b")</f>
        <v>0</v>
      </c>
      <c r="U386" s="0" t="n">
        <f aca="false">COUNTIF(U2:U385, "f") + COUNTIF(U2:U385, "a") + COUNTIF(U2:U385, "b") + COUNTIF(U2:U385, "a/b")</f>
        <v>69</v>
      </c>
      <c r="V386" s="0" t="n">
        <f aca="false">COUNTIF(V2:V385, "f") + COUNTIF(V2:V385, "a") + COUNTIF(V2:V385, "b") + COUNTIF(V2:V385, "a/b")</f>
        <v>10</v>
      </c>
      <c r="W386" s="0" t="n">
        <f aca="false">COUNTIF(W2:W385, "f") + COUNTIF(W2:W385, "a") + COUNTIF(W2:W385, "b") + COUNTIF(W2:W385, "a/b")</f>
        <v>50</v>
      </c>
      <c r="X386" s="0" t="n">
        <f aca="false">COUNTIF(X2:X385, "f") + COUNTIF(X2:X385, "a") + COUNTIF(X2:X385, "b") + COUNTIF(X2:X385, "a/b")</f>
        <v>7</v>
      </c>
      <c r="Y386" s="0" t="n">
        <f aca="false">SUM(Y2:Y385)</f>
        <v>110</v>
      </c>
      <c r="Z386" s="0" t="n">
        <f aca="false">SUM(Z2:Z385)</f>
        <v>20826</v>
      </c>
    </row>
    <row r="387" customFormat="false" ht="15" hidden="false" customHeight="false" outlineLevel="0" collapsed="false">
      <c r="N387" s="0" t="n">
        <f aca="false">1-(N386/409)</f>
        <v>0.73838630806846</v>
      </c>
      <c r="O387" s="0" t="n">
        <f aca="false">1-(O386/409)</f>
        <v>0.987775061124694</v>
      </c>
      <c r="P387" s="0" t="n">
        <f aca="false">1-(P386/409)</f>
        <v>0.958435207823961</v>
      </c>
      <c r="Q387" s="0" t="n">
        <f aca="false">1-(Q386/409)</f>
        <v>0.982885085574572</v>
      </c>
      <c r="R387" s="0" t="n">
        <f aca="false">1-(R386/409)</f>
        <v>0.992665036674817</v>
      </c>
      <c r="S387" s="0" t="n">
        <f aca="false">1-(S386/409)</f>
        <v>0.943765281173594</v>
      </c>
      <c r="T387" s="0" t="n">
        <f aca="false">1-(T386/409)</f>
        <v>1</v>
      </c>
      <c r="U387" s="0" t="n">
        <f aca="false">1-(U386/409)</f>
        <v>0.831295843520783</v>
      </c>
      <c r="V387" s="0" t="n">
        <f aca="false">1-(V386/409)</f>
        <v>0.975550122249389</v>
      </c>
      <c r="W387" s="0" t="n">
        <f aca="false">1-(W386/409)</f>
        <v>0.877750611246944</v>
      </c>
      <c r="X387" s="0" t="n">
        <f aca="false">1-(X386/409)</f>
        <v>0.982885085574572</v>
      </c>
      <c r="Y387" s="0" t="n">
        <f aca="false">Y386/Z386</f>
        <v>0.00528185921444348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7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320" activePane="bottomLeft" state="frozen"/>
      <selection pane="topLeft" activeCell="A1" activeCellId="0" sqref="A1"/>
      <selection pane="bottomLeft" activeCell="Q371" activeCellId="0" sqref="Q371"/>
    </sheetView>
  </sheetViews>
  <sheetFormatPr defaultColWidth="8.6796875" defaultRowHeight="15" customHeight="false" zeroHeight="false" outlineLevelRow="0" outlineLevelCol="0"/>
  <cols>
    <col collapsed="false" customWidth="true" hidden="false" outlineLevel="0" max="3" min="3" style="0" width="26.42"/>
  </cols>
  <sheetData>
    <row r="1" customFormat="false" ht="15" hidden="false" customHeight="false" outlineLevel="0" collapsed="false">
      <c r="A1" s="0" t="s">
        <v>0</v>
      </c>
      <c r="B1" s="0" t="s">
        <v>1</v>
      </c>
      <c r="C1" s="0" t="s">
        <v>9</v>
      </c>
      <c r="D1" s="0" t="s">
        <v>2</v>
      </c>
      <c r="E1" s="0" t="s">
        <v>3</v>
      </c>
      <c r="F1" s="0" t="s">
        <v>2732</v>
      </c>
      <c r="G1" s="0" t="s">
        <v>2733</v>
      </c>
      <c r="H1" s="0" t="s">
        <v>2734</v>
      </c>
      <c r="I1" s="0" t="s">
        <v>2735</v>
      </c>
      <c r="J1" s="0" t="s">
        <v>2736</v>
      </c>
      <c r="K1" s="0" t="s">
        <v>2737</v>
      </c>
      <c r="L1" s="0" t="s">
        <v>8</v>
      </c>
      <c r="M1" s="0" t="s">
        <v>10</v>
      </c>
      <c r="N1" s="0" t="s">
        <v>11</v>
      </c>
      <c r="O1" s="0" t="s">
        <v>12</v>
      </c>
      <c r="P1" s="0" t="s">
        <v>13</v>
      </c>
      <c r="Q1" s="0" t="s">
        <v>2</v>
      </c>
      <c r="R1" s="0" t="s">
        <v>3</v>
      </c>
      <c r="S1" s="0" t="s">
        <v>2732</v>
      </c>
      <c r="T1" s="0" t="s">
        <v>2733</v>
      </c>
      <c r="U1" s="0" t="s">
        <v>2734</v>
      </c>
      <c r="V1" s="0" t="s">
        <v>2735</v>
      </c>
      <c r="W1" s="0" t="s">
        <v>2736</v>
      </c>
      <c r="X1" s="0" t="s">
        <v>2737</v>
      </c>
      <c r="Y1" s="0" t="s">
        <v>8</v>
      </c>
      <c r="Z1" s="0" t="s">
        <v>9</v>
      </c>
      <c r="AA1" s="0" t="s">
        <v>10</v>
      </c>
      <c r="AB1" s="0" t="s">
        <v>11</v>
      </c>
      <c r="AC1" s="0" t="s">
        <v>12</v>
      </c>
      <c r="AD1" s="0" t="s">
        <v>13</v>
      </c>
      <c r="AE1" s="0" t="s">
        <v>1399</v>
      </c>
      <c r="AF1" s="0" t="s">
        <v>1400</v>
      </c>
      <c r="AH1" s="0" t="s">
        <v>16</v>
      </c>
      <c r="AI1" s="0" t="s">
        <v>17</v>
      </c>
      <c r="AJ1" s="0" t="s">
        <v>18</v>
      </c>
    </row>
    <row r="2" customFormat="false" ht="15" hidden="false" customHeight="false" outlineLevel="0" collapsed="false">
      <c r="A2" s="0" t="s">
        <v>2738</v>
      </c>
      <c r="B2" s="0" t="n">
        <v>1926</v>
      </c>
      <c r="C2" s="0" t="s">
        <v>2739</v>
      </c>
      <c r="D2" s="0" t="s">
        <v>2740</v>
      </c>
      <c r="L2" s="0" t="s">
        <v>2741</v>
      </c>
      <c r="Y2" s="0" t="s">
        <v>69</v>
      </c>
      <c r="AE2" s="0" t="n">
        <v>1</v>
      </c>
      <c r="AF2" s="0" t="n">
        <f aca="false">LEN(D2)+LEN(E2)+LEN(F2)+LEN(G2)+LEN(H2)+LEN(I2)+LEN(J2)+LEN(K2)+LEN(L2)+LEN(M2)+LEN(N2)+LEN(O2)+LEN(P2)</f>
        <v>36</v>
      </c>
      <c r="AH2" s="0" t="s">
        <v>17</v>
      </c>
      <c r="AI2" s="0" t="s">
        <v>23</v>
      </c>
      <c r="AJ2" s="0" t="s">
        <v>24</v>
      </c>
    </row>
    <row r="3" customFormat="false" ht="15" hidden="false" customHeight="false" outlineLevel="0" collapsed="false">
      <c r="A3" s="0" t="s">
        <v>2742</v>
      </c>
      <c r="B3" s="0" t="n">
        <v>1926</v>
      </c>
      <c r="C3" s="0" t="n">
        <v>200000</v>
      </c>
      <c r="D3" s="0" t="s">
        <v>2743</v>
      </c>
      <c r="E3" s="0" t="n">
        <v>96665.0556</v>
      </c>
      <c r="L3" s="0" t="s">
        <v>2744</v>
      </c>
      <c r="AF3" s="0" t="n">
        <f aca="false">LEN(D3)+LEN(E3)+LEN(F3)+LEN(G3)+LEN(H3)+LEN(I3)+LEN(J3)+LEN(K3)+LEN(L3)+LEN(M3)+LEN(N3)+LEN(O3)+LEN(P3)</f>
        <v>45</v>
      </c>
      <c r="AH3" s="0" t="s">
        <v>18</v>
      </c>
      <c r="AI3" s="0" t="s">
        <v>24</v>
      </c>
      <c r="AJ3" s="0" t="s">
        <v>23</v>
      </c>
    </row>
    <row r="4" customFormat="false" ht="15" hidden="false" customHeight="false" outlineLevel="0" collapsed="false">
      <c r="A4" s="0" t="s">
        <v>2745</v>
      </c>
      <c r="B4" s="0" t="n">
        <v>1926</v>
      </c>
      <c r="C4" s="0" t="s">
        <v>2746</v>
      </c>
      <c r="D4" s="0" t="s">
        <v>2747</v>
      </c>
      <c r="L4" s="0" t="s">
        <v>2744</v>
      </c>
      <c r="R4" s="0" t="s">
        <v>29</v>
      </c>
      <c r="AF4" s="0" t="n">
        <f aca="false">LEN(D4)+LEN(E4)+LEN(F4)+LEN(G4)+LEN(H4)+LEN(I4)+LEN(J4)+LEN(K4)+LEN(L4)+LEN(M4)+LEN(N4)+LEN(O4)+LEN(P4)</f>
        <v>45</v>
      </c>
    </row>
    <row r="5" customFormat="false" ht="15" hidden="false" customHeight="false" outlineLevel="0" collapsed="false">
      <c r="A5" s="0" t="s">
        <v>2748</v>
      </c>
      <c r="B5" s="0" t="n">
        <v>1926</v>
      </c>
      <c r="C5" s="0" t="s">
        <v>2749</v>
      </c>
      <c r="D5" s="0" t="s">
        <v>2747</v>
      </c>
      <c r="F5" s="0" t="s">
        <v>2749</v>
      </c>
      <c r="L5" s="0" t="s">
        <v>2744</v>
      </c>
      <c r="AF5" s="0" t="n">
        <f aca="false">LEN(D5)+LEN(E5)+LEN(F5)+LEN(G5)+LEN(H5)+LEN(I5)+LEN(J5)+LEN(K5)+LEN(L5)+LEN(M5)+LEN(N5)+LEN(O5)+LEN(P5)</f>
        <v>58</v>
      </c>
      <c r="AH5" s="0" t="s">
        <v>37</v>
      </c>
    </row>
    <row r="6" customFormat="false" ht="15" hidden="false" customHeight="false" outlineLevel="0" collapsed="false">
      <c r="A6" s="0" t="s">
        <v>2750</v>
      </c>
      <c r="B6" s="0" t="n">
        <v>1926</v>
      </c>
      <c r="C6" s="0" t="s">
        <v>2751</v>
      </c>
      <c r="D6" s="0" t="s">
        <v>2752</v>
      </c>
      <c r="L6" s="0" t="s">
        <v>2753</v>
      </c>
      <c r="AF6" s="0" t="n">
        <f aca="false">LEN(D6)+LEN(E6)+LEN(F6)+LEN(G6)+LEN(H6)+LEN(I6)+LEN(J6)+LEN(K6)+LEN(L6)+LEN(M6)+LEN(N6)+LEN(O6)+LEN(P6)</f>
        <v>40</v>
      </c>
      <c r="AH6" s="0" t="s">
        <v>16</v>
      </c>
      <c r="AI6" s="0" t="s">
        <v>17</v>
      </c>
      <c r="AJ6" s="0" t="s">
        <v>18</v>
      </c>
    </row>
    <row r="7" customFormat="false" ht="15" hidden="false" customHeight="false" outlineLevel="0" collapsed="false">
      <c r="A7" s="0" t="s">
        <v>2754</v>
      </c>
      <c r="B7" s="0" t="n">
        <v>1926</v>
      </c>
      <c r="C7" s="0" t="n">
        <v>2800</v>
      </c>
      <c r="D7" s="0" t="s">
        <v>2752</v>
      </c>
      <c r="E7" s="0" t="n">
        <v>1353.3107784</v>
      </c>
      <c r="L7" s="0" t="s">
        <v>2744</v>
      </c>
      <c r="Q7" s="0" t="s">
        <v>29</v>
      </c>
      <c r="AF7" s="0" t="n">
        <f aca="false">LEN(D7)+LEN(E7)+LEN(F7)+LEN(G7)+LEN(H7)+LEN(I7)+LEN(J7)+LEN(K7)+LEN(L7)+LEN(M7)+LEN(N7)+LEN(O7)+LEN(P7)</f>
        <v>54</v>
      </c>
      <c r="AH7" s="0" t="s">
        <v>17</v>
      </c>
      <c r="AJ7" s="0" t="s">
        <v>24</v>
      </c>
    </row>
    <row r="8" customFormat="false" ht="15" hidden="false" customHeight="false" outlineLevel="0" collapsed="false">
      <c r="A8" s="0" t="s">
        <v>2755</v>
      </c>
      <c r="B8" s="0" t="n">
        <v>1926</v>
      </c>
      <c r="C8" s="0" t="s">
        <v>2756</v>
      </c>
      <c r="D8" s="0" t="s">
        <v>2757</v>
      </c>
      <c r="I8" s="0" t="s">
        <v>2758</v>
      </c>
      <c r="L8" s="0" t="s">
        <v>2744</v>
      </c>
      <c r="AF8" s="0" t="n">
        <f aca="false">LEN(D8)+LEN(E8)+LEN(F8)+LEN(G8)+LEN(H8)+LEN(I8)+LEN(J8)+LEN(K8)+LEN(L8)+LEN(M8)+LEN(N8)+LEN(O8)+LEN(P8)</f>
        <v>54</v>
      </c>
      <c r="AH8" s="0" t="s">
        <v>18</v>
      </c>
      <c r="AI8" s="0" t="s">
        <v>24</v>
      </c>
    </row>
    <row r="9" customFormat="false" ht="15" hidden="false" customHeight="false" outlineLevel="0" collapsed="false">
      <c r="A9" s="0" t="s">
        <v>2759</v>
      </c>
      <c r="B9" s="0" t="n">
        <v>1926</v>
      </c>
      <c r="C9" s="0" t="s">
        <v>2760</v>
      </c>
      <c r="D9" s="0" t="s">
        <v>2757</v>
      </c>
      <c r="L9" s="0" t="s">
        <v>2753</v>
      </c>
      <c r="M9" s="0" t="s">
        <v>2761</v>
      </c>
      <c r="P9" s="0" t="s">
        <v>2762</v>
      </c>
      <c r="AA9" s="0" t="s">
        <v>29</v>
      </c>
      <c r="AB9" s="0" t="s">
        <v>29</v>
      </c>
      <c r="AF9" s="0" t="n">
        <f aca="false">LEN(D9)+LEN(E9)+LEN(F9)+LEN(G9)+LEN(H9)+LEN(I9)+LEN(J9)+LEN(K9)+LEN(L9)+LEN(M9)+LEN(N9)+LEN(O9)+LEN(P9)</f>
        <v>54</v>
      </c>
    </row>
    <row r="10" customFormat="false" ht="15" hidden="false" customHeight="false" outlineLevel="0" collapsed="false">
      <c r="A10" s="0" t="s">
        <v>2763</v>
      </c>
      <c r="B10" s="0" t="n">
        <v>1926</v>
      </c>
      <c r="C10" s="0" t="s">
        <v>2764</v>
      </c>
      <c r="D10" s="0" t="s">
        <v>2765</v>
      </c>
      <c r="L10" s="0" t="s">
        <v>2766</v>
      </c>
      <c r="Y10" s="0" t="s">
        <v>29</v>
      </c>
      <c r="AA10" s="0" t="s">
        <v>29</v>
      </c>
      <c r="AB10" s="0" t="s">
        <v>29</v>
      </c>
      <c r="AD10" s="0" t="s">
        <v>29</v>
      </c>
      <c r="AF10" s="0" t="n">
        <f aca="false">LEN(D10)+LEN(E10)+LEN(F10)+LEN(G10)+LEN(H10)+LEN(I10)+LEN(J10)+LEN(K10)+LEN(L10)+LEN(M10)+LEN(N10)+LEN(O10)+LEN(P10)</f>
        <v>28</v>
      </c>
      <c r="AH10" s="0" t="s">
        <v>58</v>
      </c>
    </row>
    <row r="11" customFormat="false" ht="15" hidden="false" customHeight="false" outlineLevel="0" collapsed="false">
      <c r="A11" s="0" t="s">
        <v>2767</v>
      </c>
      <c r="B11" s="0" t="n">
        <v>1926</v>
      </c>
      <c r="C11" s="0" t="s">
        <v>2768</v>
      </c>
      <c r="D11" s="0" t="s">
        <v>2765</v>
      </c>
      <c r="F11" s="0" t="s">
        <v>2768</v>
      </c>
      <c r="L11" s="0" t="s">
        <v>2769</v>
      </c>
      <c r="AF11" s="0" t="n">
        <f aca="false">LEN(D11)+LEN(E11)+LEN(F11)+LEN(G11)+LEN(H11)+LEN(I11)+LEN(J11)+LEN(K11)+LEN(L11)+LEN(M11)+LEN(N11)+LEN(O11)+LEN(P11)</f>
        <v>40</v>
      </c>
      <c r="AH11" s="0" t="s">
        <v>63</v>
      </c>
    </row>
    <row r="12" customFormat="false" ht="15" hidden="false" customHeight="false" outlineLevel="0" collapsed="false">
      <c r="A12" s="0" t="s">
        <v>2770</v>
      </c>
      <c r="B12" s="0" t="n">
        <v>1926</v>
      </c>
      <c r="C12" s="0" t="s">
        <v>2771</v>
      </c>
      <c r="D12" s="0" t="s">
        <v>2765</v>
      </c>
      <c r="L12" s="0" t="s">
        <v>2772</v>
      </c>
      <c r="AF12" s="0" t="n">
        <f aca="false">LEN(D12)+LEN(E12)+LEN(F12)+LEN(G12)+LEN(H12)+LEN(I12)+LEN(J12)+LEN(K12)+LEN(L12)+LEN(M12)+LEN(N12)+LEN(O12)+LEN(P12)</f>
        <v>32</v>
      </c>
      <c r="AH12" s="0" t="s">
        <v>1441</v>
      </c>
      <c r="AI12" s="0" t="s">
        <v>69</v>
      </c>
    </row>
    <row r="13" customFormat="false" ht="15" hidden="false" customHeight="false" outlineLevel="0" collapsed="false">
      <c r="A13" s="0" t="s">
        <v>2770</v>
      </c>
      <c r="B13" s="0" t="n">
        <v>1926</v>
      </c>
      <c r="C13" s="0" t="s">
        <v>2771</v>
      </c>
      <c r="D13" s="0" t="s">
        <v>2765</v>
      </c>
      <c r="L13" s="0" t="s">
        <v>2772</v>
      </c>
      <c r="AF13" s="0" t="n">
        <f aca="false">LEN(D13)+LEN(E13)+LEN(F13)+LEN(G13)+LEN(H13)+LEN(I13)+LEN(J13)+LEN(K13)+LEN(L13)+LEN(M13)+LEN(N13)+LEN(O13)+LEN(P13)</f>
        <v>32</v>
      </c>
      <c r="AH13" s="0" t="s">
        <v>2773</v>
      </c>
      <c r="AI13" s="0" t="s">
        <v>29</v>
      </c>
    </row>
    <row r="14" customFormat="false" ht="15" hidden="false" customHeight="false" outlineLevel="0" collapsed="false">
      <c r="A14" s="0" t="s">
        <v>2774</v>
      </c>
      <c r="B14" s="0" t="n">
        <v>1926</v>
      </c>
      <c r="C14" s="0" t="s">
        <v>2775</v>
      </c>
      <c r="D14" s="0" t="s">
        <v>2765</v>
      </c>
      <c r="L14" s="0" t="s">
        <v>2776</v>
      </c>
      <c r="Y14" s="0" t="s">
        <v>69</v>
      </c>
      <c r="AA14" s="0" t="s">
        <v>29</v>
      </c>
      <c r="AB14" s="0" t="s">
        <v>29</v>
      </c>
      <c r="AD14" s="0" t="s">
        <v>29</v>
      </c>
      <c r="AE14" s="0" t="n">
        <v>1</v>
      </c>
      <c r="AF14" s="0" t="n">
        <f aca="false">LEN(D14)+LEN(E14)+LEN(F14)+LEN(G14)+LEN(H14)+LEN(I14)+LEN(J14)+LEN(K14)+LEN(L14)+LEN(M14)+LEN(N14)+LEN(O14)+LEN(P14)</f>
        <v>29</v>
      </c>
    </row>
    <row r="15" customFormat="false" ht="15" hidden="false" customHeight="false" outlineLevel="0" collapsed="false">
      <c r="A15" s="0" t="s">
        <v>2777</v>
      </c>
      <c r="B15" s="0" t="n">
        <v>1926</v>
      </c>
      <c r="C15" s="0" t="s">
        <v>2778</v>
      </c>
      <c r="D15" s="0" t="s">
        <v>2779</v>
      </c>
      <c r="L15" s="0" t="s">
        <v>2780</v>
      </c>
      <c r="AF15" s="0" t="n">
        <f aca="false">LEN(D15)+LEN(E15)+LEN(F15)+LEN(G15)+LEN(H15)+LEN(I15)+LEN(J15)+LEN(K15)+LEN(L15)+LEN(M15)+LEN(N15)+LEN(O15)+LEN(P15)</f>
        <v>45</v>
      </c>
    </row>
    <row r="16" customFormat="false" ht="15" hidden="false" customHeight="false" outlineLevel="0" collapsed="false">
      <c r="A16" s="0" t="s">
        <v>2781</v>
      </c>
      <c r="B16" s="0" t="n">
        <v>1926</v>
      </c>
      <c r="C16" s="0" t="s">
        <v>2782</v>
      </c>
      <c r="D16" s="0" t="s">
        <v>2779</v>
      </c>
      <c r="F16" s="0" t="s">
        <v>2782</v>
      </c>
      <c r="L16" s="0" t="s">
        <v>2769</v>
      </c>
      <c r="AF16" s="0" t="n">
        <f aca="false">LEN(D16)+LEN(E16)+LEN(F16)+LEN(G16)+LEN(H16)+LEN(I16)+LEN(J16)+LEN(K16)+LEN(L16)+LEN(M16)+LEN(N16)+LEN(O16)+LEN(P16)</f>
        <v>67</v>
      </c>
    </row>
    <row r="17" customFormat="false" ht="15" hidden="false" customHeight="false" outlineLevel="0" collapsed="false">
      <c r="A17" s="0" t="s">
        <v>2783</v>
      </c>
      <c r="B17" s="0" t="n">
        <v>1926</v>
      </c>
      <c r="C17" s="0" t="s">
        <v>2784</v>
      </c>
      <c r="D17" s="0" t="s">
        <v>2779</v>
      </c>
      <c r="L17" s="0" t="s">
        <v>2785</v>
      </c>
      <c r="M17" s="0" t="s">
        <v>2786</v>
      </c>
      <c r="N17" s="0" t="s">
        <v>2787</v>
      </c>
      <c r="P17" s="0" t="s">
        <v>2788</v>
      </c>
      <c r="AA17" s="0" t="s">
        <v>29</v>
      </c>
      <c r="AC17" s="0" t="s">
        <v>29</v>
      </c>
      <c r="AF17" s="0" t="n">
        <f aca="false">LEN(D17)+LEN(E17)+LEN(F17)+LEN(G17)+LEN(H17)+LEN(I17)+LEN(J17)+LEN(K17)+LEN(L17)+LEN(M17)+LEN(N17)+LEN(O17)+LEN(P17)</f>
        <v>64</v>
      </c>
    </row>
    <row r="18" customFormat="false" ht="15" hidden="false" customHeight="false" outlineLevel="0" collapsed="false">
      <c r="A18" s="0" t="s">
        <v>2789</v>
      </c>
      <c r="B18" s="0" t="n">
        <v>1926</v>
      </c>
      <c r="C18" s="0" t="s">
        <v>2790</v>
      </c>
      <c r="D18" s="0" t="s">
        <v>2791</v>
      </c>
      <c r="F18" s="0" t="s">
        <v>2790</v>
      </c>
      <c r="L18" s="0" t="s">
        <v>1329</v>
      </c>
      <c r="AF18" s="0" t="n">
        <f aca="false">LEN(D18)+LEN(E18)+LEN(F18)+LEN(G18)+LEN(H18)+LEN(I18)+LEN(J18)+LEN(K18)+LEN(L18)+LEN(M18)+LEN(N18)+LEN(O18)+LEN(P18)</f>
        <v>43</v>
      </c>
    </row>
    <row r="19" customFormat="false" ht="15" hidden="false" customHeight="false" outlineLevel="0" collapsed="false">
      <c r="A19" s="0" t="s">
        <v>2789</v>
      </c>
      <c r="B19" s="0" t="n">
        <v>1926</v>
      </c>
      <c r="C19" s="0" t="s">
        <v>2790</v>
      </c>
      <c r="D19" s="0" t="s">
        <v>2791</v>
      </c>
      <c r="F19" s="0" t="s">
        <v>2790</v>
      </c>
      <c r="L19" s="0" t="s">
        <v>1329</v>
      </c>
      <c r="AF19" s="0" t="n">
        <f aca="false">LEN(D19)+LEN(E19)+LEN(F19)+LEN(G19)+LEN(H19)+LEN(I19)+LEN(J19)+LEN(K19)+LEN(L19)+LEN(M19)+LEN(N19)+LEN(O19)+LEN(P19)</f>
        <v>43</v>
      </c>
    </row>
    <row r="20" customFormat="false" ht="15" hidden="false" customHeight="false" outlineLevel="0" collapsed="false">
      <c r="A20" s="0" t="s">
        <v>2792</v>
      </c>
      <c r="B20" s="0" t="n">
        <v>1926</v>
      </c>
      <c r="C20" s="0" t="s">
        <v>2793</v>
      </c>
      <c r="D20" s="0" t="s">
        <v>2791</v>
      </c>
      <c r="L20" s="0" t="s">
        <v>2794</v>
      </c>
      <c r="M20" s="0" t="s">
        <v>2795</v>
      </c>
      <c r="N20" s="0" t="s">
        <v>2796</v>
      </c>
      <c r="P20" s="0" t="s">
        <v>2797</v>
      </c>
      <c r="AA20" s="0" t="s">
        <v>29</v>
      </c>
      <c r="AC20" s="0" t="s">
        <v>29</v>
      </c>
      <c r="AF20" s="0" t="n">
        <f aca="false">LEN(D20)+LEN(E20)+LEN(F20)+LEN(G20)+LEN(H20)+LEN(I20)+LEN(J20)+LEN(K20)+LEN(L20)+LEN(M20)+LEN(N20)+LEN(O20)+LEN(P20)</f>
        <v>57</v>
      </c>
    </row>
    <row r="21" customFormat="false" ht="15" hidden="false" customHeight="false" outlineLevel="0" collapsed="false">
      <c r="A21" s="0" t="s">
        <v>2798</v>
      </c>
      <c r="B21" s="0" t="n">
        <v>1926</v>
      </c>
      <c r="C21" s="0" t="s">
        <v>2799</v>
      </c>
      <c r="D21" s="0" t="s">
        <v>2800</v>
      </c>
      <c r="L21" s="0" t="s">
        <v>2794</v>
      </c>
      <c r="AF21" s="0" t="n">
        <f aca="false">LEN(D21)+LEN(E21)+LEN(F21)+LEN(G21)+LEN(H21)+LEN(I21)+LEN(J21)+LEN(K21)+LEN(L21)+LEN(M21)+LEN(N21)+LEN(O21)+LEN(P21)</f>
        <v>34</v>
      </c>
    </row>
    <row r="22" customFormat="false" ht="15" hidden="false" customHeight="false" outlineLevel="0" collapsed="false">
      <c r="A22" s="0" t="s">
        <v>2801</v>
      </c>
      <c r="B22" s="0" t="n">
        <v>1926</v>
      </c>
      <c r="C22" s="0" t="s">
        <v>2802</v>
      </c>
      <c r="D22" s="0" t="s">
        <v>2800</v>
      </c>
      <c r="L22" s="0" t="s">
        <v>2794</v>
      </c>
      <c r="M22" s="0" t="s">
        <v>2803</v>
      </c>
      <c r="N22" s="0" t="s">
        <v>69</v>
      </c>
      <c r="O22" s="0" t="s">
        <v>1635</v>
      </c>
      <c r="P22" s="0" t="s">
        <v>882</v>
      </c>
      <c r="AA22" s="0" t="s">
        <v>29</v>
      </c>
      <c r="AC22" s="0" t="s">
        <v>29</v>
      </c>
      <c r="AF22" s="0" t="n">
        <f aca="false">LEN(D22)+LEN(E22)+LEN(F22)+LEN(G22)+LEN(H22)+LEN(I22)+LEN(J22)+LEN(K22)+LEN(L22)+LEN(M22)+LEN(N22)+LEN(O22)+LEN(P22)</f>
        <v>54</v>
      </c>
    </row>
    <row r="23" customFormat="false" ht="15" hidden="false" customHeight="false" outlineLevel="0" collapsed="false">
      <c r="A23" s="0" t="s">
        <v>2804</v>
      </c>
      <c r="B23" s="0" t="n">
        <v>1926</v>
      </c>
      <c r="C23" s="0" t="s">
        <v>2805</v>
      </c>
      <c r="D23" s="0" t="s">
        <v>2806</v>
      </c>
      <c r="L23" s="0" t="s">
        <v>1329</v>
      </c>
      <c r="AF23" s="0" t="n">
        <f aca="false">LEN(D23)+LEN(E23)+LEN(F23)+LEN(G23)+LEN(H23)+LEN(I23)+LEN(J23)+LEN(K23)+LEN(L23)+LEN(M23)+LEN(N23)+LEN(O23)+LEN(P23)</f>
        <v>36</v>
      </c>
    </row>
    <row r="24" customFormat="false" ht="15" hidden="false" customHeight="false" outlineLevel="0" collapsed="false">
      <c r="A24" s="0" t="s">
        <v>2807</v>
      </c>
      <c r="B24" s="0" t="n">
        <v>1926</v>
      </c>
      <c r="C24" s="0" t="s">
        <v>2808</v>
      </c>
      <c r="D24" s="0" t="s">
        <v>2809</v>
      </c>
      <c r="J24" s="0" t="s">
        <v>2810</v>
      </c>
      <c r="L24" s="0" t="s">
        <v>1329</v>
      </c>
      <c r="AF24" s="0" t="n">
        <f aca="false">LEN(D24)+LEN(E24)+LEN(F24)+LEN(G24)+LEN(H24)+LEN(I24)+LEN(J24)+LEN(K24)+LEN(L24)+LEN(M24)+LEN(N24)+LEN(O24)+LEN(P24)</f>
        <v>43</v>
      </c>
    </row>
    <row r="25" customFormat="false" ht="15" hidden="false" customHeight="false" outlineLevel="0" collapsed="false">
      <c r="A25" s="0" t="s">
        <v>2811</v>
      </c>
      <c r="B25" s="0" t="n">
        <v>1926</v>
      </c>
      <c r="C25" s="0" t="s">
        <v>2812</v>
      </c>
      <c r="D25" s="0" t="s">
        <v>2809</v>
      </c>
      <c r="I25" s="0" t="s">
        <v>2813</v>
      </c>
      <c r="L25" s="0" t="s">
        <v>1329</v>
      </c>
      <c r="AF25" s="0" t="n">
        <f aca="false">LEN(D25)+LEN(E25)+LEN(F25)+LEN(G25)+LEN(H25)+LEN(I25)+LEN(J25)+LEN(K25)+LEN(L25)+LEN(M25)+LEN(N25)+LEN(O25)+LEN(P25)</f>
        <v>46</v>
      </c>
    </row>
    <row r="26" customFormat="false" ht="15" hidden="false" customHeight="false" outlineLevel="0" collapsed="false">
      <c r="A26" s="0" t="s">
        <v>2814</v>
      </c>
      <c r="B26" s="0" t="n">
        <v>1926</v>
      </c>
      <c r="C26" s="0" t="s">
        <v>2815</v>
      </c>
      <c r="D26" s="0" t="s">
        <v>2809</v>
      </c>
      <c r="L26" s="0" t="s">
        <v>2816</v>
      </c>
      <c r="M26" s="0" t="s">
        <v>2817</v>
      </c>
      <c r="N26" s="0" t="s">
        <v>2818</v>
      </c>
      <c r="P26" s="0" t="s">
        <v>2819</v>
      </c>
      <c r="AA26" s="0" t="s">
        <v>29</v>
      </c>
      <c r="AF26" s="0" t="n">
        <f aca="false">LEN(D26)+LEN(E26)+LEN(F26)+LEN(G26)+LEN(H26)+LEN(I26)+LEN(J26)+LEN(K26)+LEN(L26)+LEN(M26)+LEN(N26)+LEN(O26)+LEN(P26)</f>
        <v>62</v>
      </c>
    </row>
    <row r="27" customFormat="false" ht="15" hidden="false" customHeight="false" outlineLevel="0" collapsed="false">
      <c r="A27" s="0" t="s">
        <v>2820</v>
      </c>
      <c r="B27" s="0" t="n">
        <v>1926</v>
      </c>
      <c r="C27" s="0" t="s">
        <v>2821</v>
      </c>
      <c r="D27" s="0" t="s">
        <v>2822</v>
      </c>
      <c r="G27" s="0" t="s">
        <v>2821</v>
      </c>
      <c r="L27" s="0" t="s">
        <v>1329</v>
      </c>
      <c r="AF27" s="0" t="n">
        <f aca="false">LEN(D27)+LEN(E27)+LEN(F27)+LEN(G27)+LEN(H27)+LEN(I27)+LEN(J27)+LEN(K27)+LEN(L27)+LEN(M27)+LEN(N27)+LEN(O27)+LEN(P27)</f>
        <v>71</v>
      </c>
    </row>
    <row r="28" customFormat="false" ht="15" hidden="false" customHeight="false" outlineLevel="0" collapsed="false">
      <c r="A28" s="0" t="s">
        <v>2823</v>
      </c>
      <c r="B28" s="0" t="n">
        <v>1926</v>
      </c>
      <c r="C28" s="0" t="s">
        <v>2824</v>
      </c>
      <c r="D28" s="0" t="s">
        <v>2825</v>
      </c>
      <c r="L28" s="0" t="s">
        <v>2826</v>
      </c>
      <c r="Y28" s="0" t="s">
        <v>29</v>
      </c>
      <c r="AF28" s="0" t="n">
        <f aca="false">LEN(D28)+LEN(E28)+LEN(F28)+LEN(G28)+LEN(H28)+LEN(I28)+LEN(J28)+LEN(K28)+LEN(L28)+LEN(M28)+LEN(N28)+LEN(O28)+LEN(P28)</f>
        <v>50</v>
      </c>
    </row>
    <row r="29" customFormat="false" ht="15" hidden="false" customHeight="false" outlineLevel="0" collapsed="false">
      <c r="A29" s="0" t="s">
        <v>2827</v>
      </c>
      <c r="B29" s="0" t="n">
        <v>1926</v>
      </c>
      <c r="C29" s="0" t="s">
        <v>2828</v>
      </c>
      <c r="D29" s="0" t="s">
        <v>2825</v>
      </c>
      <c r="F29" s="0" t="s">
        <v>2828</v>
      </c>
      <c r="L29" s="0" t="s">
        <v>1329</v>
      </c>
      <c r="AF29" s="0" t="n">
        <f aca="false">LEN(D29)+LEN(E29)+LEN(F29)+LEN(G29)+LEN(H29)+LEN(I29)+LEN(J29)+LEN(K29)+LEN(L29)+LEN(M29)+LEN(N29)+LEN(O29)+LEN(P29)</f>
        <v>53</v>
      </c>
    </row>
    <row r="30" customFormat="false" ht="15" hidden="false" customHeight="false" outlineLevel="0" collapsed="false">
      <c r="A30" s="0" t="s">
        <v>2827</v>
      </c>
      <c r="B30" s="0" t="n">
        <v>1926</v>
      </c>
      <c r="C30" s="0" t="s">
        <v>2829</v>
      </c>
      <c r="D30" s="0" t="s">
        <v>2825</v>
      </c>
      <c r="G30" s="0" t="s">
        <v>2829</v>
      </c>
      <c r="L30" s="0" t="s">
        <v>1329</v>
      </c>
      <c r="T30" s="0" t="s">
        <v>29</v>
      </c>
      <c r="U30" s="0" t="s">
        <v>29</v>
      </c>
      <c r="AF30" s="0" t="n">
        <f aca="false">LEN(D30)+LEN(E30)+LEN(F30)+LEN(G30)+LEN(H30)+LEN(I30)+LEN(J30)+LEN(K30)+LEN(L30)+LEN(M30)+LEN(N30)+LEN(O30)+LEN(P30)</f>
        <v>87</v>
      </c>
    </row>
    <row r="31" customFormat="false" ht="15" hidden="false" customHeight="false" outlineLevel="0" collapsed="false">
      <c r="A31" s="0" t="s">
        <v>2830</v>
      </c>
      <c r="B31" s="0" t="n">
        <v>1926</v>
      </c>
      <c r="C31" s="0" t="s">
        <v>2831</v>
      </c>
      <c r="D31" s="0" t="s">
        <v>2825</v>
      </c>
      <c r="L31" s="0" t="s">
        <v>2816</v>
      </c>
      <c r="M31" s="0" t="s">
        <v>2832</v>
      </c>
      <c r="N31" s="0" t="s">
        <v>385</v>
      </c>
      <c r="P31" s="0" t="s">
        <v>2833</v>
      </c>
      <c r="AA31" s="0" t="s">
        <v>29</v>
      </c>
      <c r="AC31" s="0" t="s">
        <v>29</v>
      </c>
      <c r="AF31" s="0" t="n">
        <f aca="false">LEN(D31)+LEN(E31)+LEN(F31)+LEN(G31)+LEN(H31)+LEN(I31)+LEN(J31)+LEN(K31)+LEN(L31)+LEN(M31)+LEN(N31)+LEN(O31)+LEN(P31)</f>
        <v>64</v>
      </c>
    </row>
    <row r="32" customFormat="false" ht="15" hidden="false" customHeight="false" outlineLevel="0" collapsed="false">
      <c r="A32" s="0" t="s">
        <v>2834</v>
      </c>
      <c r="B32" s="0" t="n">
        <v>1926</v>
      </c>
      <c r="C32" s="0" t="s">
        <v>2835</v>
      </c>
      <c r="D32" s="0" t="s">
        <v>2836</v>
      </c>
      <c r="L32" s="0" t="s">
        <v>2794</v>
      </c>
      <c r="M32" s="0" t="s">
        <v>2837</v>
      </c>
      <c r="N32" s="0" t="s">
        <v>2121</v>
      </c>
      <c r="P32" s="0" t="s">
        <v>882</v>
      </c>
      <c r="AA32" s="0" t="s">
        <v>29</v>
      </c>
      <c r="AF32" s="0" t="n">
        <f aca="false">LEN(D32)+LEN(E32)+LEN(F32)+LEN(G32)+LEN(H32)+LEN(I32)+LEN(J32)+LEN(K32)+LEN(L32)+LEN(M32)+LEN(N32)+LEN(O32)+LEN(P32)</f>
        <v>64</v>
      </c>
    </row>
    <row r="33" customFormat="false" ht="15" hidden="false" customHeight="false" outlineLevel="0" collapsed="false">
      <c r="A33" s="0" t="s">
        <v>2838</v>
      </c>
      <c r="B33" s="0" t="n">
        <v>1926</v>
      </c>
      <c r="C33" s="0" t="s">
        <v>2839</v>
      </c>
      <c r="D33" s="0" t="s">
        <v>2840</v>
      </c>
      <c r="L33" s="0" t="s">
        <v>2794</v>
      </c>
      <c r="M33" s="0" t="s">
        <v>2841</v>
      </c>
      <c r="N33" s="0" t="s">
        <v>962</v>
      </c>
      <c r="P33" s="0" t="s">
        <v>882</v>
      </c>
      <c r="AC33" s="0" t="s">
        <v>29</v>
      </c>
      <c r="AF33" s="0" t="n">
        <f aca="false">LEN(D33)+LEN(E33)+LEN(F33)+LEN(G33)+LEN(H33)+LEN(I33)+LEN(J33)+LEN(K33)+LEN(L33)+LEN(M33)+LEN(N33)+LEN(O33)+LEN(P33)</f>
        <v>65</v>
      </c>
    </row>
    <row r="34" customFormat="false" ht="15" hidden="false" customHeight="false" outlineLevel="0" collapsed="false">
      <c r="A34" s="0" t="s">
        <v>2842</v>
      </c>
      <c r="B34" s="0" t="n">
        <v>1926</v>
      </c>
      <c r="C34" s="0" t="s">
        <v>2843</v>
      </c>
      <c r="D34" s="0" t="s">
        <v>2844</v>
      </c>
      <c r="G34" s="0" t="s">
        <v>2843</v>
      </c>
      <c r="L34" s="0" t="s">
        <v>1329</v>
      </c>
      <c r="AF34" s="0" t="n">
        <f aca="false">LEN(D34)+LEN(E34)+LEN(F34)+LEN(G34)+LEN(H34)+LEN(I34)+LEN(J34)+LEN(K34)+LEN(L34)+LEN(M34)+LEN(N34)+LEN(O34)+LEN(P34)</f>
        <v>93</v>
      </c>
    </row>
    <row r="35" customFormat="false" ht="15" hidden="false" customHeight="false" outlineLevel="0" collapsed="false">
      <c r="A35" s="0" t="s">
        <v>2842</v>
      </c>
      <c r="B35" s="0" t="n">
        <v>1926</v>
      </c>
      <c r="C35" s="0" t="s">
        <v>2845</v>
      </c>
      <c r="D35" s="0" t="s">
        <v>2844</v>
      </c>
      <c r="F35" s="0" t="s">
        <v>2845</v>
      </c>
      <c r="L35" s="0" t="s">
        <v>1329</v>
      </c>
      <c r="AF35" s="0" t="n">
        <f aca="false">LEN(D35)+LEN(E35)+LEN(F35)+LEN(G35)+LEN(H35)+LEN(I35)+LEN(J35)+LEN(K35)+LEN(L35)+LEN(M35)+LEN(N35)+LEN(O35)+LEN(P35)</f>
        <v>68</v>
      </c>
    </row>
    <row r="36" customFormat="false" ht="15" hidden="false" customHeight="false" outlineLevel="0" collapsed="false">
      <c r="A36" s="0" t="s">
        <v>2842</v>
      </c>
      <c r="B36" s="0" t="n">
        <v>1926</v>
      </c>
      <c r="C36" s="0" t="s">
        <v>2843</v>
      </c>
      <c r="D36" s="0" t="s">
        <v>2844</v>
      </c>
      <c r="G36" s="0" t="s">
        <v>2843</v>
      </c>
      <c r="L36" s="0" t="s">
        <v>1329</v>
      </c>
      <c r="AF36" s="0" t="n">
        <f aca="false">LEN(D36)+LEN(E36)+LEN(F36)+LEN(G36)+LEN(H36)+LEN(I36)+LEN(J36)+LEN(K36)+LEN(L36)+LEN(M36)+LEN(N36)+LEN(O36)+LEN(P36)</f>
        <v>93</v>
      </c>
    </row>
    <row r="37" customFormat="false" ht="15" hidden="false" customHeight="false" outlineLevel="0" collapsed="false">
      <c r="A37" s="0" t="s">
        <v>2846</v>
      </c>
      <c r="B37" s="0" t="n">
        <v>1926</v>
      </c>
      <c r="C37" s="0" t="s">
        <v>2847</v>
      </c>
      <c r="D37" s="0" t="s">
        <v>2848</v>
      </c>
      <c r="F37" s="0" t="s">
        <v>2847</v>
      </c>
      <c r="L37" s="0" t="s">
        <v>1329</v>
      </c>
      <c r="AF37" s="0" t="n">
        <f aca="false">LEN(D37)+LEN(E37)+LEN(F37)+LEN(G37)+LEN(H37)+LEN(I37)+LEN(J37)+LEN(K37)+LEN(L37)+LEN(M37)+LEN(N37)+LEN(O37)+LEN(P37)</f>
        <v>38</v>
      </c>
    </row>
    <row r="38" customFormat="false" ht="15" hidden="false" customHeight="false" outlineLevel="0" collapsed="false">
      <c r="A38" s="0" t="s">
        <v>2849</v>
      </c>
      <c r="B38" s="0" t="n">
        <v>1926</v>
      </c>
      <c r="C38" s="0" t="s">
        <v>2850</v>
      </c>
      <c r="D38" s="0" t="s">
        <v>2848</v>
      </c>
      <c r="I38" s="0" t="s">
        <v>2851</v>
      </c>
      <c r="L38" s="0" t="s">
        <v>1329</v>
      </c>
      <c r="AF38" s="0" t="n">
        <f aca="false">LEN(D38)+LEN(E38)+LEN(F38)+LEN(G38)+LEN(H38)+LEN(I38)+LEN(J38)+LEN(K38)+LEN(L38)+LEN(M38)+LEN(N38)+LEN(O38)+LEN(P38)</f>
        <v>41</v>
      </c>
    </row>
    <row r="39" customFormat="false" ht="15" hidden="false" customHeight="false" outlineLevel="0" collapsed="false">
      <c r="A39" s="0" t="s">
        <v>2852</v>
      </c>
      <c r="B39" s="0" t="n">
        <v>1926</v>
      </c>
      <c r="C39" s="0" t="s">
        <v>2853</v>
      </c>
      <c r="D39" s="0" t="s">
        <v>2848</v>
      </c>
      <c r="L39" s="0" t="s">
        <v>2854</v>
      </c>
      <c r="M39" s="0" t="s">
        <v>2855</v>
      </c>
      <c r="N39" s="0" t="s">
        <v>2856</v>
      </c>
      <c r="P39" s="0" t="s">
        <v>2857</v>
      </c>
      <c r="AA39" s="0" t="s">
        <v>29</v>
      </c>
      <c r="AC39" s="0" t="s">
        <v>29</v>
      </c>
      <c r="AF39" s="0" t="n">
        <f aca="false">LEN(D39)+LEN(E39)+LEN(F39)+LEN(G39)+LEN(H39)+LEN(I39)+LEN(J39)+LEN(K39)+LEN(L39)+LEN(M39)+LEN(N39)+LEN(O39)+LEN(P39)</f>
        <v>51</v>
      </c>
    </row>
    <row r="40" customFormat="false" ht="15" hidden="false" customHeight="false" outlineLevel="0" collapsed="false">
      <c r="A40" s="0" t="s">
        <v>2858</v>
      </c>
      <c r="B40" s="0" t="n">
        <v>1926</v>
      </c>
      <c r="C40" s="0" t="s">
        <v>2859</v>
      </c>
      <c r="D40" s="0" t="s">
        <v>2860</v>
      </c>
      <c r="L40" s="0" t="s">
        <v>2861</v>
      </c>
      <c r="Y40" s="0" t="s">
        <v>29</v>
      </c>
      <c r="AF40" s="0" t="n">
        <f aca="false">LEN(D40)+LEN(E40)+LEN(F40)+LEN(G40)+LEN(H40)+LEN(I40)+LEN(J40)+LEN(K40)+LEN(L40)+LEN(M40)+LEN(N40)+LEN(O40)+LEN(P40)</f>
        <v>32</v>
      </c>
    </row>
    <row r="41" customFormat="false" ht="15" hidden="false" customHeight="false" outlineLevel="0" collapsed="false">
      <c r="A41" s="0" t="s">
        <v>2862</v>
      </c>
      <c r="B41" s="0" t="n">
        <v>1926</v>
      </c>
      <c r="C41" s="0" t="s">
        <v>2863</v>
      </c>
      <c r="D41" s="0" t="s">
        <v>2860</v>
      </c>
      <c r="L41" s="0" t="s">
        <v>2864</v>
      </c>
      <c r="M41" s="0" t="s">
        <v>2865</v>
      </c>
      <c r="N41" s="0" t="s">
        <v>1267</v>
      </c>
      <c r="P41" s="0" t="s">
        <v>2866</v>
      </c>
      <c r="AC41" s="0" t="s">
        <v>29</v>
      </c>
      <c r="AF41" s="0" t="n">
        <f aca="false">LEN(D41)+LEN(E41)+LEN(F41)+LEN(G41)+LEN(H41)+LEN(I41)+LEN(J41)+LEN(K41)+LEN(L41)+LEN(M41)+LEN(N41)+LEN(O41)+LEN(P41)</f>
        <v>42</v>
      </c>
    </row>
    <row r="42" customFormat="false" ht="15" hidden="false" customHeight="false" outlineLevel="0" collapsed="false">
      <c r="A42" s="0" t="s">
        <v>2867</v>
      </c>
      <c r="B42" s="0" t="n">
        <v>1926</v>
      </c>
      <c r="C42" s="0" t="s">
        <v>2868</v>
      </c>
      <c r="D42" s="0" t="s">
        <v>2860</v>
      </c>
      <c r="L42" s="0" t="s">
        <v>2864</v>
      </c>
      <c r="M42" s="0" t="s">
        <v>2869</v>
      </c>
      <c r="N42" s="0" t="s">
        <v>2870</v>
      </c>
      <c r="P42" s="0" t="s">
        <v>2871</v>
      </c>
      <c r="AA42" s="0" t="s">
        <v>29</v>
      </c>
      <c r="AC42" s="0" t="s">
        <v>29</v>
      </c>
      <c r="AF42" s="0" t="n">
        <f aca="false">LEN(D42)+LEN(E42)+LEN(F42)+LEN(G42)+LEN(H42)+LEN(I42)+LEN(J42)+LEN(K42)+LEN(L42)+LEN(M42)+LEN(N42)+LEN(O42)+LEN(P42)</f>
        <v>54</v>
      </c>
    </row>
    <row r="43" customFormat="false" ht="15" hidden="false" customHeight="false" outlineLevel="0" collapsed="false">
      <c r="A43" s="0" t="s">
        <v>2872</v>
      </c>
      <c r="B43" s="0" t="n">
        <v>1926</v>
      </c>
      <c r="C43" s="0" t="s">
        <v>2873</v>
      </c>
      <c r="D43" s="0" t="s">
        <v>2860</v>
      </c>
      <c r="L43" s="0" t="s">
        <v>2794</v>
      </c>
      <c r="AA43" s="0" t="s">
        <v>29</v>
      </c>
      <c r="AB43" s="0" t="s">
        <v>29</v>
      </c>
      <c r="AC43" s="0" t="s">
        <v>29</v>
      </c>
      <c r="AD43" s="0" t="s">
        <v>29</v>
      </c>
      <c r="AF43" s="0" t="n">
        <f aca="false">LEN(D43)+LEN(E43)+LEN(F43)+LEN(G43)+LEN(H43)+LEN(I43)+LEN(J43)+LEN(K43)+LEN(L43)+LEN(M43)+LEN(N43)+LEN(O43)+LEN(P43)</f>
        <v>34</v>
      </c>
    </row>
    <row r="44" customFormat="false" ht="15" hidden="false" customHeight="false" outlineLevel="0" collapsed="false">
      <c r="A44" s="0" t="s">
        <v>2874</v>
      </c>
      <c r="B44" s="0" t="n">
        <v>1926</v>
      </c>
      <c r="C44" s="0" t="s">
        <v>2875</v>
      </c>
      <c r="D44" s="0" t="s">
        <v>2876</v>
      </c>
      <c r="L44" s="0" t="s">
        <v>2794</v>
      </c>
      <c r="AF44" s="0" t="n">
        <f aca="false">LEN(D44)+LEN(E44)+LEN(F44)+LEN(G44)+LEN(H44)+LEN(I44)+LEN(J44)+LEN(K44)+LEN(L44)+LEN(M44)+LEN(N44)+LEN(O44)+LEN(P44)</f>
        <v>35</v>
      </c>
    </row>
    <row r="45" customFormat="false" ht="15" hidden="false" customHeight="false" outlineLevel="0" collapsed="false">
      <c r="A45" s="0" t="s">
        <v>2877</v>
      </c>
      <c r="B45" s="0" t="n">
        <v>1926</v>
      </c>
      <c r="C45" s="0" t="s">
        <v>2878</v>
      </c>
      <c r="D45" s="0" t="s">
        <v>2879</v>
      </c>
      <c r="L45" s="0" t="s">
        <v>2880</v>
      </c>
      <c r="AF45" s="0" t="n">
        <f aca="false">LEN(D45)+LEN(E45)+LEN(F45)+LEN(G45)+LEN(H45)+LEN(I45)+LEN(J45)+LEN(K45)+LEN(L45)+LEN(M45)+LEN(N45)+LEN(O45)+LEN(P45)</f>
        <v>40</v>
      </c>
    </row>
    <row r="46" customFormat="false" ht="15" hidden="false" customHeight="false" outlineLevel="0" collapsed="false">
      <c r="A46" s="0" t="s">
        <v>2881</v>
      </c>
      <c r="B46" s="0" t="n">
        <v>1926</v>
      </c>
      <c r="C46" s="0" t="s">
        <v>2882</v>
      </c>
      <c r="D46" s="0" t="s">
        <v>2883</v>
      </c>
      <c r="I46" s="0" t="s">
        <v>2884</v>
      </c>
      <c r="L46" s="0" t="s">
        <v>1329</v>
      </c>
      <c r="AF46" s="0" t="n">
        <f aca="false">LEN(D46)+LEN(E46)+LEN(F46)+LEN(G46)+LEN(H46)+LEN(I46)+LEN(J46)+LEN(K46)+LEN(L46)+LEN(M46)+LEN(N46)+LEN(O46)+LEN(P46)</f>
        <v>60</v>
      </c>
    </row>
    <row r="47" customFormat="false" ht="15" hidden="false" customHeight="false" outlineLevel="0" collapsed="false">
      <c r="A47" s="0" t="s">
        <v>2885</v>
      </c>
      <c r="B47" s="0" t="n">
        <v>1926</v>
      </c>
      <c r="C47" s="0" t="s">
        <v>2886</v>
      </c>
      <c r="D47" s="0" t="s">
        <v>2887</v>
      </c>
      <c r="K47" s="0" t="s">
        <v>2886</v>
      </c>
      <c r="L47" s="0" t="s">
        <v>1329</v>
      </c>
      <c r="AF47" s="0" t="n">
        <f aca="false">LEN(D47)+LEN(E47)+LEN(F47)+LEN(G47)+LEN(H47)+LEN(I47)+LEN(J47)+LEN(K47)+LEN(L47)+LEN(M47)+LEN(N47)+LEN(O47)+LEN(P47)</f>
        <v>61</v>
      </c>
    </row>
    <row r="48" customFormat="false" ht="15" hidden="false" customHeight="false" outlineLevel="0" collapsed="false">
      <c r="A48" s="0" t="s">
        <v>2888</v>
      </c>
      <c r="B48" s="0" t="n">
        <v>1926</v>
      </c>
      <c r="C48" s="0" t="s">
        <v>2889</v>
      </c>
      <c r="D48" s="0" t="s">
        <v>2887</v>
      </c>
      <c r="L48" s="0" t="s">
        <v>2890</v>
      </c>
      <c r="AF48" s="0" t="n">
        <f aca="false">LEN(D48)+LEN(E48)+LEN(F48)+LEN(G48)+LEN(H48)+LEN(I48)+LEN(J48)+LEN(K48)+LEN(L48)+LEN(M48)+LEN(N48)+LEN(O48)+LEN(P48)</f>
        <v>34</v>
      </c>
    </row>
    <row r="49" customFormat="false" ht="15" hidden="false" customHeight="false" outlineLevel="0" collapsed="false">
      <c r="A49" s="0" t="s">
        <v>2891</v>
      </c>
      <c r="B49" s="0" t="n">
        <v>1926</v>
      </c>
      <c r="C49" s="0" t="s">
        <v>2892</v>
      </c>
      <c r="D49" s="0" t="s">
        <v>2887</v>
      </c>
      <c r="L49" s="0" t="s">
        <v>2893</v>
      </c>
      <c r="Y49" s="0" t="s">
        <v>29</v>
      </c>
      <c r="AF49" s="0" t="n">
        <f aca="false">LEN(D49)+LEN(E49)+LEN(F49)+LEN(G49)+LEN(H49)+LEN(I49)+LEN(J49)+LEN(K49)+LEN(L49)+LEN(M49)+LEN(N49)+LEN(O49)+LEN(P49)</f>
        <v>37</v>
      </c>
    </row>
    <row r="50" customFormat="false" ht="15" hidden="false" customHeight="false" outlineLevel="0" collapsed="false">
      <c r="A50" s="0" t="s">
        <v>2894</v>
      </c>
      <c r="B50" s="0" t="n">
        <v>1926</v>
      </c>
      <c r="C50" s="0" t="s">
        <v>2895</v>
      </c>
      <c r="D50" s="0" t="s">
        <v>2887</v>
      </c>
      <c r="F50" s="0" t="s">
        <v>2895</v>
      </c>
      <c r="L50" s="0" t="s">
        <v>1329</v>
      </c>
      <c r="AF50" s="0" t="n">
        <f aca="false">LEN(D50)+LEN(E50)+LEN(F50)+LEN(G50)+LEN(H50)+LEN(I50)+LEN(J50)+LEN(K50)+LEN(L50)+LEN(M50)+LEN(N50)+LEN(O50)+LEN(P50)</f>
        <v>40</v>
      </c>
    </row>
    <row r="51" customFormat="false" ht="15" hidden="false" customHeight="false" outlineLevel="0" collapsed="false">
      <c r="A51" s="0" t="s">
        <v>2896</v>
      </c>
      <c r="B51" s="0" t="n">
        <v>1926</v>
      </c>
      <c r="C51" s="0" t="s">
        <v>2897</v>
      </c>
      <c r="D51" s="0" t="s">
        <v>2898</v>
      </c>
      <c r="L51" s="0" t="s">
        <v>2899</v>
      </c>
      <c r="M51" s="0" t="s">
        <v>2900</v>
      </c>
      <c r="N51" s="0" t="s">
        <v>2901</v>
      </c>
      <c r="O51" s="0" t="s">
        <v>2902</v>
      </c>
      <c r="P51" s="0" t="s">
        <v>2903</v>
      </c>
      <c r="AC51" s="0" t="s">
        <v>29</v>
      </c>
      <c r="AF51" s="0" t="n">
        <f aca="false">LEN(D51)+LEN(E51)+LEN(F51)+LEN(G51)+LEN(H51)+LEN(I51)+LEN(J51)+LEN(K51)+LEN(L51)+LEN(M51)+LEN(N51)+LEN(O51)+LEN(P51)</f>
        <v>68</v>
      </c>
    </row>
    <row r="52" customFormat="false" ht="15" hidden="false" customHeight="false" outlineLevel="0" collapsed="false">
      <c r="A52" s="0" t="s">
        <v>2904</v>
      </c>
      <c r="B52" s="0" t="n">
        <v>1926</v>
      </c>
      <c r="C52" s="0" t="s">
        <v>2905</v>
      </c>
      <c r="D52" s="0" t="s">
        <v>2898</v>
      </c>
      <c r="L52" s="0" t="s">
        <v>2899</v>
      </c>
      <c r="M52" s="0" t="s">
        <v>2906</v>
      </c>
      <c r="N52" s="0" t="s">
        <v>1267</v>
      </c>
      <c r="O52" s="0" t="s">
        <v>881</v>
      </c>
      <c r="P52" s="0" t="s">
        <v>2907</v>
      </c>
      <c r="AA52" s="0" t="s">
        <v>29</v>
      </c>
      <c r="AC52" s="0" t="s">
        <v>29</v>
      </c>
      <c r="AF52" s="0" t="n">
        <f aca="false">LEN(D52)+LEN(E52)+LEN(F52)+LEN(G52)+LEN(H52)+LEN(I52)+LEN(J52)+LEN(K52)+LEN(L52)+LEN(M52)+LEN(N52)+LEN(O52)+LEN(P52)</f>
        <v>60</v>
      </c>
    </row>
    <row r="53" customFormat="false" ht="15" hidden="false" customHeight="false" outlineLevel="0" collapsed="false">
      <c r="A53" s="0" t="s">
        <v>2908</v>
      </c>
      <c r="B53" s="0" t="n">
        <v>1926</v>
      </c>
      <c r="C53" s="0" t="s">
        <v>2909</v>
      </c>
      <c r="D53" s="0" t="s">
        <v>2898</v>
      </c>
      <c r="L53" s="0" t="s">
        <v>1329</v>
      </c>
      <c r="M53" s="0" t="s">
        <v>2910</v>
      </c>
      <c r="N53" s="0" t="s">
        <v>2217</v>
      </c>
      <c r="P53" s="0" t="s">
        <v>2911</v>
      </c>
      <c r="AA53" s="0" t="s">
        <v>29</v>
      </c>
      <c r="AF53" s="0" t="n">
        <f aca="false">LEN(D53)+LEN(E53)+LEN(F53)+LEN(G53)+LEN(H53)+LEN(I53)+LEN(J53)+LEN(K53)+LEN(L53)+LEN(M53)+LEN(N53)+LEN(O53)+LEN(P53)</f>
        <v>73</v>
      </c>
    </row>
    <row r="54" customFormat="false" ht="15" hidden="false" customHeight="false" outlineLevel="0" collapsed="false">
      <c r="A54" s="0" t="s">
        <v>2912</v>
      </c>
      <c r="B54" s="0" t="n">
        <v>1926</v>
      </c>
      <c r="C54" s="0" t="s">
        <v>2913</v>
      </c>
      <c r="D54" s="0" t="s">
        <v>2914</v>
      </c>
      <c r="L54" s="0" t="s">
        <v>1329</v>
      </c>
      <c r="R54" s="0" t="s">
        <v>29</v>
      </c>
      <c r="AF54" s="0" t="n">
        <f aca="false">LEN(D54)+LEN(E54)+LEN(F54)+LEN(G54)+LEN(H54)+LEN(I54)+LEN(J54)+LEN(K54)+LEN(L54)+LEN(M54)+LEN(N54)+LEN(O54)+LEN(P54)</f>
        <v>27</v>
      </c>
    </row>
    <row r="55" customFormat="false" ht="15" hidden="false" customHeight="false" outlineLevel="0" collapsed="false">
      <c r="A55" s="0" t="s">
        <v>2915</v>
      </c>
      <c r="B55" s="0" t="n">
        <v>1926</v>
      </c>
      <c r="C55" s="0" t="s">
        <v>2916</v>
      </c>
      <c r="D55" s="0" t="s">
        <v>2914</v>
      </c>
      <c r="G55" s="0" t="s">
        <v>2916</v>
      </c>
      <c r="L55" s="0" t="s">
        <v>1329</v>
      </c>
      <c r="AF55" s="0" t="n">
        <f aca="false">LEN(D55)+LEN(E55)+LEN(F55)+LEN(G55)+LEN(H55)+LEN(I55)+LEN(J55)+LEN(K55)+LEN(L55)+LEN(M55)+LEN(N55)+LEN(O55)+LEN(P55)</f>
        <v>110</v>
      </c>
    </row>
    <row r="56" customFormat="false" ht="15" hidden="false" customHeight="false" outlineLevel="0" collapsed="false">
      <c r="A56" s="0" t="s">
        <v>2917</v>
      </c>
      <c r="B56" s="0" t="n">
        <v>1926</v>
      </c>
      <c r="C56" s="0" t="s">
        <v>2918</v>
      </c>
      <c r="D56" s="0" t="s">
        <v>2919</v>
      </c>
      <c r="L56" s="0" t="s">
        <v>2920</v>
      </c>
      <c r="AF56" s="0" t="n">
        <f aca="false">LEN(D56)+LEN(E56)+LEN(F56)+LEN(G56)+LEN(H56)+LEN(I56)+LEN(J56)+LEN(K56)+LEN(L56)+LEN(M56)+LEN(N56)+LEN(O56)+LEN(P56)</f>
        <v>38</v>
      </c>
    </row>
    <row r="57" customFormat="false" ht="15" hidden="false" customHeight="false" outlineLevel="0" collapsed="false">
      <c r="A57" s="0" t="s">
        <v>2921</v>
      </c>
      <c r="B57" s="0" t="n">
        <v>1926</v>
      </c>
      <c r="C57" s="0" t="s">
        <v>2922</v>
      </c>
      <c r="D57" s="0" t="s">
        <v>2923</v>
      </c>
      <c r="L57" s="0" t="s">
        <v>2924</v>
      </c>
      <c r="AF57" s="0" t="n">
        <f aca="false">LEN(D57)+LEN(E57)+LEN(F57)+LEN(G57)+LEN(H57)+LEN(I57)+LEN(J57)+LEN(K57)+LEN(L57)+LEN(M57)+LEN(N57)+LEN(O57)+LEN(P57)</f>
        <v>47</v>
      </c>
    </row>
    <row r="58" customFormat="false" ht="15" hidden="false" customHeight="false" outlineLevel="0" collapsed="false">
      <c r="A58" s="0" t="s">
        <v>2925</v>
      </c>
      <c r="B58" s="0" t="n">
        <v>1926</v>
      </c>
      <c r="C58" s="0" t="s">
        <v>2926</v>
      </c>
      <c r="D58" s="0" t="s">
        <v>2927</v>
      </c>
      <c r="L58" s="0" t="s">
        <v>1329</v>
      </c>
      <c r="AA58" s="0" t="s">
        <v>29</v>
      </c>
      <c r="AB58" s="0" t="s">
        <v>29</v>
      </c>
      <c r="AC58" s="0" t="s">
        <v>29</v>
      </c>
      <c r="AD58" s="0" t="s">
        <v>29</v>
      </c>
      <c r="AF58" s="0" t="n">
        <f aca="false">LEN(D58)+LEN(E58)+LEN(F58)+LEN(G58)+LEN(H58)+LEN(I58)+LEN(J58)+LEN(K58)+LEN(L58)+LEN(M58)+LEN(N58)+LEN(O58)+LEN(P58)</f>
        <v>32</v>
      </c>
    </row>
    <row r="59" customFormat="false" ht="15" hidden="false" customHeight="false" outlineLevel="0" collapsed="false">
      <c r="A59" s="0" t="s">
        <v>2928</v>
      </c>
      <c r="B59" s="0" t="n">
        <v>1926</v>
      </c>
      <c r="C59" s="0" t="s">
        <v>2929</v>
      </c>
      <c r="D59" s="0" t="s">
        <v>2927</v>
      </c>
      <c r="L59" s="0" t="s">
        <v>2930</v>
      </c>
      <c r="AA59" s="0" t="s">
        <v>29</v>
      </c>
      <c r="AB59" s="0" t="s">
        <v>29</v>
      </c>
      <c r="AD59" s="0" t="s">
        <v>29</v>
      </c>
      <c r="AF59" s="0" t="n">
        <f aca="false">LEN(D59)+LEN(E59)+LEN(F59)+LEN(G59)+LEN(H59)+LEN(I59)+LEN(J59)+LEN(K59)+LEN(L59)+LEN(M59)+LEN(N59)+LEN(O59)+LEN(P59)</f>
        <v>36</v>
      </c>
    </row>
    <row r="60" customFormat="false" ht="15" hidden="false" customHeight="false" outlineLevel="0" collapsed="false">
      <c r="A60" s="0" t="s">
        <v>2931</v>
      </c>
      <c r="B60" s="0" t="n">
        <v>1926</v>
      </c>
      <c r="C60" s="0" t="s">
        <v>2932</v>
      </c>
      <c r="D60" s="0" t="s">
        <v>2933</v>
      </c>
      <c r="L60" s="0" t="s">
        <v>2934</v>
      </c>
      <c r="AF60" s="0" t="n">
        <f aca="false">LEN(D60)+LEN(E60)+LEN(F60)+LEN(G60)+LEN(H60)+LEN(I60)+LEN(J60)+LEN(K60)+LEN(L60)+LEN(M60)+LEN(N60)+LEN(O60)+LEN(P60)</f>
        <v>34</v>
      </c>
    </row>
    <row r="61" customFormat="false" ht="15" hidden="false" customHeight="false" outlineLevel="0" collapsed="false">
      <c r="A61" s="0" t="s">
        <v>2935</v>
      </c>
      <c r="B61" s="0" t="n">
        <v>1926</v>
      </c>
      <c r="C61" s="0" t="s">
        <v>2936</v>
      </c>
      <c r="D61" s="0" t="s">
        <v>2937</v>
      </c>
      <c r="L61" s="0" t="s">
        <v>2938</v>
      </c>
      <c r="Y61" s="0" t="s">
        <v>29</v>
      </c>
      <c r="AF61" s="0" t="n">
        <f aca="false">LEN(D61)+LEN(E61)+LEN(F61)+LEN(G61)+LEN(H61)+LEN(I61)+LEN(J61)+LEN(K61)+LEN(L61)+LEN(M61)+LEN(N61)+LEN(O61)+LEN(P61)</f>
        <v>52</v>
      </c>
    </row>
    <row r="62" customFormat="false" ht="15" hidden="false" customHeight="false" outlineLevel="0" collapsed="false">
      <c r="A62" s="0" t="s">
        <v>2939</v>
      </c>
      <c r="B62" s="0" t="n">
        <v>1926</v>
      </c>
      <c r="C62" s="0" t="s">
        <v>2940</v>
      </c>
      <c r="D62" s="0" t="s">
        <v>2937</v>
      </c>
      <c r="L62" s="0" t="s">
        <v>2941</v>
      </c>
      <c r="Y62" s="0" t="s">
        <v>29</v>
      </c>
      <c r="AF62" s="0" t="n">
        <f aca="false">LEN(D62)+LEN(E62)+LEN(F62)+LEN(G62)+LEN(H62)+LEN(I62)+LEN(J62)+LEN(K62)+LEN(L62)+LEN(M62)+LEN(N62)+LEN(O62)+LEN(P62)</f>
        <v>58</v>
      </c>
    </row>
    <row r="63" customFormat="false" ht="15" hidden="false" customHeight="false" outlineLevel="0" collapsed="false">
      <c r="A63" s="0" t="s">
        <v>2942</v>
      </c>
      <c r="B63" s="0" t="n">
        <v>1926</v>
      </c>
      <c r="C63" s="0" t="s">
        <v>2943</v>
      </c>
      <c r="D63" s="0" t="s">
        <v>2944</v>
      </c>
      <c r="L63" s="0" t="s">
        <v>2945</v>
      </c>
      <c r="M63" s="0" t="s">
        <v>2946</v>
      </c>
      <c r="N63" s="0" t="s">
        <v>2947</v>
      </c>
      <c r="P63" s="0" t="s">
        <v>2948</v>
      </c>
      <c r="AA63" s="0" t="s">
        <v>29</v>
      </c>
      <c r="AF63" s="0" t="n">
        <f aca="false">LEN(D63)+LEN(E63)+LEN(F63)+LEN(G63)+LEN(H63)+LEN(I63)+LEN(J63)+LEN(K63)+LEN(L63)+LEN(M63)+LEN(N63)+LEN(O63)+LEN(P63)</f>
        <v>89</v>
      </c>
    </row>
    <row r="64" customFormat="false" ht="15" hidden="false" customHeight="false" outlineLevel="0" collapsed="false">
      <c r="A64" s="0" t="s">
        <v>2949</v>
      </c>
      <c r="B64" s="0" t="n">
        <v>1926</v>
      </c>
      <c r="C64" s="0" t="s">
        <v>2950</v>
      </c>
      <c r="D64" s="0" t="s">
        <v>2944</v>
      </c>
      <c r="L64" s="0" t="s">
        <v>2945</v>
      </c>
      <c r="M64" s="0" t="s">
        <v>2951</v>
      </c>
      <c r="N64" s="0" t="s">
        <v>2952</v>
      </c>
      <c r="P64" s="0" t="s">
        <v>2866</v>
      </c>
      <c r="AA64" s="0" t="s">
        <v>29</v>
      </c>
      <c r="AB64" s="0" t="s">
        <v>69</v>
      </c>
      <c r="AE64" s="0" t="n">
        <v>3</v>
      </c>
      <c r="AF64" s="0" t="n">
        <f aca="false">LEN(D64)+LEN(E64)+LEN(F64)+LEN(G64)+LEN(H64)+LEN(I64)+LEN(J64)+LEN(K64)+LEN(L64)+LEN(M64)+LEN(N64)+LEN(O64)+LEN(P64)</f>
        <v>81</v>
      </c>
    </row>
    <row r="65" customFormat="false" ht="15" hidden="false" customHeight="false" outlineLevel="0" collapsed="false">
      <c r="A65" s="0" t="s">
        <v>2953</v>
      </c>
      <c r="B65" s="0" t="n">
        <v>1926</v>
      </c>
      <c r="C65" s="0" t="s">
        <v>2954</v>
      </c>
      <c r="D65" s="0" t="s">
        <v>2944</v>
      </c>
      <c r="L65" s="0" t="s">
        <v>2945</v>
      </c>
      <c r="M65" s="0" t="s">
        <v>2951</v>
      </c>
      <c r="N65" s="0" t="s">
        <v>2955</v>
      </c>
      <c r="P65" s="0" t="s">
        <v>2956</v>
      </c>
      <c r="AA65" s="0" t="s">
        <v>29</v>
      </c>
      <c r="AF65" s="0" t="n">
        <f aca="false">LEN(D65)+LEN(E65)+LEN(F65)+LEN(G65)+LEN(H65)+LEN(I65)+LEN(J65)+LEN(K65)+LEN(L65)+LEN(M65)+LEN(N65)+LEN(O65)+LEN(P65)</f>
        <v>80</v>
      </c>
    </row>
    <row r="66" customFormat="false" ht="15" hidden="false" customHeight="false" outlineLevel="0" collapsed="false">
      <c r="A66" s="0" t="s">
        <v>2957</v>
      </c>
      <c r="B66" s="0" t="n">
        <v>1926</v>
      </c>
      <c r="C66" s="0" t="s">
        <v>2958</v>
      </c>
      <c r="D66" s="0" t="s">
        <v>2944</v>
      </c>
      <c r="L66" s="0" t="s">
        <v>2959</v>
      </c>
      <c r="M66" s="0" t="s">
        <v>2960</v>
      </c>
      <c r="N66" s="0" t="s">
        <v>2961</v>
      </c>
      <c r="P66" s="0" t="s">
        <v>2962</v>
      </c>
      <c r="AA66" s="0" t="s">
        <v>29</v>
      </c>
      <c r="AC66" s="0" t="s">
        <v>29</v>
      </c>
      <c r="AF66" s="0" t="n">
        <f aca="false">LEN(D66)+LEN(E66)+LEN(F66)+LEN(G66)+LEN(H66)+LEN(I66)+LEN(J66)+LEN(K66)+LEN(L66)+LEN(M66)+LEN(N66)+LEN(O66)+LEN(P66)</f>
        <v>86</v>
      </c>
    </row>
    <row r="67" customFormat="false" ht="15" hidden="false" customHeight="false" outlineLevel="0" collapsed="false">
      <c r="A67" s="0" t="s">
        <v>2963</v>
      </c>
      <c r="B67" s="0" t="n">
        <v>1926</v>
      </c>
      <c r="C67" s="0" t="s">
        <v>2964</v>
      </c>
      <c r="D67" s="0" t="s">
        <v>2965</v>
      </c>
      <c r="L67" s="0" t="s">
        <v>2966</v>
      </c>
      <c r="AF67" s="0" t="n">
        <f aca="false">LEN(D67)+LEN(E67)+LEN(F67)+LEN(G67)+LEN(H67)+LEN(I67)+LEN(J67)+LEN(K67)+LEN(L67)+LEN(M67)+LEN(N67)+LEN(O67)+LEN(P67)</f>
        <v>53</v>
      </c>
    </row>
    <row r="68" customFormat="false" ht="15" hidden="false" customHeight="false" outlineLevel="0" collapsed="false">
      <c r="A68" s="0" t="s">
        <v>2967</v>
      </c>
      <c r="B68" s="0" t="n">
        <v>1926</v>
      </c>
      <c r="C68" s="0" t="s">
        <v>2968</v>
      </c>
      <c r="D68" s="0" t="s">
        <v>2965</v>
      </c>
      <c r="L68" s="0" t="s">
        <v>2969</v>
      </c>
      <c r="AA68" s="0" t="s">
        <v>29</v>
      </c>
      <c r="AB68" s="0" t="s">
        <v>29</v>
      </c>
      <c r="AC68" s="0" t="s">
        <v>29</v>
      </c>
      <c r="AD68" s="0" t="s">
        <v>29</v>
      </c>
      <c r="AF68" s="0" t="n">
        <f aca="false">LEN(D68)+LEN(E68)+LEN(F68)+LEN(G68)+LEN(H68)+LEN(I68)+LEN(J68)+LEN(K68)+LEN(L68)+LEN(M68)+LEN(N68)+LEN(O68)+LEN(P68)</f>
        <v>47</v>
      </c>
    </row>
    <row r="69" customFormat="false" ht="15" hidden="false" customHeight="false" outlineLevel="0" collapsed="false">
      <c r="A69" s="0" t="s">
        <v>2967</v>
      </c>
      <c r="B69" s="0" t="n">
        <v>1926</v>
      </c>
      <c r="C69" s="0" t="s">
        <v>2968</v>
      </c>
      <c r="D69" s="0" t="s">
        <v>2965</v>
      </c>
      <c r="L69" s="0" t="s">
        <v>2969</v>
      </c>
      <c r="AA69" s="0" t="s">
        <v>29</v>
      </c>
      <c r="AB69" s="0" t="s">
        <v>29</v>
      </c>
      <c r="AC69" s="0" t="s">
        <v>29</v>
      </c>
      <c r="AD69" s="0" t="s">
        <v>29</v>
      </c>
      <c r="AF69" s="0" t="n">
        <f aca="false">LEN(D69)+LEN(E69)+LEN(F69)+LEN(G69)+LEN(H69)+LEN(I69)+LEN(J69)+LEN(K69)+LEN(L69)+LEN(M69)+LEN(N69)+LEN(O69)+LEN(P69)</f>
        <v>47</v>
      </c>
    </row>
    <row r="70" customFormat="false" ht="15" hidden="false" customHeight="false" outlineLevel="0" collapsed="false">
      <c r="A70" s="0" t="s">
        <v>2970</v>
      </c>
      <c r="B70" s="0" t="n">
        <v>1926</v>
      </c>
      <c r="C70" s="0" t="s">
        <v>2971</v>
      </c>
      <c r="D70" s="0" t="s">
        <v>2972</v>
      </c>
      <c r="L70" s="0" t="s">
        <v>2973</v>
      </c>
      <c r="Y70" s="0" t="s">
        <v>29</v>
      </c>
      <c r="AF70" s="0" t="n">
        <f aca="false">LEN(D70)+LEN(E70)+LEN(F70)+LEN(G70)+LEN(H70)+LEN(I70)+LEN(J70)+LEN(K70)+LEN(L70)+LEN(M70)+LEN(N70)+LEN(O70)+LEN(P70)</f>
        <v>39</v>
      </c>
    </row>
    <row r="71" customFormat="false" ht="15" hidden="false" customHeight="false" outlineLevel="0" collapsed="false">
      <c r="A71" s="0" t="s">
        <v>2974</v>
      </c>
      <c r="B71" s="0" t="n">
        <v>1926</v>
      </c>
      <c r="C71" s="0" t="s">
        <v>2975</v>
      </c>
      <c r="D71" s="0" t="s">
        <v>2976</v>
      </c>
      <c r="G71" s="0" t="s">
        <v>2975</v>
      </c>
      <c r="L71" s="0" t="s">
        <v>2977</v>
      </c>
      <c r="Q71" s="0" t="s">
        <v>69</v>
      </c>
      <c r="AE71" s="0" t="n">
        <v>15</v>
      </c>
      <c r="AF71" s="0" t="n">
        <f aca="false">LEN(D71)+LEN(E71)+LEN(F71)+LEN(G71)+LEN(H71)+LEN(I71)+LEN(J71)+LEN(K71)+LEN(L71)+LEN(M71)+LEN(N71)+LEN(O71)+LEN(P71)</f>
        <v>286</v>
      </c>
    </row>
    <row r="72" customFormat="false" ht="15" hidden="false" customHeight="false" outlineLevel="0" collapsed="false">
      <c r="A72" s="0" t="s">
        <v>2978</v>
      </c>
      <c r="B72" s="0" t="n">
        <v>1926</v>
      </c>
      <c r="C72" s="0" t="s">
        <v>2979</v>
      </c>
      <c r="D72" s="0" t="s">
        <v>2980</v>
      </c>
      <c r="F72" s="0" t="s">
        <v>2979</v>
      </c>
      <c r="L72" s="0" t="s">
        <v>2977</v>
      </c>
      <c r="AF72" s="0" t="n">
        <f aca="false">LEN(D72)+LEN(E72)+LEN(F72)+LEN(G72)+LEN(H72)+LEN(I72)+LEN(J72)+LEN(K72)+LEN(L72)+LEN(M72)+LEN(N72)+LEN(O72)+LEN(P72)</f>
        <v>57</v>
      </c>
    </row>
    <row r="73" customFormat="false" ht="15" hidden="false" customHeight="false" outlineLevel="0" collapsed="false">
      <c r="A73" s="0" t="s">
        <v>2981</v>
      </c>
      <c r="B73" s="0" t="n">
        <v>1926</v>
      </c>
      <c r="C73" s="0" t="s">
        <v>2982</v>
      </c>
      <c r="D73" s="0" t="s">
        <v>2980</v>
      </c>
      <c r="L73" s="0" t="s">
        <v>2959</v>
      </c>
      <c r="M73" s="0" t="s">
        <v>2983</v>
      </c>
      <c r="N73" s="0" t="s">
        <v>2984</v>
      </c>
      <c r="P73" s="0" t="s">
        <v>2985</v>
      </c>
      <c r="AA73" s="0" t="s">
        <v>29</v>
      </c>
      <c r="AF73" s="0" t="n">
        <f aca="false">LEN(D73)+LEN(E73)+LEN(F73)+LEN(G73)+LEN(H73)+LEN(I73)+LEN(J73)+LEN(K73)+LEN(L73)+LEN(M73)+LEN(N73)+LEN(O73)+LEN(P73)</f>
        <v>75</v>
      </c>
    </row>
    <row r="74" customFormat="false" ht="15" hidden="false" customHeight="false" outlineLevel="0" collapsed="false">
      <c r="A74" s="0" t="s">
        <v>2981</v>
      </c>
      <c r="B74" s="0" t="n">
        <v>1926</v>
      </c>
      <c r="C74" s="0" t="s">
        <v>2982</v>
      </c>
      <c r="D74" s="0" t="s">
        <v>2980</v>
      </c>
      <c r="L74" s="0" t="s">
        <v>2959</v>
      </c>
      <c r="M74" s="0" t="s">
        <v>2983</v>
      </c>
      <c r="N74" s="0" t="s">
        <v>2984</v>
      </c>
      <c r="P74" s="0" t="s">
        <v>2985</v>
      </c>
      <c r="AA74" s="0" t="s">
        <v>29</v>
      </c>
      <c r="AF74" s="0" t="n">
        <f aca="false">LEN(D74)+LEN(E74)+LEN(F74)+LEN(G74)+LEN(H74)+LEN(I74)+LEN(J74)+LEN(K74)+LEN(L74)+LEN(M74)+LEN(N74)+LEN(O74)+LEN(P74)</f>
        <v>75</v>
      </c>
    </row>
    <row r="75" customFormat="false" ht="15" hidden="false" customHeight="false" outlineLevel="0" collapsed="false">
      <c r="A75" s="0" t="s">
        <v>2986</v>
      </c>
      <c r="B75" s="0" t="n">
        <v>1926</v>
      </c>
      <c r="C75" s="0" t="s">
        <v>2987</v>
      </c>
      <c r="D75" s="0" t="s">
        <v>2988</v>
      </c>
      <c r="L75" s="0" t="s">
        <v>2989</v>
      </c>
      <c r="Y75" s="0" t="s">
        <v>29</v>
      </c>
      <c r="AF75" s="0" t="n">
        <f aca="false">LEN(D75)+LEN(E75)+LEN(F75)+LEN(G75)+LEN(H75)+LEN(I75)+LEN(J75)+LEN(K75)+LEN(L75)+LEN(M75)+LEN(N75)+LEN(O75)+LEN(P75)</f>
        <v>35</v>
      </c>
    </row>
    <row r="76" customFormat="false" ht="15" hidden="false" customHeight="false" outlineLevel="0" collapsed="false">
      <c r="A76" s="0" t="s">
        <v>2990</v>
      </c>
      <c r="B76" s="0" t="n">
        <v>1926</v>
      </c>
      <c r="C76" s="0" t="s">
        <v>2991</v>
      </c>
      <c r="D76" s="0" t="s">
        <v>2992</v>
      </c>
      <c r="L76" s="0" t="s">
        <v>2993</v>
      </c>
      <c r="AF76" s="0" t="n">
        <f aca="false">LEN(D76)+LEN(E76)+LEN(F76)+LEN(G76)+LEN(H76)+LEN(I76)+LEN(J76)+LEN(K76)+LEN(L76)+LEN(M76)+LEN(N76)+LEN(O76)+LEN(P76)</f>
        <v>43</v>
      </c>
    </row>
    <row r="77" customFormat="false" ht="15" hidden="false" customHeight="false" outlineLevel="0" collapsed="false">
      <c r="A77" s="0" t="s">
        <v>2994</v>
      </c>
      <c r="B77" s="0" t="n">
        <v>1926</v>
      </c>
      <c r="C77" s="0" t="s">
        <v>2995</v>
      </c>
      <c r="D77" s="0" t="s">
        <v>2996</v>
      </c>
      <c r="L77" s="0" t="s">
        <v>2997</v>
      </c>
      <c r="AF77" s="0" t="n">
        <f aca="false">LEN(D77)+LEN(E77)+LEN(F77)+LEN(G77)+LEN(H77)+LEN(I77)+LEN(J77)+LEN(K77)+LEN(L77)+LEN(M77)+LEN(N77)+LEN(O77)+LEN(P77)</f>
        <v>47</v>
      </c>
    </row>
    <row r="78" customFormat="false" ht="15" hidden="false" customHeight="false" outlineLevel="0" collapsed="false">
      <c r="A78" s="0" t="s">
        <v>2998</v>
      </c>
      <c r="B78" s="0" t="n">
        <v>1926</v>
      </c>
      <c r="C78" s="0" t="s">
        <v>2999</v>
      </c>
      <c r="D78" s="0" t="s">
        <v>3000</v>
      </c>
      <c r="L78" s="0" t="s">
        <v>3001</v>
      </c>
      <c r="AF78" s="0" t="n">
        <f aca="false">LEN(D78)+LEN(E78)+LEN(F78)+LEN(G78)+LEN(H78)+LEN(I78)+LEN(J78)+LEN(K78)+LEN(L78)+LEN(M78)+LEN(N78)+LEN(O78)+LEN(P78)</f>
        <v>53</v>
      </c>
    </row>
    <row r="79" customFormat="false" ht="15" hidden="false" customHeight="false" outlineLevel="0" collapsed="false">
      <c r="A79" s="0" t="s">
        <v>3002</v>
      </c>
      <c r="B79" s="0" t="n">
        <v>1926</v>
      </c>
      <c r="C79" s="0" t="s">
        <v>3003</v>
      </c>
      <c r="D79" s="0" t="s">
        <v>2937</v>
      </c>
      <c r="L79" s="0" t="s">
        <v>2969</v>
      </c>
      <c r="M79" s="0" t="s">
        <v>527</v>
      </c>
      <c r="N79" s="0" t="s">
        <v>3004</v>
      </c>
      <c r="P79" s="0" t="s">
        <v>3005</v>
      </c>
      <c r="AF79" s="0" t="n">
        <f aca="false">LEN(D79)+LEN(E79)+LEN(F79)+LEN(G79)+LEN(H79)+LEN(I79)+LEN(J79)+LEN(K79)+LEN(L79)+LEN(M79)+LEN(N79)+LEN(O79)+LEN(P79)</f>
        <v>76</v>
      </c>
    </row>
    <row r="80" customFormat="false" ht="15" hidden="false" customHeight="false" outlineLevel="0" collapsed="false">
      <c r="A80" s="0" t="s">
        <v>3006</v>
      </c>
      <c r="B80" s="0" t="n">
        <v>1926</v>
      </c>
      <c r="C80" s="0" t="s">
        <v>3007</v>
      </c>
      <c r="D80" s="0" t="s">
        <v>3008</v>
      </c>
      <c r="L80" s="0" t="s">
        <v>3009</v>
      </c>
      <c r="AF80" s="0" t="n">
        <f aca="false">LEN(D80)+LEN(E80)+LEN(F80)+LEN(G80)+LEN(H80)+LEN(I80)+LEN(J80)+LEN(K80)+LEN(L80)+LEN(M80)+LEN(N80)+LEN(O80)+LEN(P80)</f>
        <v>40</v>
      </c>
    </row>
    <row r="81" customFormat="false" ht="15" hidden="false" customHeight="false" outlineLevel="0" collapsed="false">
      <c r="A81" s="0" t="s">
        <v>3010</v>
      </c>
      <c r="B81" s="0" t="n">
        <v>1926</v>
      </c>
      <c r="C81" s="0" t="s">
        <v>3011</v>
      </c>
      <c r="D81" s="0" t="s">
        <v>3012</v>
      </c>
      <c r="L81" s="0" t="s">
        <v>2977</v>
      </c>
      <c r="R81" s="0" t="s">
        <v>29</v>
      </c>
      <c r="AF81" s="0" t="n">
        <f aca="false">LEN(D81)+LEN(E81)+LEN(F81)+LEN(G81)+LEN(H81)+LEN(I81)+LEN(J81)+LEN(K81)+LEN(L81)+LEN(M81)+LEN(N81)+LEN(O81)+LEN(P81)</f>
        <v>35</v>
      </c>
    </row>
    <row r="82" customFormat="false" ht="15" hidden="false" customHeight="false" outlineLevel="0" collapsed="false">
      <c r="A82" s="0" t="s">
        <v>3013</v>
      </c>
      <c r="B82" s="0" t="n">
        <v>1926</v>
      </c>
      <c r="C82" s="0" t="s">
        <v>3014</v>
      </c>
      <c r="D82" s="0" t="s">
        <v>3012</v>
      </c>
      <c r="L82" s="0" t="s">
        <v>3015</v>
      </c>
      <c r="M82" s="0" t="s">
        <v>3016</v>
      </c>
      <c r="N82" s="0" t="s">
        <v>1564</v>
      </c>
      <c r="P82" s="0" t="s">
        <v>2871</v>
      </c>
      <c r="AA82" s="0" t="s">
        <v>29</v>
      </c>
      <c r="AF82" s="0" t="n">
        <f aca="false">LEN(D82)+LEN(E82)+LEN(F82)+LEN(G82)+LEN(H82)+LEN(I82)+LEN(J82)+LEN(K82)+LEN(L82)+LEN(M82)+LEN(N82)+LEN(O82)+LEN(P82)</f>
        <v>66</v>
      </c>
    </row>
    <row r="83" customFormat="false" ht="15" hidden="false" customHeight="false" outlineLevel="0" collapsed="false">
      <c r="A83" s="0" t="s">
        <v>3017</v>
      </c>
      <c r="B83" s="0" t="n">
        <v>1926</v>
      </c>
      <c r="C83" s="0" t="s">
        <v>3018</v>
      </c>
      <c r="D83" s="0" t="s">
        <v>3012</v>
      </c>
      <c r="L83" s="0" t="s">
        <v>2969</v>
      </c>
      <c r="M83" s="0" t="s">
        <v>3019</v>
      </c>
      <c r="N83" s="0" t="s">
        <v>880</v>
      </c>
      <c r="P83" s="0" t="s">
        <v>3020</v>
      </c>
      <c r="AA83" s="0" t="s">
        <v>29</v>
      </c>
      <c r="AC83" s="0" t="s">
        <v>29</v>
      </c>
      <c r="AF83" s="0" t="n">
        <f aca="false">LEN(D83)+LEN(E83)+LEN(F83)+LEN(G83)+LEN(H83)+LEN(I83)+LEN(J83)+LEN(K83)+LEN(L83)+LEN(M83)+LEN(N83)+LEN(O83)+LEN(P83)</f>
        <v>65</v>
      </c>
    </row>
    <row r="84" customFormat="false" ht="15" hidden="false" customHeight="false" outlineLevel="0" collapsed="false">
      <c r="A84" s="0" t="s">
        <v>3017</v>
      </c>
      <c r="B84" s="0" t="n">
        <v>1926</v>
      </c>
      <c r="C84" s="0" t="s">
        <v>3018</v>
      </c>
      <c r="D84" s="0" t="s">
        <v>3012</v>
      </c>
      <c r="L84" s="0" t="s">
        <v>2969</v>
      </c>
      <c r="M84" s="0" t="s">
        <v>3019</v>
      </c>
      <c r="N84" s="0" t="s">
        <v>880</v>
      </c>
      <c r="P84" s="0" t="s">
        <v>3020</v>
      </c>
      <c r="AA84" s="0" t="s">
        <v>29</v>
      </c>
      <c r="AC84" s="0" t="s">
        <v>29</v>
      </c>
      <c r="AF84" s="0" t="n">
        <f aca="false">LEN(D84)+LEN(E84)+LEN(F84)+LEN(G84)+LEN(H84)+LEN(I84)+LEN(J84)+LEN(K84)+LEN(L84)+LEN(M84)+LEN(N84)+LEN(O84)+LEN(P84)</f>
        <v>65</v>
      </c>
    </row>
    <row r="85" customFormat="false" ht="15" hidden="false" customHeight="false" outlineLevel="0" collapsed="false">
      <c r="A85" s="0" t="s">
        <v>3021</v>
      </c>
      <c r="B85" s="0" t="n">
        <v>1926</v>
      </c>
      <c r="C85" s="0" t="s">
        <v>3022</v>
      </c>
      <c r="D85" s="0" t="s">
        <v>3023</v>
      </c>
      <c r="L85" s="0" t="s">
        <v>3024</v>
      </c>
      <c r="M85" s="0" t="s">
        <v>3025</v>
      </c>
      <c r="N85" s="0" t="s">
        <v>880</v>
      </c>
      <c r="P85" s="0" t="s">
        <v>3020</v>
      </c>
      <c r="Q85" s="0" t="s">
        <v>29</v>
      </c>
      <c r="AA85" s="0" t="s">
        <v>29</v>
      </c>
      <c r="AC85" s="0" t="s">
        <v>29</v>
      </c>
      <c r="AF85" s="0" t="n">
        <f aca="false">LEN(D85)+LEN(E85)+LEN(F85)+LEN(G85)+LEN(H85)+LEN(I85)+LEN(J85)+LEN(K85)+LEN(L85)+LEN(M85)+LEN(N85)+LEN(O85)+LEN(P85)</f>
        <v>40</v>
      </c>
    </row>
    <row r="86" customFormat="false" ht="15" hidden="false" customHeight="false" outlineLevel="0" collapsed="false">
      <c r="A86" s="0" t="s">
        <v>3026</v>
      </c>
      <c r="B86" s="0" t="n">
        <v>1926</v>
      </c>
      <c r="C86" s="0" t="s">
        <v>3027</v>
      </c>
      <c r="D86" s="0" t="s">
        <v>3028</v>
      </c>
      <c r="K86" s="0" t="s">
        <v>3027</v>
      </c>
      <c r="L86" s="0" t="s">
        <v>482</v>
      </c>
      <c r="AF86" s="0" t="n">
        <f aca="false">LEN(D86)+LEN(E86)+LEN(F86)+LEN(G86)+LEN(H86)+LEN(I86)+LEN(J86)+LEN(K86)+LEN(L86)+LEN(M86)+LEN(N86)+LEN(O86)+LEN(P86)</f>
        <v>72</v>
      </c>
    </row>
    <row r="87" customFormat="false" ht="15" hidden="false" customHeight="false" outlineLevel="0" collapsed="false">
      <c r="A87" s="0" t="s">
        <v>3029</v>
      </c>
      <c r="B87" s="0" t="n">
        <v>1926</v>
      </c>
      <c r="C87" s="0" t="s">
        <v>3030</v>
      </c>
      <c r="D87" s="0" t="s">
        <v>3028</v>
      </c>
      <c r="L87" s="0" t="s">
        <v>3031</v>
      </c>
      <c r="AF87" s="0" t="n">
        <f aca="false">LEN(D87)+LEN(E87)+LEN(F87)+LEN(G87)+LEN(H87)+LEN(I87)+LEN(J87)+LEN(K87)+LEN(L87)+LEN(M87)+LEN(N87)+LEN(O87)+LEN(P87)</f>
        <v>63</v>
      </c>
    </row>
    <row r="88" customFormat="false" ht="15" hidden="false" customHeight="false" outlineLevel="0" collapsed="false">
      <c r="A88" s="0" t="s">
        <v>3032</v>
      </c>
      <c r="B88" s="0" t="n">
        <v>1926</v>
      </c>
      <c r="C88" s="0" t="s">
        <v>3033</v>
      </c>
      <c r="D88" s="0" t="s">
        <v>3034</v>
      </c>
      <c r="L88" s="0" t="s">
        <v>3035</v>
      </c>
      <c r="Y88" s="0" t="s">
        <v>29</v>
      </c>
      <c r="AF88" s="0" t="n">
        <f aca="false">LEN(D88)+LEN(E88)+LEN(F88)+LEN(G88)+LEN(H88)+LEN(I88)+LEN(J88)+LEN(K88)+LEN(L88)+LEN(M88)+LEN(N88)+LEN(O88)+LEN(P88)</f>
        <v>51</v>
      </c>
    </row>
    <row r="89" customFormat="false" ht="15" hidden="false" customHeight="false" outlineLevel="0" collapsed="false">
      <c r="A89" s="0" t="s">
        <v>3036</v>
      </c>
      <c r="B89" s="0" t="n">
        <v>1926</v>
      </c>
      <c r="C89" s="0" t="s">
        <v>3037</v>
      </c>
      <c r="D89" s="0" t="s">
        <v>3034</v>
      </c>
      <c r="L89" s="0" t="s">
        <v>3038</v>
      </c>
      <c r="AF89" s="0" t="n">
        <f aca="false">LEN(D89)+LEN(E89)+LEN(F89)+LEN(G89)+LEN(H89)+LEN(I89)+LEN(J89)+LEN(K89)+LEN(L89)+LEN(M89)+LEN(N89)+LEN(O89)+LEN(P89)</f>
        <v>50</v>
      </c>
    </row>
    <row r="90" customFormat="false" ht="15" hidden="false" customHeight="false" outlineLevel="0" collapsed="false">
      <c r="A90" s="0" t="s">
        <v>3039</v>
      </c>
      <c r="B90" s="0" t="n">
        <v>1926</v>
      </c>
      <c r="C90" s="0" t="s">
        <v>3040</v>
      </c>
      <c r="D90" s="0" t="s">
        <v>3034</v>
      </c>
      <c r="L90" s="0" t="s">
        <v>3041</v>
      </c>
      <c r="AF90" s="0" t="n">
        <f aca="false">LEN(D90)+LEN(E90)+LEN(F90)+LEN(G90)+LEN(H90)+LEN(I90)+LEN(J90)+LEN(K90)+LEN(L90)+LEN(M90)+LEN(N90)+LEN(O90)+LEN(P90)</f>
        <v>51</v>
      </c>
    </row>
    <row r="91" customFormat="false" ht="15" hidden="false" customHeight="false" outlineLevel="0" collapsed="false">
      <c r="A91" s="0" t="s">
        <v>3042</v>
      </c>
      <c r="B91" s="0" t="n">
        <v>1926</v>
      </c>
      <c r="C91" s="0" t="s">
        <v>3043</v>
      </c>
      <c r="D91" s="0" t="s">
        <v>3044</v>
      </c>
      <c r="L91" s="0" t="s">
        <v>3045</v>
      </c>
      <c r="Y91" s="0" t="s">
        <v>29</v>
      </c>
      <c r="AF91" s="0" t="n">
        <f aca="false">LEN(D91)+LEN(E91)+LEN(F91)+LEN(G91)+LEN(H91)+LEN(I91)+LEN(J91)+LEN(K91)+LEN(L91)+LEN(M91)+LEN(N91)+LEN(O91)+LEN(P91)</f>
        <v>36</v>
      </c>
    </row>
    <row r="92" customFormat="false" ht="15" hidden="false" customHeight="false" outlineLevel="0" collapsed="false">
      <c r="A92" s="0" t="s">
        <v>3046</v>
      </c>
      <c r="B92" s="0" t="n">
        <v>1926</v>
      </c>
      <c r="C92" s="0" t="s">
        <v>3047</v>
      </c>
      <c r="D92" s="0" t="s">
        <v>3044</v>
      </c>
      <c r="L92" s="0" t="s">
        <v>3048</v>
      </c>
      <c r="AF92" s="0" t="n">
        <f aca="false">LEN(D92)+LEN(E92)+LEN(F92)+LEN(G92)+LEN(H92)+LEN(I92)+LEN(J92)+LEN(K92)+LEN(L92)+LEN(M92)+LEN(N92)+LEN(O92)+LEN(P92)</f>
        <v>38</v>
      </c>
    </row>
    <row r="93" customFormat="false" ht="15" hidden="false" customHeight="false" outlineLevel="0" collapsed="false">
      <c r="A93" s="0" t="s">
        <v>3049</v>
      </c>
      <c r="B93" s="0" t="n">
        <v>1926</v>
      </c>
      <c r="C93" s="0" t="s">
        <v>2847</v>
      </c>
      <c r="D93" s="0" t="s">
        <v>3050</v>
      </c>
      <c r="F93" s="0" t="s">
        <v>2847</v>
      </c>
      <c r="L93" s="0" t="s">
        <v>482</v>
      </c>
      <c r="AF93" s="0" t="n">
        <f aca="false">LEN(D93)+LEN(E93)+LEN(F93)+LEN(G93)+LEN(H93)+LEN(I93)+LEN(J93)+LEN(K93)+LEN(L93)+LEN(M93)+LEN(N93)+LEN(O93)+LEN(P93)</f>
        <v>36</v>
      </c>
    </row>
    <row r="94" customFormat="false" ht="15" hidden="false" customHeight="false" outlineLevel="0" collapsed="false">
      <c r="A94" s="0" t="s">
        <v>3051</v>
      </c>
      <c r="B94" s="0" t="n">
        <v>1926</v>
      </c>
      <c r="C94" s="0" t="s">
        <v>3052</v>
      </c>
      <c r="D94" s="0" t="s">
        <v>3053</v>
      </c>
      <c r="F94" s="0" t="s">
        <v>3052</v>
      </c>
      <c r="L94" s="0" t="s">
        <v>482</v>
      </c>
      <c r="AF94" s="0" t="n">
        <f aca="false">LEN(D94)+LEN(E94)+LEN(F94)+LEN(G94)+LEN(H94)+LEN(I94)+LEN(J94)+LEN(K94)+LEN(L94)+LEN(M94)+LEN(N94)+LEN(O94)+LEN(P94)</f>
        <v>45</v>
      </c>
    </row>
    <row r="95" customFormat="false" ht="15" hidden="false" customHeight="false" outlineLevel="0" collapsed="false">
      <c r="A95" s="0" t="s">
        <v>3054</v>
      </c>
      <c r="B95" s="0" t="n">
        <v>1926</v>
      </c>
      <c r="C95" s="0" t="s">
        <v>3055</v>
      </c>
      <c r="D95" s="0" t="s">
        <v>3053</v>
      </c>
      <c r="I95" s="0" t="s">
        <v>3056</v>
      </c>
      <c r="L95" s="0" t="s">
        <v>482</v>
      </c>
      <c r="AF95" s="0" t="n">
        <f aca="false">LEN(D95)+LEN(E95)+LEN(F95)+LEN(G95)+LEN(H95)+LEN(I95)+LEN(J95)+LEN(K95)+LEN(L95)+LEN(M95)+LEN(N95)+LEN(O95)+LEN(P95)</f>
        <v>42</v>
      </c>
    </row>
    <row r="96" customFormat="false" ht="15" hidden="false" customHeight="false" outlineLevel="0" collapsed="false">
      <c r="A96" s="0" t="s">
        <v>3057</v>
      </c>
      <c r="B96" s="0" t="n">
        <v>1926</v>
      </c>
      <c r="C96" s="0" t="s">
        <v>2808</v>
      </c>
      <c r="D96" s="0" t="s">
        <v>3058</v>
      </c>
      <c r="J96" s="0" t="s">
        <v>2810</v>
      </c>
      <c r="L96" s="0" t="s">
        <v>482</v>
      </c>
      <c r="AF96" s="0" t="n">
        <f aca="false">LEN(D96)+LEN(E96)+LEN(F96)+LEN(G96)+LEN(H96)+LEN(I96)+LEN(J96)+LEN(K96)+LEN(L96)+LEN(M96)+LEN(N96)+LEN(O96)+LEN(P96)</f>
        <v>38</v>
      </c>
    </row>
    <row r="97" customFormat="false" ht="15" hidden="false" customHeight="false" outlineLevel="0" collapsed="false">
      <c r="A97" s="0" t="s">
        <v>3059</v>
      </c>
      <c r="B97" s="0" t="n">
        <v>1926</v>
      </c>
      <c r="C97" s="0" t="s">
        <v>3060</v>
      </c>
      <c r="D97" s="0" t="s">
        <v>3061</v>
      </c>
      <c r="L97" s="0" t="s">
        <v>3062</v>
      </c>
      <c r="AF97" s="0" t="n">
        <f aca="false">LEN(D97)+LEN(E97)+LEN(F97)+LEN(G97)+LEN(H97)+LEN(I97)+LEN(J97)+LEN(K97)+LEN(L97)+LEN(M97)+LEN(N97)+LEN(O97)+LEN(P97)</f>
        <v>37</v>
      </c>
    </row>
    <row r="98" customFormat="false" ht="15" hidden="false" customHeight="false" outlineLevel="0" collapsed="false">
      <c r="A98" s="0" t="s">
        <v>3063</v>
      </c>
      <c r="B98" s="0" t="n">
        <v>1926</v>
      </c>
      <c r="C98" s="0" t="s">
        <v>3064</v>
      </c>
      <c r="D98" s="0" t="s">
        <v>3061</v>
      </c>
      <c r="J98" s="0" t="s">
        <v>3065</v>
      </c>
      <c r="L98" s="0" t="s">
        <v>482</v>
      </c>
      <c r="AF98" s="0" t="n">
        <f aca="false">LEN(D98)+LEN(E98)+LEN(F98)+LEN(G98)+LEN(H98)+LEN(I98)+LEN(J98)+LEN(K98)+LEN(L98)+LEN(M98)+LEN(N98)+LEN(O98)+LEN(P98)</f>
        <v>63</v>
      </c>
    </row>
    <row r="99" customFormat="false" ht="15" hidden="false" customHeight="false" outlineLevel="0" collapsed="false">
      <c r="A99" s="0" t="s">
        <v>3066</v>
      </c>
      <c r="B99" s="0" t="n">
        <v>1926</v>
      </c>
      <c r="C99" s="0" t="s">
        <v>3067</v>
      </c>
      <c r="D99" s="0" t="s">
        <v>3068</v>
      </c>
      <c r="L99" s="0" t="s">
        <v>3069</v>
      </c>
      <c r="R99" s="0" t="s">
        <v>29</v>
      </c>
      <c r="AF99" s="0" t="n">
        <f aca="false">LEN(D99)+LEN(E99)+LEN(F99)+LEN(G99)+LEN(H99)+LEN(I99)+LEN(J99)+LEN(K99)+LEN(L99)+LEN(M99)+LEN(N99)+LEN(O99)+LEN(P99)</f>
        <v>43</v>
      </c>
    </row>
    <row r="100" customFormat="false" ht="15" hidden="false" customHeight="false" outlineLevel="0" collapsed="false">
      <c r="A100" s="0" t="s">
        <v>3070</v>
      </c>
      <c r="B100" s="0" t="n">
        <v>1926</v>
      </c>
      <c r="C100" s="0" t="s">
        <v>3071</v>
      </c>
      <c r="D100" s="0" t="s">
        <v>3072</v>
      </c>
      <c r="K100" s="0" t="s">
        <v>3071</v>
      </c>
      <c r="L100" s="0" t="s">
        <v>3069</v>
      </c>
      <c r="AF100" s="0" t="n">
        <f aca="false">LEN(D100)+LEN(E100)+LEN(F100)+LEN(G100)+LEN(H100)+LEN(I100)+LEN(J100)+LEN(K100)+LEN(L100)+LEN(M100)+LEN(N100)+LEN(O100)+LEN(P100)</f>
        <v>87</v>
      </c>
    </row>
    <row r="101" customFormat="false" ht="15" hidden="false" customHeight="false" outlineLevel="0" collapsed="false">
      <c r="A101" s="0" t="s">
        <v>3070</v>
      </c>
      <c r="B101" s="0" t="n">
        <v>1926</v>
      </c>
      <c r="C101" s="0" t="s">
        <v>3071</v>
      </c>
      <c r="D101" s="0" t="s">
        <v>3072</v>
      </c>
      <c r="K101" s="0" t="s">
        <v>3071</v>
      </c>
      <c r="L101" s="0" t="s">
        <v>3069</v>
      </c>
      <c r="AF101" s="0" t="n">
        <f aca="false">LEN(D101)+LEN(E101)+LEN(F101)+LEN(G101)+LEN(H101)+LEN(I101)+LEN(J101)+LEN(K101)+LEN(L101)+LEN(M101)+LEN(N101)+LEN(O101)+LEN(P101)</f>
        <v>87</v>
      </c>
    </row>
    <row r="102" customFormat="false" ht="15" hidden="false" customHeight="false" outlineLevel="0" collapsed="false">
      <c r="A102" s="0" t="s">
        <v>3073</v>
      </c>
      <c r="B102" s="0" t="n">
        <v>1926</v>
      </c>
      <c r="C102" s="0" t="s">
        <v>3074</v>
      </c>
      <c r="D102" s="0" t="s">
        <v>3072</v>
      </c>
      <c r="L102" s="0" t="s">
        <v>3075</v>
      </c>
      <c r="M102" s="0" t="s">
        <v>3076</v>
      </c>
      <c r="N102" s="0" t="s">
        <v>3077</v>
      </c>
      <c r="O102" s="0" t="s">
        <v>3078</v>
      </c>
      <c r="P102" s="0" t="s">
        <v>2819</v>
      </c>
      <c r="AF102" s="0" t="n">
        <f aca="false">LEN(D102)+LEN(E102)+LEN(F102)+LEN(G102)+LEN(H102)+LEN(I102)+LEN(J102)+LEN(K102)+LEN(L102)+LEN(M102)+LEN(N102)+LEN(O102)+LEN(P102)</f>
        <v>73</v>
      </c>
    </row>
    <row r="103" customFormat="false" ht="15" hidden="false" customHeight="false" outlineLevel="0" collapsed="false">
      <c r="A103" s="0" t="s">
        <v>3079</v>
      </c>
      <c r="B103" s="0" t="n">
        <v>1926</v>
      </c>
      <c r="C103" s="0" t="s">
        <v>3080</v>
      </c>
      <c r="D103" s="0" t="s">
        <v>3081</v>
      </c>
      <c r="G103" s="0" t="s">
        <v>3080</v>
      </c>
      <c r="L103" s="0" t="s">
        <v>3069</v>
      </c>
      <c r="AF103" s="0" t="n">
        <f aca="false">LEN(D103)+LEN(E103)+LEN(F103)+LEN(G103)+LEN(H103)+LEN(I103)+LEN(J103)+LEN(K103)+LEN(L103)+LEN(M103)+LEN(N103)+LEN(O103)+LEN(P103)</f>
        <v>149</v>
      </c>
    </row>
    <row r="104" customFormat="false" ht="15" hidden="false" customHeight="false" outlineLevel="0" collapsed="false">
      <c r="A104" s="0" t="s">
        <v>3082</v>
      </c>
      <c r="B104" s="0" t="n">
        <v>1926</v>
      </c>
      <c r="C104" s="0" t="s">
        <v>3083</v>
      </c>
      <c r="D104" s="0" t="s">
        <v>3081</v>
      </c>
      <c r="L104" s="0" t="s">
        <v>3084</v>
      </c>
      <c r="M104" s="0" t="s">
        <v>3085</v>
      </c>
      <c r="N104" s="0" t="s">
        <v>565</v>
      </c>
      <c r="P104" s="0" t="s">
        <v>3086</v>
      </c>
      <c r="AF104" s="0" t="n">
        <f aca="false">LEN(D104)+LEN(E104)+LEN(F104)+LEN(G104)+LEN(H104)+LEN(I104)+LEN(J104)+LEN(K104)+LEN(L104)+LEN(M104)+LEN(N104)+LEN(O104)+LEN(P104)</f>
        <v>75</v>
      </c>
    </row>
    <row r="105" customFormat="false" ht="15" hidden="false" customHeight="false" outlineLevel="0" collapsed="false">
      <c r="A105" s="0" t="s">
        <v>3087</v>
      </c>
      <c r="B105" s="0" t="n">
        <v>1926</v>
      </c>
      <c r="C105" s="0" t="s">
        <v>3088</v>
      </c>
      <c r="D105" s="0" t="s">
        <v>3089</v>
      </c>
      <c r="L105" s="0" t="s">
        <v>3090</v>
      </c>
      <c r="M105" s="0" t="s">
        <v>3091</v>
      </c>
      <c r="N105" s="0" t="s">
        <v>1635</v>
      </c>
      <c r="P105" s="0" t="s">
        <v>2948</v>
      </c>
      <c r="AA105" s="0" t="s">
        <v>29</v>
      </c>
      <c r="AC105" s="0" t="s">
        <v>29</v>
      </c>
      <c r="AF105" s="0" t="n">
        <f aca="false">LEN(D105)+LEN(E105)+LEN(F105)+LEN(G105)+LEN(H105)+LEN(I105)+LEN(J105)+LEN(K105)+LEN(L105)+LEN(M105)+LEN(N105)+LEN(O105)+LEN(P105)</f>
        <v>59</v>
      </c>
    </row>
    <row r="106" customFormat="false" ht="15" hidden="false" customHeight="false" outlineLevel="0" collapsed="false">
      <c r="A106" s="0" t="s">
        <v>3092</v>
      </c>
      <c r="B106" s="0" t="n">
        <v>1926</v>
      </c>
      <c r="C106" s="0" t="s">
        <v>3093</v>
      </c>
      <c r="D106" s="0" t="s">
        <v>3094</v>
      </c>
      <c r="L106" s="0" t="s">
        <v>3095</v>
      </c>
      <c r="AF106" s="0" t="n">
        <f aca="false">LEN(D106)+LEN(E106)+LEN(F106)+LEN(G106)+LEN(H106)+LEN(I106)+LEN(J106)+LEN(K106)+LEN(L106)+LEN(M106)+LEN(N106)+LEN(O106)+LEN(P106)</f>
        <v>70</v>
      </c>
    </row>
    <row r="107" customFormat="false" ht="15" hidden="false" customHeight="false" outlineLevel="0" collapsed="false">
      <c r="A107" s="0" t="s">
        <v>3096</v>
      </c>
      <c r="B107" s="0" t="n">
        <v>1926</v>
      </c>
      <c r="C107" s="0" t="s">
        <v>3097</v>
      </c>
      <c r="D107" s="0" t="s">
        <v>3094</v>
      </c>
      <c r="L107" s="0" t="s">
        <v>3098</v>
      </c>
      <c r="Y107" s="0" t="s">
        <v>29</v>
      </c>
      <c r="AF107" s="0" t="n">
        <f aca="false">LEN(D107)+LEN(E107)+LEN(F107)+LEN(G107)+LEN(H107)+LEN(I107)+LEN(J107)+LEN(K107)+LEN(L107)+LEN(M107)+LEN(N107)+LEN(O107)+LEN(P107)</f>
        <v>70</v>
      </c>
    </row>
    <row r="108" customFormat="false" ht="15" hidden="false" customHeight="false" outlineLevel="0" collapsed="false">
      <c r="A108" s="0" t="s">
        <v>3099</v>
      </c>
      <c r="B108" s="0" t="n">
        <v>1926</v>
      </c>
      <c r="C108" s="0" t="s">
        <v>3100</v>
      </c>
      <c r="D108" s="0" t="s">
        <v>3101</v>
      </c>
      <c r="L108" s="0" t="s">
        <v>3102</v>
      </c>
      <c r="AF108" s="0" t="n">
        <f aca="false">LEN(D108)+LEN(E108)+LEN(F108)+LEN(G108)+LEN(H108)+LEN(I108)+LEN(J108)+LEN(K108)+LEN(L108)+LEN(M108)+LEN(N108)+LEN(O108)+LEN(P108)</f>
        <v>67</v>
      </c>
    </row>
    <row r="109" customFormat="false" ht="15" hidden="false" customHeight="false" outlineLevel="0" collapsed="false">
      <c r="A109" s="0" t="s">
        <v>3103</v>
      </c>
      <c r="B109" s="0" t="n">
        <v>1926</v>
      </c>
      <c r="C109" s="0" t="s">
        <v>3104</v>
      </c>
      <c r="D109" s="0" t="s">
        <v>3101</v>
      </c>
      <c r="J109" s="0" t="s">
        <v>3105</v>
      </c>
      <c r="L109" s="0" t="s">
        <v>3069</v>
      </c>
      <c r="AF109" s="0" t="n">
        <f aca="false">LEN(D109)+LEN(E109)+LEN(F109)+LEN(G109)+LEN(H109)+LEN(I109)+LEN(J109)+LEN(K109)+LEN(L109)+LEN(M109)+LEN(N109)+LEN(O109)+LEN(P109)</f>
        <v>88</v>
      </c>
    </row>
    <row r="110" customFormat="false" ht="15" hidden="false" customHeight="false" outlineLevel="0" collapsed="false">
      <c r="A110" s="0" t="s">
        <v>3106</v>
      </c>
      <c r="B110" s="0" t="n">
        <v>1926</v>
      </c>
      <c r="C110" s="0" t="s">
        <v>3107</v>
      </c>
      <c r="D110" s="0" t="s">
        <v>3101</v>
      </c>
      <c r="L110" s="0" t="s">
        <v>3108</v>
      </c>
      <c r="M110" s="0" t="s">
        <v>3109</v>
      </c>
      <c r="N110" s="0" t="s">
        <v>3110</v>
      </c>
      <c r="P110" s="0" t="s">
        <v>3111</v>
      </c>
      <c r="AA110" s="0" t="s">
        <v>29</v>
      </c>
      <c r="AF110" s="0" t="n">
        <f aca="false">LEN(D110)+LEN(E110)+LEN(F110)+LEN(G110)+LEN(H110)+LEN(I110)+LEN(J110)+LEN(K110)+LEN(L110)+LEN(M110)+LEN(N110)+LEN(O110)+LEN(P110)</f>
        <v>83</v>
      </c>
    </row>
    <row r="111" customFormat="false" ht="15" hidden="false" customHeight="false" outlineLevel="0" collapsed="false">
      <c r="A111" s="0" t="s">
        <v>3112</v>
      </c>
      <c r="B111" s="0" t="n">
        <v>1926</v>
      </c>
      <c r="C111" s="0" t="s">
        <v>3113</v>
      </c>
      <c r="D111" s="0" t="s">
        <v>3114</v>
      </c>
      <c r="L111" s="0" t="s">
        <v>3108</v>
      </c>
      <c r="M111" s="0" t="s">
        <v>3115</v>
      </c>
      <c r="N111" s="0" t="s">
        <v>2217</v>
      </c>
      <c r="O111" s="0" t="s">
        <v>526</v>
      </c>
      <c r="P111" s="0" t="s">
        <v>3020</v>
      </c>
      <c r="AF111" s="0" t="n">
        <f aca="false">LEN(D111)+LEN(E111)+LEN(F111)+LEN(G111)+LEN(H111)+LEN(I111)+LEN(J111)+LEN(K111)+LEN(L111)+LEN(M111)+LEN(N111)+LEN(O111)+LEN(P111)</f>
        <v>66</v>
      </c>
    </row>
    <row r="112" customFormat="false" ht="15" hidden="false" customHeight="false" outlineLevel="0" collapsed="false">
      <c r="A112" s="0" t="s">
        <v>3116</v>
      </c>
      <c r="B112" s="0" t="n">
        <v>1926</v>
      </c>
      <c r="C112" s="0" t="s">
        <v>3117</v>
      </c>
      <c r="D112" s="0" t="s">
        <v>3114</v>
      </c>
      <c r="L112" s="0" t="s">
        <v>3108</v>
      </c>
      <c r="M112" s="0" t="s">
        <v>3115</v>
      </c>
      <c r="N112" s="0" t="s">
        <v>2217</v>
      </c>
      <c r="O112" s="0" t="s">
        <v>526</v>
      </c>
      <c r="P112" s="0" t="s">
        <v>2819</v>
      </c>
      <c r="AF112" s="0" t="n">
        <f aca="false">LEN(D112)+LEN(E112)+LEN(F112)+LEN(G112)+LEN(H112)+LEN(I112)+LEN(J112)+LEN(K112)+LEN(L112)+LEN(M112)+LEN(N112)+LEN(O112)+LEN(P112)</f>
        <v>68</v>
      </c>
    </row>
    <row r="113" customFormat="false" ht="15" hidden="false" customHeight="false" outlineLevel="0" collapsed="false">
      <c r="A113" s="0" t="s">
        <v>3118</v>
      </c>
      <c r="B113" s="0" t="n">
        <v>1926</v>
      </c>
      <c r="C113" s="0" t="s">
        <v>3119</v>
      </c>
      <c r="D113" s="0" t="s">
        <v>3114</v>
      </c>
      <c r="L113" s="0" t="s">
        <v>3108</v>
      </c>
      <c r="M113" s="0" t="s">
        <v>3120</v>
      </c>
      <c r="N113" s="0" t="s">
        <v>1728</v>
      </c>
      <c r="P113" s="0" t="s">
        <v>3121</v>
      </c>
      <c r="AA113" s="0" t="s">
        <v>29</v>
      </c>
      <c r="AF113" s="0" t="n">
        <f aca="false">LEN(D113)+LEN(E113)+LEN(F113)+LEN(G113)+LEN(H113)+LEN(I113)+LEN(J113)+LEN(K113)+LEN(L113)+LEN(M113)+LEN(N113)+LEN(O113)+LEN(P113)</f>
        <v>66</v>
      </c>
    </row>
    <row r="114" customFormat="false" ht="15" hidden="false" customHeight="false" outlineLevel="0" collapsed="false">
      <c r="A114" s="0" t="s">
        <v>3122</v>
      </c>
      <c r="B114" s="0" t="n">
        <v>1926</v>
      </c>
      <c r="C114" s="0" t="s">
        <v>3123</v>
      </c>
      <c r="D114" s="0" t="s">
        <v>3114</v>
      </c>
      <c r="L114" s="0" t="s">
        <v>3069</v>
      </c>
      <c r="M114" s="0" t="s">
        <v>3124</v>
      </c>
      <c r="N114" s="0" t="s">
        <v>881</v>
      </c>
      <c r="P114" s="0" t="s">
        <v>3125</v>
      </c>
      <c r="AA114" s="0" t="s">
        <v>29</v>
      </c>
      <c r="AC114" s="0" t="s">
        <v>29</v>
      </c>
      <c r="AF114" s="0" t="n">
        <f aca="false">LEN(D114)+LEN(E114)+LEN(F114)+LEN(G114)+LEN(H114)+LEN(I114)+LEN(J114)+LEN(K114)+LEN(L114)+LEN(M114)+LEN(N114)+LEN(O114)+LEN(P114)</f>
        <v>55</v>
      </c>
    </row>
    <row r="115" customFormat="false" ht="15" hidden="false" customHeight="false" outlineLevel="0" collapsed="false">
      <c r="A115" s="0" t="s">
        <v>3122</v>
      </c>
      <c r="B115" s="0" t="n">
        <v>1926</v>
      </c>
      <c r="C115" s="0" t="s">
        <v>3123</v>
      </c>
      <c r="D115" s="0" t="s">
        <v>3114</v>
      </c>
      <c r="L115" s="0" t="s">
        <v>3069</v>
      </c>
      <c r="M115" s="0" t="s">
        <v>3126</v>
      </c>
      <c r="N115" s="0" t="s">
        <v>3127</v>
      </c>
      <c r="P115" s="0" t="s">
        <v>3128</v>
      </c>
      <c r="AA115" s="0" t="s">
        <v>29</v>
      </c>
      <c r="AB115" s="0" t="s">
        <v>29</v>
      </c>
      <c r="AC115" s="0" t="s">
        <v>29</v>
      </c>
      <c r="AF115" s="0" t="n">
        <f aca="false">LEN(D115)+LEN(E115)+LEN(F115)+LEN(G115)+LEN(H115)+LEN(I115)+LEN(J115)+LEN(K115)+LEN(L115)+LEN(M115)+LEN(N115)+LEN(O115)+LEN(P115)</f>
        <v>75</v>
      </c>
    </row>
    <row r="116" customFormat="false" ht="15" hidden="false" customHeight="false" outlineLevel="0" collapsed="false">
      <c r="A116" s="0" t="s">
        <v>3122</v>
      </c>
      <c r="B116" s="0" t="n">
        <v>1926</v>
      </c>
      <c r="C116" s="0" t="s">
        <v>3123</v>
      </c>
      <c r="D116" s="0" t="s">
        <v>3114</v>
      </c>
      <c r="L116" s="0" t="s">
        <v>3069</v>
      </c>
      <c r="M116" s="0" t="s">
        <v>3124</v>
      </c>
      <c r="N116" s="0" t="s">
        <v>881</v>
      </c>
      <c r="P116" s="0" t="s">
        <v>3125</v>
      </c>
      <c r="AA116" s="0" t="s">
        <v>29</v>
      </c>
      <c r="AC116" s="0" t="s">
        <v>29</v>
      </c>
      <c r="AF116" s="0" t="n">
        <f aca="false">LEN(D116)+LEN(E116)+LEN(F116)+LEN(G116)+LEN(H116)+LEN(I116)+LEN(J116)+LEN(K116)+LEN(L116)+LEN(M116)+LEN(N116)+LEN(O116)+LEN(P116)</f>
        <v>55</v>
      </c>
    </row>
    <row r="117" customFormat="false" ht="15" hidden="false" customHeight="false" outlineLevel="0" collapsed="false">
      <c r="A117" s="0" t="s">
        <v>3122</v>
      </c>
      <c r="B117" s="0" t="n">
        <v>1926</v>
      </c>
      <c r="C117" s="0" t="s">
        <v>3123</v>
      </c>
      <c r="D117" s="0" t="s">
        <v>3114</v>
      </c>
      <c r="L117" s="0" t="s">
        <v>3069</v>
      </c>
      <c r="M117" s="0" t="s">
        <v>3126</v>
      </c>
      <c r="N117" s="0" t="s">
        <v>3127</v>
      </c>
      <c r="P117" s="0" t="s">
        <v>3128</v>
      </c>
      <c r="AA117" s="0" t="s">
        <v>29</v>
      </c>
      <c r="AB117" s="0" t="s">
        <v>29</v>
      </c>
      <c r="AC117" s="0" t="s">
        <v>29</v>
      </c>
      <c r="AF117" s="0" t="n">
        <f aca="false">LEN(D117)+LEN(E117)+LEN(F117)+LEN(G117)+LEN(H117)+LEN(I117)+LEN(J117)+LEN(K117)+LEN(L117)+LEN(M117)+LEN(N117)+LEN(O117)+LEN(P117)</f>
        <v>75</v>
      </c>
    </row>
    <row r="118" customFormat="false" ht="15" hidden="false" customHeight="false" outlineLevel="0" collapsed="false">
      <c r="A118" s="0" t="s">
        <v>3129</v>
      </c>
      <c r="B118" s="0" t="n">
        <v>1926</v>
      </c>
      <c r="C118" s="0" t="s">
        <v>3130</v>
      </c>
      <c r="D118" s="0" t="s">
        <v>3131</v>
      </c>
      <c r="L118" s="0" t="s">
        <v>3132</v>
      </c>
      <c r="Y118" s="0" t="s">
        <v>29</v>
      </c>
      <c r="AF118" s="0" t="n">
        <f aca="false">LEN(D118)+LEN(E118)+LEN(F118)+LEN(G118)+LEN(H118)+LEN(I118)+LEN(J118)+LEN(K118)+LEN(L118)+LEN(M118)+LEN(N118)+LEN(O118)+LEN(P118)</f>
        <v>55</v>
      </c>
    </row>
    <row r="119" customFormat="false" ht="15" hidden="false" customHeight="false" outlineLevel="0" collapsed="false">
      <c r="A119" s="0" t="s">
        <v>3133</v>
      </c>
      <c r="B119" s="0" t="n">
        <v>1926</v>
      </c>
      <c r="C119" s="0" t="s">
        <v>3134</v>
      </c>
      <c r="D119" s="0" t="s">
        <v>3131</v>
      </c>
      <c r="L119" s="0" t="s">
        <v>3075</v>
      </c>
      <c r="M119" s="0" t="s">
        <v>3135</v>
      </c>
      <c r="N119" s="0" t="s">
        <v>3136</v>
      </c>
      <c r="P119" s="0" t="s">
        <v>2948</v>
      </c>
      <c r="AA119" s="0" t="s">
        <v>29</v>
      </c>
      <c r="AF119" s="0" t="n">
        <f aca="false">LEN(D119)+LEN(E119)+LEN(F119)+LEN(G119)+LEN(H119)+LEN(I119)+LEN(J119)+LEN(K119)+LEN(L119)+LEN(M119)+LEN(N119)+LEN(O119)+LEN(P119)</f>
        <v>75</v>
      </c>
    </row>
    <row r="120" customFormat="false" ht="15" hidden="false" customHeight="false" outlineLevel="0" collapsed="false">
      <c r="A120" s="0" t="s">
        <v>3133</v>
      </c>
      <c r="B120" s="0" t="n">
        <v>1926</v>
      </c>
      <c r="C120" s="0" t="s">
        <v>3134</v>
      </c>
      <c r="D120" s="0" t="s">
        <v>3131</v>
      </c>
      <c r="L120" s="0" t="s">
        <v>3075</v>
      </c>
      <c r="M120" s="0" t="s">
        <v>3135</v>
      </c>
      <c r="N120" s="0" t="s">
        <v>3136</v>
      </c>
      <c r="P120" s="0" t="s">
        <v>2948</v>
      </c>
      <c r="AA120" s="0" t="s">
        <v>29</v>
      </c>
      <c r="AF120" s="0" t="n">
        <f aca="false">LEN(D120)+LEN(E120)+LEN(F120)+LEN(G120)+LEN(H120)+LEN(I120)+LEN(J120)+LEN(K120)+LEN(L120)+LEN(M120)+LEN(N120)+LEN(O120)+LEN(P120)</f>
        <v>75</v>
      </c>
    </row>
    <row r="121" customFormat="false" ht="15" hidden="false" customHeight="false" outlineLevel="0" collapsed="false">
      <c r="A121" s="0" t="s">
        <v>3137</v>
      </c>
      <c r="B121" s="0" t="n">
        <v>1926</v>
      </c>
      <c r="C121" s="0" t="s">
        <v>2895</v>
      </c>
      <c r="D121" s="0" t="s">
        <v>3138</v>
      </c>
      <c r="F121" s="0" t="s">
        <v>2895</v>
      </c>
      <c r="L121" s="0" t="s">
        <v>3069</v>
      </c>
      <c r="AF121" s="0" t="n">
        <f aca="false">LEN(D121)+LEN(E121)+LEN(F121)+LEN(G121)+LEN(H121)+LEN(I121)+LEN(J121)+LEN(K121)+LEN(L121)+LEN(M121)+LEN(N121)+LEN(O121)+LEN(P121)</f>
        <v>37</v>
      </c>
    </row>
    <row r="122" customFormat="false" ht="15" hidden="false" customHeight="false" outlineLevel="0" collapsed="false">
      <c r="A122" s="0" t="s">
        <v>3137</v>
      </c>
      <c r="B122" s="0" t="n">
        <v>1926</v>
      </c>
      <c r="C122" s="0" t="s">
        <v>2895</v>
      </c>
      <c r="D122" s="0" t="s">
        <v>3138</v>
      </c>
      <c r="F122" s="0" t="s">
        <v>2895</v>
      </c>
      <c r="L122" s="0" t="s">
        <v>3069</v>
      </c>
      <c r="AF122" s="0" t="n">
        <f aca="false">LEN(D122)+LEN(E122)+LEN(F122)+LEN(G122)+LEN(H122)+LEN(I122)+LEN(J122)+LEN(K122)+LEN(L122)+LEN(M122)+LEN(N122)+LEN(O122)+LEN(P122)</f>
        <v>37</v>
      </c>
    </row>
    <row r="123" customFormat="false" ht="15" hidden="false" customHeight="false" outlineLevel="0" collapsed="false">
      <c r="A123" s="0" t="s">
        <v>3139</v>
      </c>
      <c r="B123" s="0" t="n">
        <v>1926</v>
      </c>
      <c r="C123" s="0" t="s">
        <v>3140</v>
      </c>
      <c r="D123" s="0" t="s">
        <v>3138</v>
      </c>
      <c r="L123" s="0" t="s">
        <v>3108</v>
      </c>
      <c r="M123" s="0" t="s">
        <v>3141</v>
      </c>
      <c r="N123" s="0" t="s">
        <v>3142</v>
      </c>
      <c r="P123" s="0" t="s">
        <v>3143</v>
      </c>
      <c r="AA123" s="0" t="s">
        <v>29</v>
      </c>
      <c r="AF123" s="0" t="n">
        <f aca="false">LEN(D123)+LEN(E123)+LEN(F123)+LEN(G123)+LEN(H123)+LEN(I123)+LEN(J123)+LEN(K123)+LEN(L123)+LEN(M123)+LEN(N123)+LEN(O123)+LEN(P123)</f>
        <v>54</v>
      </c>
    </row>
    <row r="124" customFormat="false" ht="15" hidden="false" customHeight="false" outlineLevel="0" collapsed="false">
      <c r="A124" s="0" t="s">
        <v>3144</v>
      </c>
      <c r="B124" s="0" t="n">
        <v>1926</v>
      </c>
      <c r="C124" s="0" t="s">
        <v>3145</v>
      </c>
      <c r="D124" s="0" t="s">
        <v>3146</v>
      </c>
      <c r="L124" s="0" t="s">
        <v>113</v>
      </c>
      <c r="M124" s="0" t="s">
        <v>3147</v>
      </c>
      <c r="N124" s="0" t="s">
        <v>3148</v>
      </c>
      <c r="P124" s="0" t="s">
        <v>2819</v>
      </c>
      <c r="AA124" s="0" t="s">
        <v>29</v>
      </c>
      <c r="AF124" s="0" t="n">
        <f aca="false">LEN(D124)+LEN(E124)+LEN(F124)+LEN(G124)+LEN(H124)+LEN(I124)+LEN(J124)+LEN(K124)+LEN(L124)+LEN(M124)+LEN(N124)+LEN(O124)+LEN(P124)</f>
        <v>70</v>
      </c>
    </row>
    <row r="125" customFormat="false" ht="15" hidden="false" customHeight="false" outlineLevel="0" collapsed="false">
      <c r="A125" s="0" t="s">
        <v>3149</v>
      </c>
      <c r="B125" s="0" t="n">
        <v>1926</v>
      </c>
      <c r="C125" s="0" t="s">
        <v>3150</v>
      </c>
      <c r="D125" s="0" t="s">
        <v>3146</v>
      </c>
      <c r="L125" s="0" t="s">
        <v>3151</v>
      </c>
      <c r="M125" s="0" t="s">
        <v>3152</v>
      </c>
      <c r="N125" s="0" t="s">
        <v>2689</v>
      </c>
      <c r="P125" s="0" t="s">
        <v>2962</v>
      </c>
      <c r="AC125" s="0" t="s">
        <v>29</v>
      </c>
      <c r="AF125" s="0" t="n">
        <f aca="false">LEN(D125)+LEN(E125)+LEN(F125)+LEN(G125)+LEN(H125)+LEN(I125)+LEN(J125)+LEN(K125)+LEN(L125)+LEN(M125)+LEN(N125)+LEN(O125)+LEN(P125)</f>
        <v>73</v>
      </c>
    </row>
    <row r="126" customFormat="false" ht="15" hidden="false" customHeight="false" outlineLevel="0" collapsed="false">
      <c r="A126" s="0" t="s">
        <v>3153</v>
      </c>
      <c r="B126" s="0" t="n">
        <v>1926</v>
      </c>
      <c r="C126" s="0" t="s">
        <v>3154</v>
      </c>
      <c r="D126" s="0" t="s">
        <v>2937</v>
      </c>
      <c r="L126" s="0" t="s">
        <v>2941</v>
      </c>
      <c r="AF126" s="0" t="n">
        <f aca="false">LEN(D126)+LEN(E126)+LEN(F126)+LEN(G126)+LEN(H126)+LEN(I126)+LEN(J126)+LEN(K126)+LEN(L126)+LEN(M126)+LEN(N126)+LEN(O126)+LEN(P126)</f>
        <v>58</v>
      </c>
    </row>
    <row r="127" customFormat="false" ht="15" hidden="false" customHeight="false" outlineLevel="0" collapsed="false">
      <c r="A127" s="0" t="s">
        <v>3155</v>
      </c>
      <c r="B127" s="0" t="n">
        <v>1926</v>
      </c>
      <c r="C127" s="0" t="s">
        <v>3156</v>
      </c>
      <c r="D127" s="0" t="s">
        <v>2937</v>
      </c>
      <c r="L127" s="0" t="s">
        <v>3157</v>
      </c>
      <c r="Y127" s="0" t="s">
        <v>29</v>
      </c>
      <c r="AF127" s="0" t="n">
        <f aca="false">LEN(D127)+LEN(E127)+LEN(F127)+LEN(G127)+LEN(H127)+LEN(I127)+LEN(J127)+LEN(K127)+LEN(L127)+LEN(M127)+LEN(N127)+LEN(O127)+LEN(P127)</f>
        <v>49</v>
      </c>
    </row>
    <row r="128" customFormat="false" ht="15" hidden="false" customHeight="false" outlineLevel="0" collapsed="false">
      <c r="A128" s="0" t="s">
        <v>3158</v>
      </c>
      <c r="B128" s="0" t="n">
        <v>1926</v>
      </c>
      <c r="C128" s="0" t="s">
        <v>3159</v>
      </c>
      <c r="D128" s="0" t="s">
        <v>2937</v>
      </c>
      <c r="I128" s="0" t="s">
        <v>3160</v>
      </c>
      <c r="L128" s="0" t="s">
        <v>3161</v>
      </c>
      <c r="AF128" s="0" t="n">
        <f aca="false">LEN(D128)+LEN(E128)+LEN(F128)+LEN(G128)+LEN(H128)+LEN(I128)+LEN(J128)+LEN(K128)+LEN(L128)+LEN(M128)+LEN(N128)+LEN(O128)+LEN(P128)</f>
        <v>60</v>
      </c>
    </row>
    <row r="129" customFormat="false" ht="15" hidden="false" customHeight="false" outlineLevel="0" collapsed="false">
      <c r="A129" s="0" t="s">
        <v>3162</v>
      </c>
      <c r="B129" s="0" t="n">
        <v>1926</v>
      </c>
      <c r="C129" s="0" t="s">
        <v>3163</v>
      </c>
      <c r="D129" s="0" t="s">
        <v>3164</v>
      </c>
      <c r="L129" s="0" t="s">
        <v>3165</v>
      </c>
      <c r="M129" s="0" t="s">
        <v>3166</v>
      </c>
      <c r="N129" s="0" t="s">
        <v>29</v>
      </c>
      <c r="P129" s="0" t="s">
        <v>3167</v>
      </c>
      <c r="AA129" s="0" t="s">
        <v>29</v>
      </c>
      <c r="AC129" s="0" t="s">
        <v>29</v>
      </c>
      <c r="AF129" s="0" t="n">
        <f aca="false">LEN(D129)+LEN(E129)+LEN(F129)+LEN(G129)+LEN(H129)+LEN(I129)+LEN(J129)+LEN(K129)+LEN(L129)+LEN(M129)+LEN(N129)+LEN(O129)+LEN(P129)</f>
        <v>49</v>
      </c>
    </row>
    <row r="130" customFormat="false" ht="15" hidden="false" customHeight="false" outlineLevel="0" collapsed="false">
      <c r="A130" s="0" t="s">
        <v>3168</v>
      </c>
      <c r="B130" s="0" t="n">
        <v>1926</v>
      </c>
      <c r="C130" s="0" t="s">
        <v>3169</v>
      </c>
      <c r="D130" s="0" t="s">
        <v>3170</v>
      </c>
      <c r="I130" s="0" t="s">
        <v>3171</v>
      </c>
      <c r="L130" s="0" t="s">
        <v>3172</v>
      </c>
      <c r="AF130" s="0" t="n">
        <f aca="false">LEN(D130)+LEN(E130)+LEN(F130)+LEN(G130)+LEN(H130)+LEN(I130)+LEN(J130)+LEN(K130)+LEN(L130)+LEN(M130)+LEN(N130)+LEN(O130)+LEN(P130)</f>
        <v>54</v>
      </c>
    </row>
    <row r="131" customFormat="false" ht="15" hidden="false" customHeight="false" outlineLevel="0" collapsed="false">
      <c r="A131" s="0" t="s">
        <v>3173</v>
      </c>
      <c r="B131" s="0" t="n">
        <v>1926</v>
      </c>
      <c r="C131" s="0" t="s">
        <v>3174</v>
      </c>
      <c r="D131" s="0" t="s">
        <v>3175</v>
      </c>
      <c r="G131" s="0" t="s">
        <v>3174</v>
      </c>
      <c r="L131" s="0" t="s">
        <v>3172</v>
      </c>
      <c r="T131" s="0" t="s">
        <v>29</v>
      </c>
      <c r="U131" s="0" t="s">
        <v>29</v>
      </c>
      <c r="AF131" s="0" t="n">
        <f aca="false">LEN(D131)+LEN(E131)+LEN(F131)+LEN(G131)+LEN(H131)+LEN(I131)+LEN(J131)+LEN(K131)+LEN(L131)+LEN(M131)+LEN(N131)+LEN(O131)+LEN(P131)</f>
        <v>169</v>
      </c>
    </row>
    <row r="132" customFormat="false" ht="15" hidden="false" customHeight="false" outlineLevel="0" collapsed="false">
      <c r="A132" s="0" t="s">
        <v>3173</v>
      </c>
      <c r="B132" s="0" t="n">
        <v>1926</v>
      </c>
      <c r="C132" s="0" t="s">
        <v>3174</v>
      </c>
      <c r="D132" s="0" t="s">
        <v>3175</v>
      </c>
      <c r="G132" s="0" t="s">
        <v>3174</v>
      </c>
      <c r="L132" s="0" t="s">
        <v>3172</v>
      </c>
      <c r="T132" s="0" t="s">
        <v>29</v>
      </c>
      <c r="U132" s="0" t="s">
        <v>29</v>
      </c>
      <c r="AF132" s="0" t="n">
        <f aca="false">LEN(D132)+LEN(E132)+LEN(F132)+LEN(G132)+LEN(H132)+LEN(I132)+LEN(J132)+LEN(K132)+LEN(L132)+LEN(M132)+LEN(N132)+LEN(O132)+LEN(P132)</f>
        <v>169</v>
      </c>
    </row>
    <row r="133" customFormat="false" ht="15" hidden="false" customHeight="false" outlineLevel="0" collapsed="false">
      <c r="A133" s="0" t="s">
        <v>3176</v>
      </c>
      <c r="B133" s="0" t="n">
        <v>1926</v>
      </c>
      <c r="C133" s="0" t="s">
        <v>3177</v>
      </c>
      <c r="D133" s="0" t="s">
        <v>3178</v>
      </c>
      <c r="L133" s="0" t="s">
        <v>3179</v>
      </c>
      <c r="AF133" s="0" t="n">
        <f aca="false">LEN(D133)+LEN(E133)+LEN(F133)+LEN(G133)+LEN(H133)+LEN(I133)+LEN(J133)+LEN(K133)+LEN(L133)+LEN(M133)+LEN(N133)+LEN(O133)+LEN(P133)</f>
        <v>51</v>
      </c>
    </row>
    <row r="134" customFormat="false" ht="15" hidden="false" customHeight="false" outlineLevel="0" collapsed="false">
      <c r="A134" s="0" t="s">
        <v>3180</v>
      </c>
      <c r="B134" s="0" t="n">
        <v>1926</v>
      </c>
      <c r="C134" s="0" t="s">
        <v>3181</v>
      </c>
      <c r="D134" s="0" t="s">
        <v>3178</v>
      </c>
      <c r="L134" s="0" t="s">
        <v>3182</v>
      </c>
      <c r="Y134" s="0" t="s">
        <v>29</v>
      </c>
      <c r="AF134" s="0" t="n">
        <f aca="false">LEN(D134)+LEN(E134)+LEN(F134)+LEN(G134)+LEN(H134)+LEN(I134)+LEN(J134)+LEN(K134)+LEN(L134)+LEN(M134)+LEN(N134)+LEN(O134)+LEN(P134)</f>
        <v>48</v>
      </c>
    </row>
    <row r="135" customFormat="false" ht="15" hidden="false" customHeight="false" outlineLevel="0" collapsed="false">
      <c r="A135" s="0" t="s">
        <v>3183</v>
      </c>
      <c r="B135" s="0" t="n">
        <v>1926</v>
      </c>
      <c r="C135" s="0" t="s">
        <v>3184</v>
      </c>
      <c r="D135" s="0" t="s">
        <v>3178</v>
      </c>
      <c r="G135" s="0" t="s">
        <v>3184</v>
      </c>
      <c r="L135" s="0" t="s">
        <v>3172</v>
      </c>
      <c r="AF135" s="0" t="n">
        <f aca="false">LEN(D135)+LEN(E135)+LEN(F135)+LEN(G135)+LEN(H135)+LEN(I135)+LEN(J135)+LEN(K135)+LEN(L135)+LEN(M135)+LEN(N135)+LEN(O135)+LEN(P135)</f>
        <v>81</v>
      </c>
    </row>
    <row r="136" customFormat="false" ht="15" hidden="false" customHeight="false" outlineLevel="0" collapsed="false">
      <c r="A136" s="0" t="s">
        <v>3185</v>
      </c>
      <c r="B136" s="0" t="n">
        <v>1926</v>
      </c>
      <c r="C136" s="0" t="s">
        <v>3186</v>
      </c>
      <c r="D136" s="0" t="s">
        <v>3178</v>
      </c>
      <c r="I136" s="0" t="s">
        <v>3187</v>
      </c>
      <c r="L136" s="0" t="s">
        <v>3172</v>
      </c>
      <c r="AF136" s="0" t="n">
        <f aca="false">LEN(D136)+LEN(E136)+LEN(F136)+LEN(G136)+LEN(H136)+LEN(I136)+LEN(J136)+LEN(K136)+LEN(L136)+LEN(M136)+LEN(N136)+LEN(O136)+LEN(P136)</f>
        <v>54</v>
      </c>
    </row>
    <row r="137" customFormat="false" ht="15" hidden="false" customHeight="false" outlineLevel="0" collapsed="false">
      <c r="A137" s="0" t="s">
        <v>3188</v>
      </c>
      <c r="B137" s="0" t="n">
        <v>1926</v>
      </c>
      <c r="C137" s="0" t="s">
        <v>3189</v>
      </c>
      <c r="D137" s="0" t="s">
        <v>3190</v>
      </c>
      <c r="K137" s="0" t="s">
        <v>3189</v>
      </c>
      <c r="L137" s="0" t="s">
        <v>3172</v>
      </c>
      <c r="AF137" s="0" t="n">
        <f aca="false">LEN(D137)+LEN(E137)+LEN(F137)+LEN(G137)+LEN(H137)+LEN(I137)+LEN(J137)+LEN(K137)+LEN(L137)+LEN(M137)+LEN(N137)+LEN(O137)+LEN(P137)</f>
        <v>68</v>
      </c>
    </row>
    <row r="138" customFormat="false" ht="15" hidden="false" customHeight="false" outlineLevel="0" collapsed="false">
      <c r="A138" s="0" t="s">
        <v>3191</v>
      </c>
      <c r="B138" s="0" t="n">
        <v>1926</v>
      </c>
      <c r="C138" s="0" t="s">
        <v>3192</v>
      </c>
      <c r="D138" s="0" t="s">
        <v>3193</v>
      </c>
      <c r="J138" s="0" t="s">
        <v>2810</v>
      </c>
      <c r="L138" s="0" t="s">
        <v>3172</v>
      </c>
      <c r="AF138" s="0" t="n">
        <f aca="false">LEN(D138)+LEN(E138)+LEN(F138)+LEN(G138)+LEN(H138)+LEN(I138)+LEN(J138)+LEN(K138)+LEN(L138)+LEN(M138)+LEN(N138)+LEN(O138)+LEN(P138)</f>
        <v>51</v>
      </c>
    </row>
    <row r="139" customFormat="false" ht="15" hidden="false" customHeight="false" outlineLevel="0" collapsed="false">
      <c r="A139" s="0" t="s">
        <v>3194</v>
      </c>
      <c r="B139" s="0" t="n">
        <v>1926</v>
      </c>
      <c r="C139" s="0" t="s">
        <v>3195</v>
      </c>
      <c r="D139" s="0" t="s">
        <v>3193</v>
      </c>
      <c r="L139" s="0" t="s">
        <v>3196</v>
      </c>
      <c r="M139" s="0" t="s">
        <v>3197</v>
      </c>
      <c r="N139" s="0" t="s">
        <v>2191</v>
      </c>
      <c r="O139" s="0" t="s">
        <v>3198</v>
      </c>
      <c r="P139" s="0" t="s">
        <v>3199</v>
      </c>
      <c r="AA139" s="0" t="s">
        <v>29</v>
      </c>
      <c r="AC139" s="0" t="s">
        <v>29</v>
      </c>
      <c r="AF139" s="0" t="n">
        <f aca="false">LEN(D139)+LEN(E139)+LEN(F139)+LEN(G139)+LEN(H139)+LEN(I139)+LEN(J139)+LEN(K139)+LEN(L139)+LEN(M139)+LEN(N139)+LEN(O139)+LEN(P139)</f>
        <v>63</v>
      </c>
    </row>
    <row r="140" customFormat="false" ht="15" hidden="false" customHeight="false" outlineLevel="0" collapsed="false">
      <c r="A140" s="0" t="s">
        <v>3200</v>
      </c>
      <c r="B140" s="0" t="n">
        <v>1926</v>
      </c>
      <c r="C140" s="0" t="s">
        <v>3201</v>
      </c>
      <c r="D140" s="0" t="s">
        <v>3193</v>
      </c>
      <c r="L140" s="0" t="s">
        <v>3196</v>
      </c>
      <c r="M140" s="0" t="s">
        <v>2201</v>
      </c>
      <c r="N140" s="0" t="s">
        <v>324</v>
      </c>
      <c r="P140" s="0" t="s">
        <v>3202</v>
      </c>
      <c r="AC140" s="0" t="s">
        <v>29</v>
      </c>
      <c r="AF140" s="0" t="n">
        <f aca="false">LEN(D140)+LEN(E140)+LEN(F140)+LEN(G140)+LEN(H140)+LEN(I140)+LEN(J140)+LEN(K140)+LEN(L140)+LEN(M140)+LEN(N140)+LEN(O140)+LEN(P140)</f>
        <v>75</v>
      </c>
    </row>
    <row r="141" customFormat="false" ht="15" hidden="false" customHeight="false" outlineLevel="0" collapsed="false">
      <c r="A141" s="0" t="s">
        <v>3203</v>
      </c>
      <c r="B141" s="0" t="n">
        <v>1926</v>
      </c>
      <c r="C141" s="0" t="s">
        <v>3204</v>
      </c>
      <c r="D141" s="0" t="s">
        <v>3193</v>
      </c>
      <c r="L141" s="0" t="s">
        <v>3196</v>
      </c>
      <c r="M141" s="0" t="s">
        <v>3205</v>
      </c>
      <c r="N141" s="0" t="s">
        <v>1391</v>
      </c>
      <c r="O141" s="0" t="s">
        <v>1671</v>
      </c>
      <c r="P141" s="0" t="s">
        <v>3206</v>
      </c>
      <c r="AA141" s="0" t="s">
        <v>29</v>
      </c>
      <c r="AF141" s="0" t="n">
        <f aca="false">LEN(D141)+LEN(E141)+LEN(F141)+LEN(G141)+LEN(H141)+LEN(I141)+LEN(J141)+LEN(K141)+LEN(L141)+LEN(M141)+LEN(N141)+LEN(O141)+LEN(P141)</f>
        <v>58</v>
      </c>
    </row>
    <row r="142" customFormat="false" ht="15" hidden="false" customHeight="false" outlineLevel="0" collapsed="false">
      <c r="A142" s="0" t="s">
        <v>3207</v>
      </c>
      <c r="B142" s="0" t="n">
        <v>1926</v>
      </c>
      <c r="C142" s="0" t="s">
        <v>3208</v>
      </c>
      <c r="D142" s="0" t="s">
        <v>3193</v>
      </c>
      <c r="L142" s="0" t="s">
        <v>3196</v>
      </c>
      <c r="M142" s="0" t="s">
        <v>3209</v>
      </c>
      <c r="N142" s="0" t="s">
        <v>3210</v>
      </c>
      <c r="O142" s="0" t="s">
        <v>391</v>
      </c>
      <c r="P142" s="0" t="s">
        <v>3211</v>
      </c>
      <c r="AA142" s="0" t="s">
        <v>29</v>
      </c>
      <c r="AB142" s="0" t="s">
        <v>29</v>
      </c>
      <c r="AC142" s="0" t="s">
        <v>29</v>
      </c>
      <c r="AF142" s="0" t="n">
        <f aca="false">LEN(D142)+LEN(E142)+LEN(F142)+LEN(G142)+LEN(H142)+LEN(I142)+LEN(J142)+LEN(K142)+LEN(L142)+LEN(M142)+LEN(N142)+LEN(O142)+LEN(P142)</f>
        <v>70</v>
      </c>
    </row>
    <row r="143" customFormat="false" ht="15" hidden="false" customHeight="false" outlineLevel="0" collapsed="false">
      <c r="A143" s="0" t="s">
        <v>3212</v>
      </c>
      <c r="B143" s="0" t="n">
        <v>1926</v>
      </c>
      <c r="C143" s="0" t="s">
        <v>3213</v>
      </c>
      <c r="D143" s="0" t="s">
        <v>3214</v>
      </c>
      <c r="L143" s="0" t="s">
        <v>3179</v>
      </c>
      <c r="AF143" s="0" t="n">
        <f aca="false">LEN(D143)+LEN(E143)+LEN(F143)+LEN(G143)+LEN(H143)+LEN(I143)+LEN(J143)+LEN(K143)+LEN(L143)+LEN(M143)+LEN(N143)+LEN(O143)+LEN(P143)</f>
        <v>62</v>
      </c>
    </row>
    <row r="144" customFormat="false" ht="15" hidden="false" customHeight="false" outlineLevel="0" collapsed="false">
      <c r="A144" s="0" t="s">
        <v>3215</v>
      </c>
      <c r="B144" s="0" t="n">
        <v>1926</v>
      </c>
      <c r="C144" s="0" t="s">
        <v>3216</v>
      </c>
      <c r="D144" s="0" t="s">
        <v>3214</v>
      </c>
      <c r="L144" s="0" t="s">
        <v>3217</v>
      </c>
      <c r="M144" s="0" t="s">
        <v>3218</v>
      </c>
      <c r="N144" s="0" t="s">
        <v>324</v>
      </c>
      <c r="P144" s="0" t="s">
        <v>2948</v>
      </c>
      <c r="AA144" s="0" t="s">
        <v>69</v>
      </c>
      <c r="AC144" s="0" t="s">
        <v>29</v>
      </c>
      <c r="AE144" s="0" t="n">
        <v>1</v>
      </c>
      <c r="AF144" s="0" t="n">
        <f aca="false">LEN(D144)+LEN(E144)+LEN(F144)+LEN(G144)+LEN(H144)+LEN(I144)+LEN(J144)+LEN(K144)+LEN(L144)+LEN(M144)+LEN(N144)+LEN(O144)+LEN(P144)</f>
        <v>74</v>
      </c>
    </row>
    <row r="145" customFormat="false" ht="15" hidden="false" customHeight="false" outlineLevel="0" collapsed="false">
      <c r="A145" s="0" t="s">
        <v>3219</v>
      </c>
      <c r="B145" s="0" t="n">
        <v>1926</v>
      </c>
      <c r="C145" s="0" t="s">
        <v>3220</v>
      </c>
      <c r="D145" s="0" t="s">
        <v>3221</v>
      </c>
      <c r="G145" s="0" t="s">
        <v>3220</v>
      </c>
      <c r="L145" s="0" t="s">
        <v>3172</v>
      </c>
      <c r="AF145" s="0" t="n">
        <f aca="false">LEN(D145)+LEN(E145)+LEN(F145)+LEN(G145)+LEN(H145)+LEN(I145)+LEN(J145)+LEN(K145)+LEN(L145)+LEN(M145)+LEN(N145)+LEN(O145)+LEN(P145)</f>
        <v>100</v>
      </c>
    </row>
    <row r="146" customFormat="false" ht="15" hidden="false" customHeight="false" outlineLevel="0" collapsed="false">
      <c r="A146" s="0" t="s">
        <v>3222</v>
      </c>
      <c r="B146" s="0" t="n">
        <v>1926</v>
      </c>
      <c r="C146" s="0" t="s">
        <v>3223</v>
      </c>
      <c r="D146" s="0" t="s">
        <v>3224</v>
      </c>
      <c r="L146" s="0" t="s">
        <v>3172</v>
      </c>
      <c r="R146" s="0" t="s">
        <v>29</v>
      </c>
      <c r="AF146" s="0" t="n">
        <f aca="false">LEN(D146)+LEN(E146)+LEN(F146)+LEN(G146)+LEN(H146)+LEN(I146)+LEN(J146)+LEN(K146)+LEN(L146)+LEN(M146)+LEN(N146)+LEN(O146)+LEN(P146)</f>
        <v>36</v>
      </c>
    </row>
    <row r="147" customFormat="false" ht="15" hidden="false" customHeight="false" outlineLevel="0" collapsed="false">
      <c r="A147" s="0" t="s">
        <v>3225</v>
      </c>
      <c r="B147" s="0" t="n">
        <v>1926</v>
      </c>
      <c r="C147" s="0" t="s">
        <v>3226</v>
      </c>
      <c r="D147" s="0" t="s">
        <v>3224</v>
      </c>
      <c r="G147" s="0" t="s">
        <v>3226</v>
      </c>
      <c r="L147" s="0" t="s">
        <v>3172</v>
      </c>
      <c r="T147" s="0" t="s">
        <v>29</v>
      </c>
      <c r="U147" s="0" t="s">
        <v>29</v>
      </c>
      <c r="AF147" s="0" t="n">
        <f aca="false">LEN(D147)+LEN(E147)+LEN(F147)+LEN(G147)+LEN(H147)+LEN(I147)+LEN(J147)+LEN(K147)+LEN(L147)+LEN(M147)+LEN(N147)+LEN(O147)+LEN(P147)</f>
        <v>108</v>
      </c>
    </row>
    <row r="148" customFormat="false" ht="15" hidden="false" customHeight="false" outlineLevel="0" collapsed="false">
      <c r="A148" s="0" t="s">
        <v>3227</v>
      </c>
      <c r="B148" s="0" t="n">
        <v>1926</v>
      </c>
      <c r="C148" s="0" t="s">
        <v>3228</v>
      </c>
      <c r="D148" s="0" t="s">
        <v>3224</v>
      </c>
      <c r="L148" s="0" t="s">
        <v>3196</v>
      </c>
      <c r="M148" s="0" t="s">
        <v>3229</v>
      </c>
      <c r="N148" s="0" t="s">
        <v>881</v>
      </c>
      <c r="P148" s="0" t="s">
        <v>3020</v>
      </c>
      <c r="AA148" s="0" t="s">
        <v>29</v>
      </c>
      <c r="AC148" s="0" t="s">
        <v>29</v>
      </c>
      <c r="AF148" s="0" t="n">
        <f aca="false">LEN(D148)+LEN(E148)+LEN(F148)+LEN(G148)+LEN(H148)+LEN(I148)+LEN(J148)+LEN(K148)+LEN(L148)+LEN(M148)+LEN(N148)+LEN(O148)+LEN(P148)</f>
        <v>60</v>
      </c>
    </row>
    <row r="149" customFormat="false" ht="15" hidden="false" customHeight="false" outlineLevel="0" collapsed="false">
      <c r="A149" s="0" t="s">
        <v>3230</v>
      </c>
      <c r="B149" s="0" t="n">
        <v>1926</v>
      </c>
      <c r="C149" s="0" t="s">
        <v>3231</v>
      </c>
      <c r="D149" s="0" t="s">
        <v>3224</v>
      </c>
      <c r="L149" s="0" t="s">
        <v>3196</v>
      </c>
      <c r="M149" s="0" t="s">
        <v>3232</v>
      </c>
      <c r="N149" s="0" t="s">
        <v>1600</v>
      </c>
      <c r="O149" s="0" t="s">
        <v>386</v>
      </c>
      <c r="P149" s="0" t="s">
        <v>2819</v>
      </c>
      <c r="AC149" s="0" t="s">
        <v>29</v>
      </c>
      <c r="AF149" s="0" t="n">
        <f aca="false">LEN(D149)+LEN(E149)+LEN(F149)+LEN(G149)+LEN(H149)+LEN(I149)+LEN(J149)+LEN(K149)+LEN(L149)+LEN(M149)+LEN(N149)+LEN(O149)+LEN(P149)</f>
        <v>71</v>
      </c>
    </row>
    <row r="150" customFormat="false" ht="15" hidden="false" customHeight="false" outlineLevel="0" collapsed="false">
      <c r="A150" s="0" t="s">
        <v>3233</v>
      </c>
      <c r="B150" s="0" t="n">
        <v>1926</v>
      </c>
      <c r="C150" s="0" t="s">
        <v>3234</v>
      </c>
      <c r="D150" s="0" t="s">
        <v>3224</v>
      </c>
      <c r="L150" s="0" t="s">
        <v>3196</v>
      </c>
      <c r="M150" s="0" t="s">
        <v>3235</v>
      </c>
      <c r="N150" s="0" t="s">
        <v>1267</v>
      </c>
      <c r="P150" s="0" t="s">
        <v>3236</v>
      </c>
      <c r="AC150" s="0" t="s">
        <v>29</v>
      </c>
      <c r="AF150" s="0" t="n">
        <f aca="false">LEN(D150)+LEN(E150)+LEN(F150)+LEN(G150)+LEN(H150)+LEN(I150)+LEN(J150)+LEN(K150)+LEN(L150)+LEN(M150)+LEN(N150)+LEN(O150)+LEN(P150)</f>
        <v>57</v>
      </c>
    </row>
    <row r="151" customFormat="false" ht="15" hidden="false" customHeight="false" outlineLevel="0" collapsed="false">
      <c r="A151" s="0" t="s">
        <v>3237</v>
      </c>
      <c r="B151" s="0" t="n">
        <v>1926</v>
      </c>
      <c r="C151" s="0" t="s">
        <v>3238</v>
      </c>
      <c r="D151" s="0" t="s">
        <v>3224</v>
      </c>
      <c r="L151" s="0" t="s">
        <v>3196</v>
      </c>
      <c r="M151" s="0" t="s">
        <v>3239</v>
      </c>
      <c r="N151" s="0" t="s">
        <v>24</v>
      </c>
      <c r="P151" s="0" t="s">
        <v>3240</v>
      </c>
      <c r="AC151" s="0" t="s">
        <v>29</v>
      </c>
      <c r="AF151" s="0" t="n">
        <f aca="false">LEN(D151)+LEN(E151)+LEN(F151)+LEN(G151)+LEN(H151)+LEN(I151)+LEN(J151)+LEN(K151)+LEN(L151)+LEN(M151)+LEN(N151)+LEN(O151)+LEN(P151)</f>
        <v>56</v>
      </c>
    </row>
    <row r="152" customFormat="false" ht="15" hidden="false" customHeight="false" outlineLevel="0" collapsed="false">
      <c r="A152" s="0" t="s">
        <v>3241</v>
      </c>
      <c r="B152" s="0" t="n">
        <v>1926</v>
      </c>
      <c r="C152" s="0" t="s">
        <v>3242</v>
      </c>
      <c r="D152" s="0" t="s">
        <v>3243</v>
      </c>
      <c r="L152" s="0" t="s">
        <v>3179</v>
      </c>
      <c r="AF152" s="0" t="n">
        <f aca="false">LEN(D152)+LEN(E152)+LEN(F152)+LEN(G152)+LEN(H152)+LEN(I152)+LEN(J152)+LEN(K152)+LEN(L152)+LEN(M152)+LEN(N152)+LEN(O152)+LEN(P152)</f>
        <v>41</v>
      </c>
    </row>
    <row r="153" customFormat="false" ht="15" hidden="false" customHeight="false" outlineLevel="0" collapsed="false">
      <c r="A153" s="0" t="s">
        <v>3244</v>
      </c>
      <c r="B153" s="0" t="n">
        <v>1926</v>
      </c>
      <c r="C153" s="0" t="s">
        <v>3245</v>
      </c>
      <c r="D153" s="0" t="s">
        <v>3246</v>
      </c>
      <c r="G153" s="0" t="s">
        <v>3245</v>
      </c>
      <c r="L153" s="0" t="s">
        <v>3172</v>
      </c>
      <c r="T153" s="0" t="s">
        <v>29</v>
      </c>
      <c r="U153" s="0" t="s">
        <v>29</v>
      </c>
      <c r="AF153" s="0" t="n">
        <f aca="false">LEN(D153)+LEN(E153)+LEN(F153)+LEN(G153)+LEN(H153)+LEN(I153)+LEN(J153)+LEN(K153)+LEN(L153)+LEN(M153)+LEN(N153)+LEN(O153)+LEN(P153)</f>
        <v>111</v>
      </c>
    </row>
    <row r="154" customFormat="false" ht="15" hidden="false" customHeight="false" outlineLevel="0" collapsed="false">
      <c r="A154" s="0" t="s">
        <v>3247</v>
      </c>
      <c r="B154" s="0" t="n">
        <v>1926</v>
      </c>
      <c r="C154" s="0" t="s">
        <v>3248</v>
      </c>
      <c r="D154" s="0" t="s">
        <v>3249</v>
      </c>
      <c r="L154" s="0" t="s">
        <v>3172</v>
      </c>
      <c r="R154" s="0" t="s">
        <v>29</v>
      </c>
      <c r="AF154" s="0" t="n">
        <f aca="false">LEN(D154)+LEN(E154)+LEN(F154)+LEN(G154)+LEN(H154)+LEN(I154)+LEN(J154)+LEN(K154)+LEN(L154)+LEN(M154)+LEN(N154)+LEN(O154)+LEN(P154)</f>
        <v>46</v>
      </c>
    </row>
    <row r="155" customFormat="false" ht="15" hidden="false" customHeight="false" outlineLevel="0" collapsed="false">
      <c r="A155" s="0" t="s">
        <v>3250</v>
      </c>
      <c r="B155" s="0" t="n">
        <v>1926</v>
      </c>
      <c r="C155" s="0" t="s">
        <v>3251</v>
      </c>
      <c r="D155" s="0" t="s">
        <v>3249</v>
      </c>
      <c r="L155" s="0" t="s">
        <v>3252</v>
      </c>
      <c r="Y155" s="0" t="s">
        <v>29</v>
      </c>
      <c r="AF155" s="0" t="n">
        <f aca="false">LEN(D155)+LEN(E155)+LEN(F155)+LEN(G155)+LEN(H155)+LEN(I155)+LEN(J155)+LEN(K155)+LEN(L155)+LEN(M155)+LEN(N155)+LEN(O155)+LEN(P155)</f>
        <v>61</v>
      </c>
    </row>
    <row r="156" customFormat="false" ht="15" hidden="false" customHeight="false" outlineLevel="0" collapsed="false">
      <c r="A156" s="0" t="s">
        <v>3253</v>
      </c>
      <c r="B156" s="0" t="n">
        <v>1926</v>
      </c>
      <c r="C156" s="0" t="s">
        <v>3254</v>
      </c>
      <c r="D156" s="0" t="s">
        <v>3255</v>
      </c>
      <c r="L156" s="0" t="s">
        <v>3075</v>
      </c>
      <c r="M156" s="0" t="s">
        <v>3256</v>
      </c>
      <c r="N156" s="0" t="s">
        <v>3257</v>
      </c>
      <c r="O156" s="0" t="s">
        <v>3258</v>
      </c>
      <c r="P156" s="0" t="s">
        <v>1392</v>
      </c>
      <c r="AC156" s="0" t="s">
        <v>29</v>
      </c>
      <c r="AF156" s="0" t="n">
        <f aca="false">LEN(D156)+LEN(E156)+LEN(F156)+LEN(G156)+LEN(H156)+LEN(I156)+LEN(J156)+LEN(K156)+LEN(L156)+LEN(M156)+LEN(N156)+LEN(O156)+LEN(P156)</f>
        <v>73</v>
      </c>
    </row>
    <row r="157" customFormat="false" ht="15" hidden="false" customHeight="false" outlineLevel="0" collapsed="false">
      <c r="A157" s="0" t="s">
        <v>3259</v>
      </c>
      <c r="B157" s="0" t="n">
        <v>1926</v>
      </c>
      <c r="C157" s="0" t="s">
        <v>3260</v>
      </c>
      <c r="D157" s="0" t="s">
        <v>3261</v>
      </c>
      <c r="K157" s="0" t="s">
        <v>3260</v>
      </c>
      <c r="L157" s="0" t="s">
        <v>3172</v>
      </c>
      <c r="X157" s="0" t="s">
        <v>69</v>
      </c>
      <c r="AE157" s="0" t="n">
        <v>1</v>
      </c>
      <c r="AF157" s="0" t="n">
        <f aca="false">LEN(D157)+LEN(E157)+LEN(F157)+LEN(G157)+LEN(H157)+LEN(I157)+LEN(J157)+LEN(K157)+LEN(L157)+LEN(M157)+LEN(N157)+LEN(O157)+LEN(P157)</f>
        <v>87</v>
      </c>
    </row>
    <row r="158" customFormat="false" ht="15" hidden="false" customHeight="false" outlineLevel="0" collapsed="false">
      <c r="A158" s="0" t="s">
        <v>3262</v>
      </c>
      <c r="B158" s="0" t="n">
        <v>1926</v>
      </c>
      <c r="C158" s="0" t="s">
        <v>3263</v>
      </c>
      <c r="D158" s="0" t="s">
        <v>3261</v>
      </c>
      <c r="L158" s="0" t="s">
        <v>3179</v>
      </c>
      <c r="AF158" s="0" t="n">
        <f aca="false">LEN(D158)+LEN(E158)+LEN(F158)+LEN(G158)+LEN(H158)+LEN(I158)+LEN(J158)+LEN(K158)+LEN(L158)+LEN(M158)+LEN(N158)+LEN(O158)+LEN(P158)</f>
        <v>67</v>
      </c>
    </row>
    <row r="159" customFormat="false" ht="15" hidden="false" customHeight="false" outlineLevel="0" collapsed="false">
      <c r="A159" s="0" t="s">
        <v>3264</v>
      </c>
      <c r="B159" s="0" t="n">
        <v>1926</v>
      </c>
      <c r="C159" s="0" t="s">
        <v>3265</v>
      </c>
      <c r="D159" s="0" t="s">
        <v>3261</v>
      </c>
      <c r="I159" s="0" t="s">
        <v>3266</v>
      </c>
      <c r="L159" s="0" t="s">
        <v>3172</v>
      </c>
      <c r="AF159" s="0" t="n">
        <f aca="false">LEN(D159)+LEN(E159)+LEN(F159)+LEN(G159)+LEN(H159)+LEN(I159)+LEN(J159)+LEN(K159)+LEN(L159)+LEN(M159)+LEN(N159)+LEN(O159)+LEN(P159)</f>
        <v>69</v>
      </c>
    </row>
    <row r="160" customFormat="false" ht="15" hidden="false" customHeight="false" outlineLevel="0" collapsed="false">
      <c r="A160" s="0" t="s">
        <v>3267</v>
      </c>
      <c r="B160" s="0" t="n">
        <v>1926</v>
      </c>
      <c r="C160" s="0" t="s">
        <v>3268</v>
      </c>
      <c r="D160" s="0" t="s">
        <v>3261</v>
      </c>
      <c r="L160" s="0" t="s">
        <v>2864</v>
      </c>
      <c r="AA160" s="0" t="s">
        <v>29</v>
      </c>
      <c r="AB160" s="0" t="s">
        <v>29</v>
      </c>
      <c r="AC160" s="0" t="s">
        <v>29</v>
      </c>
      <c r="AD160" s="0" t="s">
        <v>29</v>
      </c>
      <c r="AF160" s="0" t="n">
        <f aca="false">LEN(D160)+LEN(E160)+LEN(F160)+LEN(G160)+LEN(H160)+LEN(I160)+LEN(J160)+LEN(K160)+LEN(L160)+LEN(M160)+LEN(N160)+LEN(O160)+LEN(P160)</f>
        <v>55</v>
      </c>
    </row>
    <row r="161" customFormat="false" ht="15" hidden="false" customHeight="false" outlineLevel="0" collapsed="false">
      <c r="A161" s="0" t="s">
        <v>3269</v>
      </c>
      <c r="B161" s="0" t="n">
        <v>1926</v>
      </c>
      <c r="C161" s="0" t="s">
        <v>3270</v>
      </c>
      <c r="D161" s="0" t="s">
        <v>3261</v>
      </c>
      <c r="L161" s="0" t="s">
        <v>3271</v>
      </c>
      <c r="M161" s="0" t="s">
        <v>3272</v>
      </c>
      <c r="N161" s="0" t="s">
        <v>881</v>
      </c>
      <c r="P161" s="0" t="s">
        <v>3086</v>
      </c>
      <c r="AA161" s="0" t="s">
        <v>29</v>
      </c>
      <c r="AC161" s="0" t="s">
        <v>29</v>
      </c>
      <c r="AF161" s="0" t="n">
        <f aca="false">LEN(D161)+LEN(E161)+LEN(F161)+LEN(G161)+LEN(H161)+LEN(I161)+LEN(J161)+LEN(K161)+LEN(L161)+LEN(M161)+LEN(N161)+LEN(O161)+LEN(P161)</f>
        <v>78</v>
      </c>
    </row>
    <row r="162" customFormat="false" ht="15" hidden="false" customHeight="false" outlineLevel="0" collapsed="false">
      <c r="A162" s="0" t="s">
        <v>3273</v>
      </c>
      <c r="B162" s="0" t="n">
        <v>1926</v>
      </c>
      <c r="C162" s="0" t="s">
        <v>3274</v>
      </c>
      <c r="D162" s="0" t="s">
        <v>3261</v>
      </c>
      <c r="L162" s="0" t="s">
        <v>3075</v>
      </c>
      <c r="M162" s="0" t="s">
        <v>3275</v>
      </c>
      <c r="N162" s="0" t="s">
        <v>3276</v>
      </c>
      <c r="P162" s="0" t="s">
        <v>3143</v>
      </c>
      <c r="AA162" s="0" t="s">
        <v>29</v>
      </c>
      <c r="AF162" s="0" t="n">
        <f aca="false">LEN(D162)+LEN(E162)+LEN(F162)+LEN(G162)+LEN(H162)+LEN(I162)+LEN(J162)+LEN(K162)+LEN(L162)+LEN(M162)+LEN(N162)+LEN(O162)+LEN(P162)</f>
        <v>75</v>
      </c>
    </row>
    <row r="163" customFormat="false" ht="15" hidden="false" customHeight="false" outlineLevel="0" collapsed="false">
      <c r="A163" s="0" t="s">
        <v>3277</v>
      </c>
      <c r="B163" s="0" t="n">
        <v>1926</v>
      </c>
      <c r="C163" s="0" t="s">
        <v>2847</v>
      </c>
      <c r="D163" s="0" t="s">
        <v>3278</v>
      </c>
      <c r="F163" s="0" t="s">
        <v>2847</v>
      </c>
      <c r="L163" s="0" t="s">
        <v>3172</v>
      </c>
      <c r="AF163" s="0" t="n">
        <f aca="false">LEN(D163)+LEN(E163)+LEN(F163)+LEN(G163)+LEN(H163)+LEN(I163)+LEN(J163)+LEN(K163)+LEN(L163)+LEN(M163)+LEN(N163)+LEN(O163)+LEN(P163)</f>
        <v>88</v>
      </c>
    </row>
    <row r="164" customFormat="false" ht="15" hidden="false" customHeight="false" outlineLevel="0" collapsed="false">
      <c r="A164" s="0" t="s">
        <v>3279</v>
      </c>
      <c r="B164" s="0" t="n">
        <v>1926</v>
      </c>
      <c r="C164" s="0" t="s">
        <v>3280</v>
      </c>
      <c r="D164" s="0" t="s">
        <v>3278</v>
      </c>
      <c r="I164" s="0" t="s">
        <v>3281</v>
      </c>
      <c r="L164" s="0" t="s">
        <v>3172</v>
      </c>
      <c r="AF164" s="0" t="n">
        <f aca="false">LEN(D164)+LEN(E164)+LEN(F164)+LEN(G164)+LEN(H164)+LEN(I164)+LEN(J164)+LEN(K164)+LEN(L164)+LEN(M164)+LEN(N164)+LEN(O164)+LEN(P164)</f>
        <v>91</v>
      </c>
    </row>
    <row r="165" customFormat="false" ht="15" hidden="false" customHeight="false" outlineLevel="0" collapsed="false">
      <c r="A165" s="0" t="s">
        <v>3282</v>
      </c>
      <c r="B165" s="0" t="n">
        <v>1926</v>
      </c>
      <c r="C165" s="0" t="s">
        <v>3283</v>
      </c>
      <c r="D165" s="0" t="s">
        <v>3278</v>
      </c>
      <c r="L165" s="0" t="s">
        <v>3075</v>
      </c>
      <c r="M165" s="0" t="s">
        <v>3284</v>
      </c>
      <c r="N165" s="0" t="s">
        <v>393</v>
      </c>
      <c r="P165" s="0" t="s">
        <v>2866</v>
      </c>
      <c r="AA165" s="0" t="s">
        <v>29</v>
      </c>
      <c r="AF165" s="0" t="n">
        <f aca="false">LEN(D165)+LEN(E165)+LEN(F165)+LEN(G165)+LEN(H165)+LEN(I165)+LEN(J165)+LEN(K165)+LEN(L165)+LEN(M165)+LEN(N165)+LEN(O165)+LEN(P165)</f>
        <v>92</v>
      </c>
    </row>
    <row r="166" customFormat="false" ht="15" hidden="false" customHeight="false" outlineLevel="0" collapsed="false">
      <c r="A166" s="0" t="s">
        <v>3285</v>
      </c>
      <c r="B166" s="0" t="n">
        <v>1926</v>
      </c>
      <c r="C166" s="0" t="s">
        <v>3286</v>
      </c>
      <c r="D166" s="0" t="s">
        <v>3287</v>
      </c>
      <c r="F166" s="0" t="s">
        <v>3286</v>
      </c>
      <c r="L166" s="0" t="s">
        <v>3288</v>
      </c>
      <c r="AF166" s="0" t="n">
        <f aca="false">LEN(D166)+LEN(E166)+LEN(F166)+LEN(G166)+LEN(H166)+LEN(I166)+LEN(J166)+LEN(K166)+LEN(L166)+LEN(M166)+LEN(N166)+LEN(O166)+LEN(P166)</f>
        <v>51</v>
      </c>
    </row>
    <row r="167" customFormat="false" ht="15" hidden="false" customHeight="false" outlineLevel="0" collapsed="false">
      <c r="A167" s="0" t="s">
        <v>3289</v>
      </c>
      <c r="B167" s="0" t="n">
        <v>1926</v>
      </c>
      <c r="C167" s="0" t="s">
        <v>3290</v>
      </c>
      <c r="D167" s="0" t="s">
        <v>3287</v>
      </c>
      <c r="L167" s="0" t="s">
        <v>3291</v>
      </c>
      <c r="M167" s="0" t="s">
        <v>3292</v>
      </c>
      <c r="N167" s="0" t="s">
        <v>386</v>
      </c>
      <c r="P167" s="0" t="s">
        <v>3086</v>
      </c>
      <c r="AA167" s="0" t="s">
        <v>29</v>
      </c>
      <c r="AC167" s="0" t="s">
        <v>29</v>
      </c>
      <c r="AF167" s="0" t="n">
        <f aca="false">LEN(D167)+LEN(E167)+LEN(F167)+LEN(G167)+LEN(H167)+LEN(I167)+LEN(J167)+LEN(K167)+LEN(L167)+LEN(M167)+LEN(N167)+LEN(O167)+LEN(P167)</f>
        <v>50</v>
      </c>
    </row>
    <row r="168" customFormat="false" ht="15" hidden="false" customHeight="false" outlineLevel="0" collapsed="false">
      <c r="A168" s="0" t="s">
        <v>3293</v>
      </c>
      <c r="B168" s="0" t="n">
        <v>1926</v>
      </c>
      <c r="C168" s="0" t="s">
        <v>3294</v>
      </c>
      <c r="D168" s="0" t="s">
        <v>3295</v>
      </c>
      <c r="L168" s="0" t="s">
        <v>3296</v>
      </c>
      <c r="M168" s="0" t="s">
        <v>3297</v>
      </c>
      <c r="N168" s="0" t="s">
        <v>1600</v>
      </c>
      <c r="O168" s="0" t="s">
        <v>1635</v>
      </c>
      <c r="P168" s="0" t="s">
        <v>3298</v>
      </c>
      <c r="AC168" s="0" t="s">
        <v>29</v>
      </c>
      <c r="AF168" s="0" t="n">
        <f aca="false">LEN(D168)+LEN(E168)+LEN(F168)+LEN(G168)+LEN(H168)+LEN(I168)+LEN(J168)+LEN(K168)+LEN(L168)+LEN(M168)+LEN(N168)+LEN(O168)+LEN(P168)</f>
        <v>70</v>
      </c>
    </row>
    <row r="169" customFormat="false" ht="15" hidden="false" customHeight="false" outlineLevel="0" collapsed="false">
      <c r="A169" s="0" t="s">
        <v>3299</v>
      </c>
      <c r="B169" s="0" t="n">
        <v>1926</v>
      </c>
      <c r="C169" s="0" t="s">
        <v>3300</v>
      </c>
      <c r="D169" s="0" t="s">
        <v>3301</v>
      </c>
      <c r="L169" s="0" t="s">
        <v>3291</v>
      </c>
      <c r="M169" s="0" t="s">
        <v>954</v>
      </c>
      <c r="N169" s="0" t="s">
        <v>3302</v>
      </c>
      <c r="P169" s="0" t="s">
        <v>3303</v>
      </c>
      <c r="AF169" s="0" t="n">
        <f aca="false">LEN(D169)+LEN(E169)+LEN(F169)+LEN(G169)+LEN(H169)+LEN(I169)+LEN(J169)+LEN(K169)+LEN(L169)+LEN(M169)+LEN(N169)+LEN(O169)+LEN(P169)</f>
        <v>63</v>
      </c>
    </row>
    <row r="170" customFormat="false" ht="15" hidden="false" customHeight="false" outlineLevel="0" collapsed="false">
      <c r="A170" s="0" t="s">
        <v>3304</v>
      </c>
      <c r="B170" s="0" t="n">
        <v>1926</v>
      </c>
      <c r="C170" s="0" t="s">
        <v>3305</v>
      </c>
      <c r="D170" s="0" t="s">
        <v>3306</v>
      </c>
      <c r="F170" s="0" t="s">
        <v>3305</v>
      </c>
      <c r="L170" s="0" t="s">
        <v>3288</v>
      </c>
      <c r="AF170" s="0" t="n">
        <f aca="false">LEN(D170)+LEN(E170)+LEN(F170)+LEN(G170)+LEN(H170)+LEN(I170)+LEN(J170)+LEN(K170)+LEN(L170)+LEN(M170)+LEN(N170)+LEN(O170)+LEN(P170)</f>
        <v>42</v>
      </c>
    </row>
    <row r="171" customFormat="false" ht="15" hidden="false" customHeight="false" outlineLevel="0" collapsed="false">
      <c r="A171" s="0" t="s">
        <v>3304</v>
      </c>
      <c r="B171" s="0" t="n">
        <v>1926</v>
      </c>
      <c r="C171" s="0" t="s">
        <v>3305</v>
      </c>
      <c r="D171" s="0" t="s">
        <v>3306</v>
      </c>
      <c r="F171" s="0" t="s">
        <v>3305</v>
      </c>
      <c r="L171" s="0" t="s">
        <v>3288</v>
      </c>
      <c r="AF171" s="0" t="n">
        <f aca="false">LEN(D171)+LEN(E171)+LEN(F171)+LEN(G171)+LEN(H171)+LEN(I171)+LEN(J171)+LEN(K171)+LEN(L171)+LEN(M171)+LEN(N171)+LEN(O171)+LEN(P171)</f>
        <v>42</v>
      </c>
    </row>
    <row r="172" customFormat="false" ht="15" hidden="false" customHeight="false" outlineLevel="0" collapsed="false">
      <c r="A172" s="0" t="s">
        <v>3307</v>
      </c>
      <c r="B172" s="0" t="n">
        <v>1926</v>
      </c>
      <c r="C172" s="0" t="s">
        <v>3308</v>
      </c>
      <c r="D172" s="0" t="s">
        <v>3306</v>
      </c>
      <c r="L172" s="0" t="s">
        <v>3075</v>
      </c>
      <c r="M172" s="0" t="s">
        <v>3309</v>
      </c>
      <c r="N172" s="0" t="s">
        <v>880</v>
      </c>
      <c r="P172" s="0" t="s">
        <v>2948</v>
      </c>
      <c r="AA172" s="0" t="s">
        <v>29</v>
      </c>
      <c r="AC172" s="0" t="s">
        <v>29</v>
      </c>
      <c r="AF172" s="0" t="n">
        <f aca="false">LEN(D172)+LEN(E172)+LEN(F172)+LEN(G172)+LEN(H172)+LEN(I172)+LEN(J172)+LEN(K172)+LEN(L172)+LEN(M172)+LEN(N172)+LEN(O172)+LEN(P172)</f>
        <v>54</v>
      </c>
    </row>
    <row r="173" customFormat="false" ht="15" hidden="false" customHeight="false" outlineLevel="0" collapsed="false">
      <c r="A173" s="0" t="s">
        <v>3310</v>
      </c>
      <c r="B173" s="0" t="n">
        <v>1926</v>
      </c>
      <c r="C173" s="0" t="s">
        <v>3311</v>
      </c>
      <c r="D173" s="0" t="s">
        <v>3306</v>
      </c>
      <c r="L173" s="0" t="s">
        <v>3312</v>
      </c>
      <c r="M173" s="0" t="s">
        <v>3313</v>
      </c>
      <c r="N173" s="0" t="s">
        <v>394</v>
      </c>
      <c r="O173" s="0" t="s">
        <v>69</v>
      </c>
      <c r="P173" s="0" t="s">
        <v>3314</v>
      </c>
      <c r="AA173" s="0" t="s">
        <v>69</v>
      </c>
      <c r="AC173" s="0" t="s">
        <v>29</v>
      </c>
      <c r="AE173" s="0" t="n">
        <v>1</v>
      </c>
      <c r="AF173" s="0" t="n">
        <f aca="false">LEN(D173)+LEN(E173)+LEN(F173)+LEN(G173)+LEN(H173)+LEN(I173)+LEN(J173)+LEN(K173)+LEN(L173)+LEN(M173)+LEN(N173)+LEN(O173)+LEN(P173)</f>
        <v>59</v>
      </c>
    </row>
    <row r="174" customFormat="false" ht="15" hidden="false" customHeight="false" outlineLevel="0" collapsed="false">
      <c r="A174" s="0" t="s">
        <v>3315</v>
      </c>
      <c r="B174" s="0" t="n">
        <v>1926</v>
      </c>
      <c r="C174" s="0" t="s">
        <v>3316</v>
      </c>
      <c r="D174" s="0" t="s">
        <v>3317</v>
      </c>
      <c r="L174" s="0" t="s">
        <v>3318</v>
      </c>
      <c r="AF174" s="0" t="n">
        <f aca="false">LEN(D174)+LEN(E174)+LEN(F174)+LEN(G174)+LEN(H174)+LEN(I174)+LEN(J174)+LEN(K174)+LEN(L174)+LEN(M174)+LEN(N174)+LEN(O174)+LEN(P174)</f>
        <v>43</v>
      </c>
    </row>
    <row r="175" customFormat="false" ht="15" hidden="false" customHeight="false" outlineLevel="0" collapsed="false">
      <c r="A175" s="0" t="s">
        <v>3319</v>
      </c>
      <c r="B175" s="0" t="n">
        <v>1926</v>
      </c>
      <c r="C175" s="0" t="s">
        <v>3320</v>
      </c>
      <c r="D175" s="0" t="s">
        <v>3321</v>
      </c>
      <c r="L175" s="0" t="s">
        <v>3322</v>
      </c>
      <c r="M175" s="0" t="s">
        <v>3323</v>
      </c>
      <c r="N175" s="0" t="s">
        <v>1262</v>
      </c>
      <c r="P175" s="0" t="s">
        <v>3324</v>
      </c>
      <c r="AC175" s="0" t="s">
        <v>29</v>
      </c>
      <c r="AF175" s="0" t="n">
        <f aca="false">LEN(D175)+LEN(E175)+LEN(F175)+LEN(G175)+LEN(H175)+LEN(I175)+LEN(J175)+LEN(K175)+LEN(L175)+LEN(M175)+LEN(N175)+LEN(O175)+LEN(P175)</f>
        <v>64</v>
      </c>
    </row>
    <row r="176" customFormat="false" ht="15" hidden="false" customHeight="false" outlineLevel="0" collapsed="false">
      <c r="A176" s="0" t="s">
        <v>3325</v>
      </c>
      <c r="B176" s="0" t="n">
        <v>1926</v>
      </c>
      <c r="C176" s="0" t="s">
        <v>3326</v>
      </c>
      <c r="D176" s="0" t="s">
        <v>3327</v>
      </c>
      <c r="L176" s="0" t="s">
        <v>3328</v>
      </c>
      <c r="AF176" s="0" t="n">
        <f aca="false">LEN(D176)+LEN(E176)+LEN(F176)+LEN(G176)+LEN(H176)+LEN(I176)+LEN(J176)+LEN(K176)+LEN(L176)+LEN(M176)+LEN(N176)+LEN(O176)+LEN(P176)</f>
        <v>30</v>
      </c>
    </row>
    <row r="177" customFormat="false" ht="15" hidden="false" customHeight="false" outlineLevel="0" collapsed="false">
      <c r="A177" s="0" t="s">
        <v>3329</v>
      </c>
      <c r="B177" s="0" t="n">
        <v>1926</v>
      </c>
      <c r="C177" s="0" t="s">
        <v>3330</v>
      </c>
      <c r="D177" s="0" t="s">
        <v>3327</v>
      </c>
      <c r="L177" s="0" t="s">
        <v>3331</v>
      </c>
      <c r="M177" s="0" t="s">
        <v>3332</v>
      </c>
      <c r="N177" s="0" t="s">
        <v>394</v>
      </c>
      <c r="P177" s="0" t="s">
        <v>2948</v>
      </c>
      <c r="AA177" s="0" t="s">
        <v>29</v>
      </c>
      <c r="AF177" s="0" t="n">
        <f aca="false">LEN(D177)+LEN(E177)+LEN(F177)+LEN(G177)+LEN(H177)+LEN(I177)+LEN(J177)+LEN(K177)+LEN(L177)+LEN(M177)+LEN(N177)+LEN(O177)+LEN(P177)</f>
        <v>51</v>
      </c>
    </row>
    <row r="178" customFormat="false" ht="15" hidden="false" customHeight="false" outlineLevel="0" collapsed="false">
      <c r="A178" s="0" t="s">
        <v>3333</v>
      </c>
      <c r="B178" s="0" t="n">
        <v>1926</v>
      </c>
      <c r="C178" s="0" t="s">
        <v>3334</v>
      </c>
      <c r="D178" s="0" t="s">
        <v>3261</v>
      </c>
      <c r="L178" s="0" t="s">
        <v>3322</v>
      </c>
      <c r="M178" s="0" t="s">
        <v>3335</v>
      </c>
      <c r="N178" s="0" t="s">
        <v>212</v>
      </c>
      <c r="P178" s="0" t="s">
        <v>3336</v>
      </c>
      <c r="AF178" s="0" t="n">
        <f aca="false">LEN(D178)+LEN(E178)+LEN(F178)+LEN(G178)+LEN(H178)+LEN(I178)+LEN(J178)+LEN(K178)+LEN(L178)+LEN(M178)+LEN(N178)+LEN(O178)+LEN(P178)</f>
        <v>86</v>
      </c>
    </row>
    <row r="179" customFormat="false" ht="15" hidden="false" customHeight="false" outlineLevel="0" collapsed="false">
      <c r="A179" s="0" t="s">
        <v>3337</v>
      </c>
      <c r="B179" s="0" t="n">
        <v>1926</v>
      </c>
      <c r="C179" s="0" t="s">
        <v>3338</v>
      </c>
      <c r="D179" s="0" t="s">
        <v>3339</v>
      </c>
      <c r="L179" s="0" t="s">
        <v>3291</v>
      </c>
      <c r="AF179" s="0" t="n">
        <f aca="false">LEN(D179)+LEN(E179)+LEN(F179)+LEN(G179)+LEN(H179)+LEN(I179)+LEN(J179)+LEN(K179)+LEN(L179)+LEN(M179)+LEN(N179)+LEN(O179)+LEN(P179)</f>
        <v>49</v>
      </c>
    </row>
    <row r="180" customFormat="false" ht="15" hidden="false" customHeight="false" outlineLevel="0" collapsed="false">
      <c r="A180" s="0" t="s">
        <v>3340</v>
      </c>
      <c r="B180" s="0" t="n">
        <v>1926</v>
      </c>
      <c r="C180" s="0" t="s">
        <v>3341</v>
      </c>
      <c r="D180" s="0" t="s">
        <v>3339</v>
      </c>
      <c r="L180" s="0" t="s">
        <v>3342</v>
      </c>
      <c r="Y180" s="0" t="s">
        <v>29</v>
      </c>
      <c r="AF180" s="0" t="n">
        <f aca="false">LEN(D180)+LEN(E180)+LEN(F180)+LEN(G180)+LEN(H180)+LEN(I180)+LEN(J180)+LEN(K180)+LEN(L180)+LEN(M180)+LEN(N180)+LEN(O180)+LEN(P180)</f>
        <v>55</v>
      </c>
    </row>
    <row r="181" customFormat="false" ht="15" hidden="false" customHeight="false" outlineLevel="0" collapsed="false">
      <c r="A181" s="0" t="s">
        <v>3343</v>
      </c>
      <c r="B181" s="0" t="n">
        <v>1926</v>
      </c>
      <c r="C181" s="0" t="s">
        <v>3344</v>
      </c>
      <c r="D181" s="0" t="s">
        <v>3339</v>
      </c>
      <c r="L181" s="0" t="s">
        <v>3291</v>
      </c>
      <c r="M181" s="0" t="s">
        <v>447</v>
      </c>
      <c r="N181" s="0" t="s">
        <v>3345</v>
      </c>
      <c r="P181" s="0" t="s">
        <v>3236</v>
      </c>
      <c r="AC181" s="0" t="s">
        <v>29</v>
      </c>
      <c r="AF181" s="0" t="n">
        <f aca="false">LEN(D181)+LEN(E181)+LEN(F181)+LEN(G181)+LEN(H181)+LEN(I181)+LEN(J181)+LEN(K181)+LEN(L181)+LEN(M181)+LEN(N181)+LEN(O181)+LEN(P181)</f>
        <v>65</v>
      </c>
    </row>
    <row r="182" customFormat="false" ht="15" hidden="false" customHeight="false" outlineLevel="0" collapsed="false">
      <c r="A182" s="0" t="s">
        <v>3346</v>
      </c>
      <c r="B182" s="0" t="n">
        <v>1926</v>
      </c>
      <c r="C182" s="0" t="s">
        <v>3347</v>
      </c>
      <c r="D182" s="0" t="s">
        <v>3339</v>
      </c>
      <c r="L182" s="0" t="s">
        <v>3291</v>
      </c>
      <c r="M182" s="0" t="s">
        <v>3348</v>
      </c>
      <c r="N182" s="0" t="s">
        <v>24</v>
      </c>
      <c r="P182" s="0" t="s">
        <v>3349</v>
      </c>
      <c r="AC182" s="0" t="s">
        <v>29</v>
      </c>
      <c r="AF182" s="0" t="n">
        <f aca="false">LEN(D182)+LEN(E182)+LEN(F182)+LEN(G182)+LEN(H182)+LEN(I182)+LEN(J182)+LEN(K182)+LEN(L182)+LEN(M182)+LEN(N182)+LEN(O182)+LEN(P182)</f>
        <v>71</v>
      </c>
    </row>
    <row r="183" customFormat="false" ht="15" hidden="false" customHeight="false" outlineLevel="0" collapsed="false">
      <c r="A183" s="0" t="s">
        <v>3350</v>
      </c>
      <c r="B183" s="0" t="n">
        <v>1926</v>
      </c>
      <c r="C183" s="0" t="s">
        <v>3351</v>
      </c>
      <c r="D183" s="0" t="s">
        <v>3352</v>
      </c>
      <c r="L183" s="0" t="s">
        <v>113</v>
      </c>
      <c r="R183" s="0" t="s">
        <v>29</v>
      </c>
      <c r="AF183" s="0" t="n">
        <f aca="false">LEN(D183)+LEN(E183)+LEN(F183)+LEN(G183)+LEN(H183)+LEN(I183)+LEN(J183)+LEN(K183)+LEN(L183)+LEN(M183)+LEN(N183)+LEN(O183)+LEN(P183)</f>
        <v>30</v>
      </c>
    </row>
    <row r="184" customFormat="false" ht="15" hidden="false" customHeight="false" outlineLevel="0" collapsed="false">
      <c r="A184" s="0" t="s">
        <v>3353</v>
      </c>
      <c r="B184" s="0" t="n">
        <v>1926</v>
      </c>
      <c r="C184" s="0" t="s">
        <v>3354</v>
      </c>
      <c r="D184" s="0" t="s">
        <v>3352</v>
      </c>
      <c r="L184" s="0" t="s">
        <v>3355</v>
      </c>
      <c r="AF184" s="0" t="n">
        <f aca="false">LEN(D184)+LEN(E184)+LEN(F184)+LEN(G184)+LEN(H184)+LEN(I184)+LEN(J184)+LEN(K184)+LEN(L184)+LEN(M184)+LEN(N184)+LEN(O184)+LEN(P184)</f>
        <v>34</v>
      </c>
    </row>
    <row r="185" customFormat="false" ht="15" hidden="false" customHeight="false" outlineLevel="0" collapsed="false">
      <c r="A185" s="0" t="s">
        <v>3356</v>
      </c>
      <c r="B185" s="0" t="n">
        <v>1926</v>
      </c>
      <c r="C185" s="0" t="s">
        <v>3169</v>
      </c>
      <c r="D185" s="0" t="s">
        <v>3352</v>
      </c>
      <c r="I185" s="0" t="s">
        <v>3171</v>
      </c>
      <c r="L185" s="0" t="s">
        <v>113</v>
      </c>
      <c r="AF185" s="0" t="n">
        <f aca="false">LEN(D185)+LEN(E185)+LEN(F185)+LEN(G185)+LEN(H185)+LEN(I185)+LEN(J185)+LEN(K185)+LEN(L185)+LEN(M185)+LEN(N185)+LEN(O185)+LEN(P185)</f>
        <v>46</v>
      </c>
    </row>
    <row r="186" customFormat="false" ht="15" hidden="false" customHeight="false" outlineLevel="0" collapsed="false">
      <c r="A186" s="0" t="s">
        <v>3357</v>
      </c>
      <c r="B186" s="0" t="n">
        <v>1926</v>
      </c>
      <c r="C186" s="0" t="s">
        <v>3358</v>
      </c>
      <c r="D186" s="0" t="s">
        <v>3352</v>
      </c>
      <c r="L186" s="0" t="s">
        <v>3355</v>
      </c>
      <c r="M186" s="0" t="s">
        <v>3359</v>
      </c>
      <c r="N186" s="0" t="s">
        <v>1635</v>
      </c>
      <c r="P186" s="0" t="s">
        <v>3199</v>
      </c>
      <c r="AA186" s="0" t="s">
        <v>29</v>
      </c>
      <c r="AF186" s="0" t="n">
        <f aca="false">LEN(D186)+LEN(E186)+LEN(F186)+LEN(G186)+LEN(H186)+LEN(I186)+LEN(J186)+LEN(K186)+LEN(L186)+LEN(M186)+LEN(N186)+LEN(O186)+LEN(P186)</f>
        <v>52</v>
      </c>
    </row>
    <row r="187" customFormat="false" ht="15" hidden="false" customHeight="false" outlineLevel="0" collapsed="false">
      <c r="A187" s="0" t="s">
        <v>3360</v>
      </c>
      <c r="B187" s="0" t="n">
        <v>1926</v>
      </c>
      <c r="C187" s="0" t="s">
        <v>3361</v>
      </c>
      <c r="D187" s="0" t="s">
        <v>3352</v>
      </c>
      <c r="L187" s="0" t="s">
        <v>3355</v>
      </c>
      <c r="M187" s="0" t="s">
        <v>3362</v>
      </c>
      <c r="N187" s="0" t="s">
        <v>3363</v>
      </c>
      <c r="O187" s="0" t="s">
        <v>1635</v>
      </c>
      <c r="P187" s="0" t="s">
        <v>3236</v>
      </c>
      <c r="AB187" s="0" t="s">
        <v>29</v>
      </c>
      <c r="AC187" s="0" t="s">
        <v>29</v>
      </c>
      <c r="AF187" s="0" t="n">
        <f aca="false">LEN(D187)+LEN(E187)+LEN(F187)+LEN(G187)+LEN(H187)+LEN(I187)+LEN(J187)+LEN(K187)+LEN(L187)+LEN(M187)+LEN(N187)+LEN(O187)+LEN(P187)</f>
        <v>51</v>
      </c>
    </row>
    <row r="188" customFormat="false" ht="15" hidden="false" customHeight="false" outlineLevel="0" collapsed="false">
      <c r="A188" s="0" t="s">
        <v>3364</v>
      </c>
      <c r="B188" s="0" t="n">
        <v>1926</v>
      </c>
      <c r="C188" s="0" t="s">
        <v>3365</v>
      </c>
      <c r="D188" s="0" t="s">
        <v>3366</v>
      </c>
      <c r="K188" s="0" t="s">
        <v>3365</v>
      </c>
      <c r="L188" s="0" t="s">
        <v>113</v>
      </c>
      <c r="AF188" s="0" t="n">
        <f aca="false">LEN(D188)+LEN(E188)+LEN(F188)+LEN(G188)+LEN(H188)+LEN(I188)+LEN(J188)+LEN(K188)+LEN(L188)+LEN(M188)+LEN(N188)+LEN(O188)+LEN(P188)</f>
        <v>85</v>
      </c>
    </row>
    <row r="189" customFormat="false" ht="15" hidden="false" customHeight="false" outlineLevel="0" collapsed="false">
      <c r="A189" s="0" t="s">
        <v>3364</v>
      </c>
      <c r="B189" s="0" t="n">
        <v>1926</v>
      </c>
      <c r="C189" s="0" t="s">
        <v>3365</v>
      </c>
      <c r="D189" s="0" t="s">
        <v>3366</v>
      </c>
      <c r="K189" s="0" t="s">
        <v>3365</v>
      </c>
      <c r="L189" s="0" t="s">
        <v>113</v>
      </c>
      <c r="AF189" s="0" t="n">
        <f aca="false">LEN(D189)+LEN(E189)+LEN(F189)+LEN(G189)+LEN(H189)+LEN(I189)+LEN(J189)+LEN(K189)+LEN(L189)+LEN(M189)+LEN(N189)+LEN(O189)+LEN(P189)</f>
        <v>85</v>
      </c>
    </row>
    <row r="190" customFormat="false" ht="15" hidden="false" customHeight="false" outlineLevel="0" collapsed="false">
      <c r="A190" s="0" t="s">
        <v>3367</v>
      </c>
      <c r="B190" s="0" t="n">
        <v>1926</v>
      </c>
      <c r="C190" s="0" t="s">
        <v>3368</v>
      </c>
      <c r="D190" s="0" t="s">
        <v>3366</v>
      </c>
      <c r="F190" s="0" t="s">
        <v>3368</v>
      </c>
      <c r="L190" s="0" t="s">
        <v>113</v>
      </c>
      <c r="AF190" s="0" t="n">
        <f aca="false">LEN(D190)+LEN(E190)+LEN(F190)+LEN(G190)+LEN(H190)+LEN(I190)+LEN(J190)+LEN(K190)+LEN(L190)+LEN(M190)+LEN(N190)+LEN(O190)+LEN(P190)</f>
        <v>67</v>
      </c>
    </row>
    <row r="191" customFormat="false" ht="15" hidden="false" customHeight="false" outlineLevel="0" collapsed="false">
      <c r="A191" s="0" t="s">
        <v>3367</v>
      </c>
      <c r="B191" s="0" t="n">
        <v>1926</v>
      </c>
      <c r="C191" s="0" t="s">
        <v>3369</v>
      </c>
      <c r="D191" s="0" t="s">
        <v>3366</v>
      </c>
      <c r="G191" s="0" t="s">
        <v>3369</v>
      </c>
      <c r="L191" s="0" t="s">
        <v>113</v>
      </c>
      <c r="AF191" s="0" t="n">
        <f aca="false">LEN(D191)+LEN(E191)+LEN(F191)+LEN(G191)+LEN(H191)+LEN(I191)+LEN(J191)+LEN(K191)+LEN(L191)+LEN(M191)+LEN(N191)+LEN(O191)+LEN(P191)</f>
        <v>229</v>
      </c>
    </row>
    <row r="192" customFormat="false" ht="15" hidden="false" customHeight="false" outlineLevel="0" collapsed="false">
      <c r="A192" s="0" t="s">
        <v>3367</v>
      </c>
      <c r="B192" s="0" t="n">
        <v>1926</v>
      </c>
      <c r="C192" s="0" t="s">
        <v>3368</v>
      </c>
      <c r="D192" s="0" t="s">
        <v>3366</v>
      </c>
      <c r="F192" s="0" t="s">
        <v>3368</v>
      </c>
      <c r="L192" s="0" t="s">
        <v>113</v>
      </c>
      <c r="AF192" s="0" t="n">
        <f aca="false">LEN(D192)+LEN(E192)+LEN(F192)+LEN(G192)+LEN(H192)+LEN(I192)+LEN(J192)+LEN(K192)+LEN(L192)+LEN(M192)+LEN(N192)+LEN(O192)+LEN(P192)</f>
        <v>67</v>
      </c>
    </row>
    <row r="193" customFormat="false" ht="15" hidden="false" customHeight="false" outlineLevel="0" collapsed="false">
      <c r="A193" s="0" t="s">
        <v>3370</v>
      </c>
      <c r="B193" s="0" t="n">
        <v>1926</v>
      </c>
      <c r="C193" s="0" t="s">
        <v>3371</v>
      </c>
      <c r="D193" s="0" t="s">
        <v>3366</v>
      </c>
      <c r="J193" s="0" t="s">
        <v>3372</v>
      </c>
      <c r="L193" s="0" t="s">
        <v>113</v>
      </c>
      <c r="AF193" s="0" t="n">
        <f aca="false">LEN(D193)+LEN(E193)+LEN(F193)+LEN(G193)+LEN(H193)+LEN(I193)+LEN(J193)+LEN(K193)+LEN(L193)+LEN(M193)+LEN(N193)+LEN(O193)+LEN(P193)</f>
        <v>73</v>
      </c>
    </row>
    <row r="194" customFormat="false" ht="15" hidden="false" customHeight="false" outlineLevel="0" collapsed="false">
      <c r="A194" s="0" t="s">
        <v>3370</v>
      </c>
      <c r="B194" s="0" t="n">
        <v>1926</v>
      </c>
      <c r="C194" s="0" t="s">
        <v>3371</v>
      </c>
      <c r="D194" s="0" t="s">
        <v>3366</v>
      </c>
      <c r="J194" s="0" t="s">
        <v>3372</v>
      </c>
      <c r="L194" s="0" t="s">
        <v>113</v>
      </c>
      <c r="AF194" s="0" t="n">
        <f aca="false">LEN(D194)+LEN(E194)+LEN(F194)+LEN(G194)+LEN(H194)+LEN(I194)+LEN(J194)+LEN(K194)+LEN(L194)+LEN(M194)+LEN(N194)+LEN(O194)+LEN(P194)</f>
        <v>73</v>
      </c>
    </row>
    <row r="195" customFormat="false" ht="15" hidden="false" customHeight="false" outlineLevel="0" collapsed="false">
      <c r="A195" s="0" t="s">
        <v>3373</v>
      </c>
      <c r="B195" s="0" t="n">
        <v>1926</v>
      </c>
      <c r="C195" s="0" t="s">
        <v>3374</v>
      </c>
      <c r="D195" s="0" t="s">
        <v>3366</v>
      </c>
      <c r="L195" s="0" t="s">
        <v>3075</v>
      </c>
      <c r="M195" s="0" t="s">
        <v>3375</v>
      </c>
      <c r="N195" s="0" t="s">
        <v>3376</v>
      </c>
      <c r="P195" s="0" t="s">
        <v>3324</v>
      </c>
      <c r="AA195" s="0" t="s">
        <v>29</v>
      </c>
      <c r="AF195" s="0" t="n">
        <f aca="false">LEN(D195)+LEN(E195)+LEN(F195)+LEN(G195)+LEN(H195)+LEN(I195)+LEN(J195)+LEN(K195)+LEN(L195)+LEN(M195)+LEN(N195)+LEN(O195)+LEN(P195)</f>
        <v>71</v>
      </c>
    </row>
    <row r="196" customFormat="false" ht="15" hidden="false" customHeight="false" outlineLevel="0" collapsed="false">
      <c r="A196" s="0" t="s">
        <v>3377</v>
      </c>
      <c r="B196" s="0" t="n">
        <v>1926</v>
      </c>
      <c r="C196" s="0" t="s">
        <v>3378</v>
      </c>
      <c r="D196" s="0" t="s">
        <v>3379</v>
      </c>
      <c r="L196" s="0" t="s">
        <v>3380</v>
      </c>
      <c r="AA196" s="0" t="s">
        <v>29</v>
      </c>
      <c r="AB196" s="0" t="s">
        <v>29</v>
      </c>
      <c r="AC196" s="0" t="s">
        <v>29</v>
      </c>
      <c r="AD196" s="0" t="s">
        <v>29</v>
      </c>
      <c r="AF196" s="0" t="n">
        <f aca="false">LEN(D196)+LEN(E196)+LEN(F196)+LEN(G196)+LEN(H196)+LEN(I196)+LEN(J196)+LEN(K196)+LEN(L196)+LEN(M196)+LEN(N196)+LEN(O196)+LEN(P196)</f>
        <v>45</v>
      </c>
    </row>
    <row r="197" customFormat="false" ht="15" hidden="false" customHeight="false" outlineLevel="0" collapsed="false">
      <c r="A197" s="0" t="s">
        <v>3381</v>
      </c>
      <c r="B197" s="0" t="n">
        <v>1926</v>
      </c>
      <c r="C197" s="0" t="s">
        <v>3382</v>
      </c>
      <c r="D197" s="0" t="s">
        <v>3383</v>
      </c>
      <c r="K197" s="0" t="s">
        <v>3382</v>
      </c>
      <c r="L197" s="0" t="s">
        <v>113</v>
      </c>
      <c r="AF197" s="0" t="n">
        <f aca="false">LEN(D197)+LEN(E197)+LEN(F197)+LEN(G197)+LEN(H197)+LEN(I197)+LEN(J197)+LEN(K197)+LEN(L197)+LEN(M197)+LEN(N197)+LEN(O197)+LEN(P197)</f>
        <v>69</v>
      </c>
    </row>
    <row r="198" customFormat="false" ht="15" hidden="false" customHeight="false" outlineLevel="0" collapsed="false">
      <c r="A198" s="0" t="s">
        <v>3384</v>
      </c>
      <c r="B198" s="0" t="n">
        <v>1926</v>
      </c>
      <c r="C198" s="0" t="s">
        <v>3385</v>
      </c>
      <c r="D198" s="0" t="s">
        <v>3383</v>
      </c>
      <c r="L198" s="0" t="s">
        <v>3252</v>
      </c>
      <c r="Y198" s="0" t="s">
        <v>29</v>
      </c>
      <c r="AF198" s="0" t="n">
        <f aca="false">LEN(D198)+LEN(E198)+LEN(F198)+LEN(G198)+LEN(H198)+LEN(I198)+LEN(J198)+LEN(K198)+LEN(L198)+LEN(M198)+LEN(N198)+LEN(O198)+LEN(P198)</f>
        <v>54</v>
      </c>
    </row>
    <row r="199" customFormat="false" ht="15" hidden="false" customHeight="false" outlineLevel="0" collapsed="false">
      <c r="A199" s="0" t="s">
        <v>3386</v>
      </c>
      <c r="B199" s="0" t="n">
        <v>1926</v>
      </c>
      <c r="C199" s="0" t="s">
        <v>3354</v>
      </c>
      <c r="D199" s="0" t="s">
        <v>3387</v>
      </c>
      <c r="L199" s="0" t="s">
        <v>3355</v>
      </c>
      <c r="AF199" s="0" t="n">
        <f aca="false">LEN(D199)+LEN(E199)+LEN(F199)+LEN(G199)+LEN(H199)+LEN(I199)+LEN(J199)+LEN(K199)+LEN(L199)+LEN(M199)+LEN(N199)+LEN(O199)+LEN(P199)</f>
        <v>40</v>
      </c>
    </row>
    <row r="200" customFormat="false" ht="15" hidden="false" customHeight="false" outlineLevel="0" collapsed="false">
      <c r="A200" s="0" t="s">
        <v>3388</v>
      </c>
      <c r="B200" s="0" t="n">
        <v>1926</v>
      </c>
      <c r="C200" s="0" t="s">
        <v>3389</v>
      </c>
      <c r="D200" s="0" t="s">
        <v>3390</v>
      </c>
      <c r="F200" s="0" t="s">
        <v>3389</v>
      </c>
      <c r="L200" s="0" t="s">
        <v>113</v>
      </c>
      <c r="AF200" s="0" t="n">
        <f aca="false">LEN(D200)+LEN(E200)+LEN(F200)+LEN(G200)+LEN(H200)+LEN(I200)+LEN(J200)+LEN(K200)+LEN(L200)+LEN(M200)+LEN(N200)+LEN(O200)+LEN(P200)</f>
        <v>62</v>
      </c>
    </row>
    <row r="201" customFormat="false" ht="15" hidden="false" customHeight="false" outlineLevel="0" collapsed="false">
      <c r="A201" s="0" t="s">
        <v>3391</v>
      </c>
      <c r="B201" s="0" t="n">
        <v>1926</v>
      </c>
      <c r="C201" s="0" t="s">
        <v>3392</v>
      </c>
      <c r="D201" s="0" t="s">
        <v>3390</v>
      </c>
      <c r="L201" s="0" t="s">
        <v>3075</v>
      </c>
      <c r="M201" s="0" t="s">
        <v>3393</v>
      </c>
      <c r="N201" s="0" t="s">
        <v>2984</v>
      </c>
      <c r="P201" s="0" t="s">
        <v>3394</v>
      </c>
      <c r="AA201" s="0" t="s">
        <v>29</v>
      </c>
      <c r="AC201" s="0" t="s">
        <v>29</v>
      </c>
      <c r="AF201" s="0" t="n">
        <f aca="false">LEN(D201)+LEN(E201)+LEN(F201)+LEN(G201)+LEN(H201)+LEN(I201)+LEN(J201)+LEN(K201)+LEN(L201)+LEN(M201)+LEN(N201)+LEN(O201)+LEN(P201)</f>
        <v>74</v>
      </c>
    </row>
    <row r="202" customFormat="false" ht="15" hidden="false" customHeight="false" outlineLevel="0" collapsed="false">
      <c r="A202" s="0" t="s">
        <v>3395</v>
      </c>
      <c r="B202" s="0" t="n">
        <v>1926</v>
      </c>
      <c r="C202" s="0" t="s">
        <v>3396</v>
      </c>
      <c r="D202" s="0" t="s">
        <v>3397</v>
      </c>
      <c r="L202" s="0" t="s">
        <v>3398</v>
      </c>
      <c r="AF202" s="0" t="n">
        <f aca="false">LEN(D202)+LEN(E202)+LEN(F202)+LEN(G202)+LEN(H202)+LEN(I202)+LEN(J202)+LEN(K202)+LEN(L202)+LEN(M202)+LEN(N202)+LEN(O202)+LEN(P202)</f>
        <v>60</v>
      </c>
    </row>
    <row r="203" customFormat="false" ht="15" hidden="false" customHeight="false" outlineLevel="0" collapsed="false">
      <c r="A203" s="0" t="s">
        <v>3399</v>
      </c>
      <c r="B203" s="0" t="n">
        <v>1926</v>
      </c>
      <c r="C203" s="0" t="s">
        <v>3400</v>
      </c>
      <c r="D203" s="0" t="s">
        <v>3401</v>
      </c>
      <c r="L203" s="0" t="s">
        <v>113</v>
      </c>
      <c r="R203" s="0" t="s">
        <v>29</v>
      </c>
      <c r="AF203" s="0" t="n">
        <f aca="false">LEN(D203)+LEN(E203)+LEN(F203)+LEN(G203)+LEN(H203)+LEN(I203)+LEN(J203)+LEN(K203)+LEN(L203)+LEN(M203)+LEN(N203)+LEN(O203)+LEN(P203)</f>
        <v>39</v>
      </c>
    </row>
    <row r="204" customFormat="false" ht="15" hidden="false" customHeight="false" outlineLevel="0" collapsed="false">
      <c r="A204" s="0" t="s">
        <v>3402</v>
      </c>
      <c r="B204" s="0" t="n">
        <v>1926</v>
      </c>
      <c r="C204" s="0" t="s">
        <v>3403</v>
      </c>
      <c r="D204" s="0" t="s">
        <v>3401</v>
      </c>
      <c r="L204" s="0" t="s">
        <v>3355</v>
      </c>
      <c r="AF204" s="0" t="n">
        <f aca="false">LEN(D204)+LEN(E204)+LEN(F204)+LEN(G204)+LEN(H204)+LEN(I204)+LEN(J204)+LEN(K204)+LEN(L204)+LEN(M204)+LEN(N204)+LEN(O204)+LEN(P204)</f>
        <v>43</v>
      </c>
    </row>
    <row r="205" customFormat="false" ht="15" hidden="false" customHeight="false" outlineLevel="0" collapsed="false">
      <c r="A205" s="0" t="s">
        <v>3404</v>
      </c>
      <c r="B205" s="0" t="n">
        <v>1926</v>
      </c>
      <c r="C205" s="0" t="s">
        <v>3354</v>
      </c>
      <c r="D205" s="0" t="s">
        <v>3401</v>
      </c>
      <c r="L205" s="0" t="s">
        <v>3355</v>
      </c>
      <c r="AF205" s="0" t="n">
        <f aca="false">LEN(D205)+LEN(E205)+LEN(F205)+LEN(G205)+LEN(H205)+LEN(I205)+LEN(J205)+LEN(K205)+LEN(L205)+LEN(M205)+LEN(N205)+LEN(O205)+LEN(P205)</f>
        <v>43</v>
      </c>
    </row>
    <row r="206" customFormat="false" ht="15" hidden="false" customHeight="false" outlineLevel="0" collapsed="false">
      <c r="A206" s="0" t="s">
        <v>3405</v>
      </c>
      <c r="B206" s="0" t="n">
        <v>1926</v>
      </c>
      <c r="C206" s="0" t="s">
        <v>3406</v>
      </c>
      <c r="D206" s="0" t="s">
        <v>3401</v>
      </c>
      <c r="L206" s="0" t="s">
        <v>3407</v>
      </c>
      <c r="M206" s="0" t="s">
        <v>3408</v>
      </c>
      <c r="N206" s="0" t="s">
        <v>3409</v>
      </c>
      <c r="P206" s="0" t="s">
        <v>1392</v>
      </c>
      <c r="AA206" s="0" t="s">
        <v>29</v>
      </c>
      <c r="AF206" s="0" t="n">
        <f aca="false">LEN(D206)+LEN(E206)+LEN(F206)+LEN(G206)+LEN(H206)+LEN(I206)+LEN(J206)+LEN(K206)+LEN(L206)+LEN(M206)+LEN(N206)+LEN(O206)+LEN(P206)</f>
        <v>74</v>
      </c>
    </row>
    <row r="207" customFormat="false" ht="15" hidden="false" customHeight="false" outlineLevel="0" collapsed="false">
      <c r="A207" s="0" t="s">
        <v>3410</v>
      </c>
      <c r="B207" s="0" t="n">
        <v>1926</v>
      </c>
      <c r="C207" s="0" t="s">
        <v>3411</v>
      </c>
      <c r="D207" s="0" t="s">
        <v>3401</v>
      </c>
      <c r="L207" s="0" t="s">
        <v>3355</v>
      </c>
      <c r="M207" s="0" t="s">
        <v>3412</v>
      </c>
      <c r="N207" s="0" t="s">
        <v>393</v>
      </c>
      <c r="P207" s="0" t="s">
        <v>2819</v>
      </c>
      <c r="AA207" s="0" t="s">
        <v>29</v>
      </c>
      <c r="AC207" s="0" t="s">
        <v>29</v>
      </c>
      <c r="AF207" s="0" t="n">
        <f aca="false">LEN(D207)+LEN(E207)+LEN(F207)+LEN(G207)+LEN(H207)+LEN(I207)+LEN(J207)+LEN(K207)+LEN(L207)+LEN(M207)+LEN(N207)+LEN(O207)+LEN(P207)</f>
        <v>61</v>
      </c>
    </row>
    <row r="208" customFormat="false" ht="15" hidden="false" customHeight="false" outlineLevel="0" collapsed="false">
      <c r="A208" s="0" t="s">
        <v>3413</v>
      </c>
      <c r="B208" s="0" t="n">
        <v>1926</v>
      </c>
      <c r="C208" s="0" t="s">
        <v>3414</v>
      </c>
      <c r="D208" s="0" t="s">
        <v>3415</v>
      </c>
      <c r="G208" s="0" t="s">
        <v>3414</v>
      </c>
      <c r="L208" s="0" t="s">
        <v>3416</v>
      </c>
      <c r="AF208" s="0" t="n">
        <f aca="false">LEN(D208)+LEN(E208)+LEN(F208)+LEN(G208)+LEN(H208)+LEN(I208)+LEN(J208)+LEN(K208)+LEN(L208)+LEN(M208)+LEN(N208)+LEN(O208)+LEN(P208)</f>
        <v>322</v>
      </c>
    </row>
    <row r="209" customFormat="false" ht="15" hidden="false" customHeight="false" outlineLevel="0" collapsed="false">
      <c r="A209" s="0" t="s">
        <v>3417</v>
      </c>
      <c r="B209" s="0" t="n">
        <v>1926</v>
      </c>
      <c r="C209" s="0" t="s">
        <v>3418</v>
      </c>
      <c r="D209" s="0" t="s">
        <v>3419</v>
      </c>
      <c r="K209" s="0" t="s">
        <v>3418</v>
      </c>
      <c r="L209" s="0" t="s">
        <v>3416</v>
      </c>
      <c r="Q209" s="0" t="s">
        <v>69</v>
      </c>
      <c r="AE209" s="0" t="n">
        <v>1</v>
      </c>
      <c r="AF209" s="0" t="n">
        <f aca="false">LEN(D209)+LEN(E209)+LEN(F209)+LEN(G209)+LEN(H209)+LEN(I209)+LEN(J209)+LEN(K209)+LEN(L209)+LEN(M209)+LEN(N209)+LEN(O209)+LEN(P209)</f>
        <v>83</v>
      </c>
    </row>
    <row r="210" customFormat="false" ht="15" hidden="false" customHeight="false" outlineLevel="0" collapsed="false">
      <c r="A210" s="0" t="s">
        <v>3420</v>
      </c>
      <c r="B210" s="0" t="n">
        <v>1926</v>
      </c>
      <c r="C210" s="0" t="s">
        <v>3421</v>
      </c>
      <c r="D210" s="0" t="s">
        <v>3419</v>
      </c>
      <c r="L210" s="0" t="s">
        <v>3422</v>
      </c>
      <c r="Q210" s="0" t="s">
        <v>69</v>
      </c>
      <c r="Y210" s="0" t="s">
        <v>29</v>
      </c>
      <c r="AE210" s="0" t="n">
        <v>1</v>
      </c>
      <c r="AF210" s="0" t="n">
        <f aca="false">LEN(D210)+LEN(E210)+LEN(F210)+LEN(G210)+LEN(H210)+LEN(I210)+LEN(J210)+LEN(K210)+LEN(L210)+LEN(M210)+LEN(N210)+LEN(O210)+LEN(P210)</f>
        <v>52</v>
      </c>
    </row>
    <row r="211" customFormat="false" ht="15" hidden="false" customHeight="false" outlineLevel="0" collapsed="false">
      <c r="A211" s="0" t="s">
        <v>3423</v>
      </c>
      <c r="B211" s="0" t="n">
        <v>1926</v>
      </c>
      <c r="C211" s="0" t="s">
        <v>3424</v>
      </c>
      <c r="D211" s="0" t="s">
        <v>3419</v>
      </c>
      <c r="L211" s="0" t="s">
        <v>3075</v>
      </c>
      <c r="M211" s="0" t="s">
        <v>3425</v>
      </c>
      <c r="N211" s="0" t="s">
        <v>2121</v>
      </c>
      <c r="P211" s="0" t="s">
        <v>2948</v>
      </c>
      <c r="Q211" s="0" t="s">
        <v>69</v>
      </c>
      <c r="AA211" s="0" t="s">
        <v>29</v>
      </c>
      <c r="AC211" s="0" t="s">
        <v>29</v>
      </c>
      <c r="AE211" s="0" t="n">
        <v>1</v>
      </c>
      <c r="AF211" s="0" t="n">
        <f aca="false">LEN(D211)+LEN(E211)+LEN(F211)+LEN(G211)+LEN(H211)+LEN(I211)+LEN(J211)+LEN(K211)+LEN(L211)+LEN(M211)+LEN(N211)+LEN(O211)+LEN(P211)</f>
        <v>71</v>
      </c>
    </row>
    <row r="212" customFormat="false" ht="15" hidden="false" customHeight="false" outlineLevel="0" collapsed="false">
      <c r="A212" s="0" t="s">
        <v>3426</v>
      </c>
      <c r="B212" s="0" t="n">
        <v>1926</v>
      </c>
      <c r="C212" s="0" t="s">
        <v>3427</v>
      </c>
      <c r="D212" s="0" t="s">
        <v>3419</v>
      </c>
      <c r="L212" s="0" t="s">
        <v>3075</v>
      </c>
      <c r="M212" s="0" t="s">
        <v>3428</v>
      </c>
      <c r="N212" s="0" t="s">
        <v>1635</v>
      </c>
      <c r="P212" s="0" t="s">
        <v>3429</v>
      </c>
      <c r="Q212" s="0" t="s">
        <v>69</v>
      </c>
      <c r="AA212" s="0" t="s">
        <v>29</v>
      </c>
      <c r="AE212" s="0" t="n">
        <v>1</v>
      </c>
      <c r="AF212" s="0" t="n">
        <f aca="false">LEN(D212)+LEN(E212)+LEN(F212)+LEN(G212)+LEN(H212)+LEN(I212)+LEN(J212)+LEN(K212)+LEN(L212)+LEN(M212)+LEN(N212)+LEN(O212)+LEN(P212)</f>
        <v>68</v>
      </c>
    </row>
    <row r="213" customFormat="false" ht="15" hidden="false" customHeight="false" outlineLevel="0" collapsed="false">
      <c r="A213" s="0" t="s">
        <v>3426</v>
      </c>
      <c r="B213" s="0" t="n">
        <v>1926</v>
      </c>
      <c r="C213" s="0" t="s">
        <v>3427</v>
      </c>
      <c r="D213" s="0" t="s">
        <v>3419</v>
      </c>
      <c r="L213" s="0" t="s">
        <v>3075</v>
      </c>
      <c r="M213" s="0" t="s">
        <v>3428</v>
      </c>
      <c r="N213" s="0" t="s">
        <v>1635</v>
      </c>
      <c r="P213" s="0" t="s">
        <v>3429</v>
      </c>
      <c r="Q213" s="0" t="s">
        <v>69</v>
      </c>
      <c r="AA213" s="0" t="s">
        <v>29</v>
      </c>
      <c r="AE213" s="0" t="n">
        <v>1</v>
      </c>
      <c r="AF213" s="0" t="n">
        <f aca="false">LEN(D213)+LEN(E213)+LEN(F213)+LEN(G213)+LEN(H213)+LEN(I213)+LEN(J213)+LEN(K213)+LEN(L213)+LEN(M213)+LEN(N213)+LEN(O213)+LEN(P213)</f>
        <v>68</v>
      </c>
    </row>
    <row r="214" customFormat="false" ht="15" hidden="false" customHeight="false" outlineLevel="0" collapsed="false">
      <c r="A214" s="0" t="s">
        <v>3430</v>
      </c>
      <c r="B214" s="0" t="n">
        <v>1926</v>
      </c>
      <c r="C214" s="0" t="s">
        <v>3431</v>
      </c>
      <c r="D214" s="0" t="s">
        <v>3432</v>
      </c>
      <c r="L214" s="0" t="s">
        <v>3196</v>
      </c>
      <c r="M214" s="0" t="s">
        <v>3433</v>
      </c>
      <c r="N214" s="0" t="s">
        <v>1391</v>
      </c>
      <c r="P214" s="0" t="s">
        <v>3020</v>
      </c>
      <c r="AA214" s="0" t="s">
        <v>29</v>
      </c>
      <c r="AC214" s="0" t="s">
        <v>29</v>
      </c>
      <c r="AF214" s="0" t="n">
        <f aca="false">LEN(D214)+LEN(E214)+LEN(F214)+LEN(G214)+LEN(H214)+LEN(I214)+LEN(J214)+LEN(K214)+LEN(L214)+LEN(M214)+LEN(N214)+LEN(O214)+LEN(P214)</f>
        <v>60</v>
      </c>
    </row>
    <row r="215" customFormat="false" ht="15" hidden="false" customHeight="false" outlineLevel="0" collapsed="false">
      <c r="A215" s="0" t="s">
        <v>3434</v>
      </c>
      <c r="B215" s="0" t="n">
        <v>1926</v>
      </c>
      <c r="C215" s="0" t="s">
        <v>3435</v>
      </c>
      <c r="D215" s="0" t="s">
        <v>3432</v>
      </c>
      <c r="L215" s="0" t="s">
        <v>3436</v>
      </c>
      <c r="M215" s="0" t="s">
        <v>3437</v>
      </c>
      <c r="N215" s="0" t="s">
        <v>3438</v>
      </c>
      <c r="P215" s="0" t="s">
        <v>3439</v>
      </c>
      <c r="AF215" s="0" t="n">
        <f aca="false">LEN(D215)+LEN(E215)+LEN(F215)+LEN(G215)+LEN(H215)+LEN(I215)+LEN(J215)+LEN(K215)+LEN(L215)+LEN(M215)+LEN(N215)+LEN(O215)+LEN(P215)</f>
        <v>63</v>
      </c>
    </row>
    <row r="216" customFormat="false" ht="15" hidden="false" customHeight="false" outlineLevel="0" collapsed="false">
      <c r="A216" s="0" t="s">
        <v>3440</v>
      </c>
      <c r="B216" s="0" t="n">
        <v>1926</v>
      </c>
      <c r="C216" s="0" t="s">
        <v>3441</v>
      </c>
      <c r="D216" s="0" t="s">
        <v>3442</v>
      </c>
      <c r="L216" s="0" t="s">
        <v>3443</v>
      </c>
      <c r="Y216" s="0" t="s">
        <v>29</v>
      </c>
      <c r="AF216" s="0" t="n">
        <f aca="false">LEN(D216)+LEN(E216)+LEN(F216)+LEN(G216)+LEN(H216)+LEN(I216)+LEN(J216)+LEN(K216)+LEN(L216)+LEN(M216)+LEN(N216)+LEN(O216)+LEN(P216)</f>
        <v>51</v>
      </c>
    </row>
    <row r="217" customFormat="false" ht="15" hidden="false" customHeight="false" outlineLevel="0" collapsed="false">
      <c r="A217" s="0" t="s">
        <v>3444</v>
      </c>
      <c r="B217" s="0" t="n">
        <v>1926</v>
      </c>
      <c r="C217" s="0" t="s">
        <v>3445</v>
      </c>
      <c r="D217" s="0" t="s">
        <v>3446</v>
      </c>
      <c r="L217" s="0" t="s">
        <v>3447</v>
      </c>
      <c r="Y217" s="0" t="s">
        <v>69</v>
      </c>
      <c r="AE217" s="0" t="n">
        <v>2</v>
      </c>
      <c r="AF217" s="0" t="n">
        <f aca="false">LEN(D217)+LEN(E217)+LEN(F217)+LEN(G217)+LEN(H217)+LEN(I217)+LEN(J217)+LEN(K217)+LEN(L217)+LEN(M217)+LEN(N217)+LEN(O217)+LEN(P217)</f>
        <v>42</v>
      </c>
    </row>
    <row r="218" customFormat="false" ht="15" hidden="false" customHeight="false" outlineLevel="0" collapsed="false">
      <c r="A218" s="0" t="s">
        <v>3448</v>
      </c>
      <c r="B218" s="0" t="n">
        <v>1926</v>
      </c>
      <c r="C218" s="0" t="s">
        <v>3445</v>
      </c>
      <c r="D218" s="0" t="s">
        <v>3449</v>
      </c>
      <c r="L218" s="0" t="s">
        <v>3447</v>
      </c>
      <c r="Y218" s="0" t="s">
        <v>69</v>
      </c>
      <c r="AE218" s="0" t="n">
        <v>2</v>
      </c>
      <c r="AF218" s="0" t="n">
        <f aca="false">LEN(D218)+LEN(E218)+LEN(F218)+LEN(G218)+LEN(H218)+LEN(I218)+LEN(J218)+LEN(K218)+LEN(L218)+LEN(M218)+LEN(N218)+LEN(O218)+LEN(P218)</f>
        <v>44</v>
      </c>
    </row>
    <row r="219" customFormat="false" ht="15" hidden="false" customHeight="false" outlineLevel="0" collapsed="false">
      <c r="A219" s="0" t="s">
        <v>3450</v>
      </c>
      <c r="B219" s="0" t="n">
        <v>1926</v>
      </c>
      <c r="C219" s="0" t="s">
        <v>3451</v>
      </c>
      <c r="D219" s="0" t="s">
        <v>3449</v>
      </c>
      <c r="L219" s="0" t="s">
        <v>3452</v>
      </c>
      <c r="AA219" s="0" t="s">
        <v>29</v>
      </c>
      <c r="AB219" s="0" t="s">
        <v>29</v>
      </c>
      <c r="AC219" s="0" t="s">
        <v>29</v>
      </c>
      <c r="AD219" s="0" t="s">
        <v>29</v>
      </c>
      <c r="AF219" s="0" t="n">
        <f aca="false">LEN(D219)+LEN(E219)+LEN(F219)+LEN(G219)+LEN(H219)+LEN(I219)+LEN(J219)+LEN(K219)+LEN(L219)+LEN(M219)+LEN(N219)+LEN(O219)+LEN(P219)</f>
        <v>42</v>
      </c>
    </row>
    <row r="220" customFormat="false" ht="15" hidden="false" customHeight="false" outlineLevel="0" collapsed="false">
      <c r="A220" s="0" t="s">
        <v>3453</v>
      </c>
      <c r="B220" s="0" t="n">
        <v>1926</v>
      </c>
      <c r="C220" s="0" t="s">
        <v>3454</v>
      </c>
      <c r="D220" s="0" t="s">
        <v>3449</v>
      </c>
      <c r="L220" s="0" t="s">
        <v>3455</v>
      </c>
      <c r="M220" s="0" t="s">
        <v>3456</v>
      </c>
      <c r="N220" s="0" t="s">
        <v>3457</v>
      </c>
      <c r="O220" s="0" t="s">
        <v>3458</v>
      </c>
      <c r="P220" s="0" t="s">
        <v>2819</v>
      </c>
      <c r="AB220" s="0" t="s">
        <v>69</v>
      </c>
      <c r="AC220" s="0" t="s">
        <v>29</v>
      </c>
      <c r="AE220" s="0" t="n">
        <v>2</v>
      </c>
      <c r="AF220" s="0" t="n">
        <f aca="false">LEN(D220)+LEN(E220)+LEN(F220)+LEN(G220)+LEN(H220)+LEN(I220)+LEN(J220)+LEN(K220)+LEN(L220)+LEN(M220)+LEN(N220)+LEN(O220)+LEN(P220)</f>
        <v>70</v>
      </c>
    </row>
    <row r="221" customFormat="false" ht="15" hidden="false" customHeight="false" outlineLevel="0" collapsed="false">
      <c r="A221" s="0" t="s">
        <v>3459</v>
      </c>
      <c r="B221" s="0" t="n">
        <v>1926</v>
      </c>
      <c r="C221" s="0" t="s">
        <v>3460</v>
      </c>
      <c r="D221" s="0" t="s">
        <v>3461</v>
      </c>
      <c r="L221" s="0" t="s">
        <v>3462</v>
      </c>
      <c r="AF221" s="0" t="n">
        <f aca="false">LEN(D221)+LEN(E221)+LEN(F221)+LEN(G221)+LEN(H221)+LEN(I221)+LEN(J221)+LEN(K221)+LEN(L221)+LEN(M221)+LEN(N221)+LEN(O221)+LEN(P221)</f>
        <v>52</v>
      </c>
    </row>
    <row r="222" customFormat="false" ht="15" hidden="false" customHeight="false" outlineLevel="0" collapsed="false">
      <c r="A222" s="0" t="s">
        <v>3463</v>
      </c>
      <c r="B222" s="0" t="n">
        <v>1926</v>
      </c>
      <c r="C222" s="0" t="s">
        <v>3464</v>
      </c>
      <c r="D222" s="0" t="s">
        <v>3465</v>
      </c>
      <c r="L222" s="0" t="s">
        <v>3466</v>
      </c>
      <c r="AF222" s="0" t="n">
        <f aca="false">LEN(D222)+LEN(E222)+LEN(F222)+LEN(G222)+LEN(H222)+LEN(I222)+LEN(J222)+LEN(K222)+LEN(L222)+LEN(M222)+LEN(N222)+LEN(O222)+LEN(P222)</f>
        <v>65</v>
      </c>
    </row>
    <row r="223" customFormat="false" ht="15" hidden="false" customHeight="false" outlineLevel="0" collapsed="false">
      <c r="A223" s="0" t="s">
        <v>3467</v>
      </c>
      <c r="B223" s="0" t="n">
        <v>1926</v>
      </c>
      <c r="C223" s="0" t="s">
        <v>3468</v>
      </c>
      <c r="D223" s="0" t="s">
        <v>3465</v>
      </c>
      <c r="G223" s="0" t="s">
        <v>3468</v>
      </c>
      <c r="L223" s="0" t="s">
        <v>3469</v>
      </c>
      <c r="T223" s="0" t="s">
        <v>29</v>
      </c>
      <c r="AF223" s="0" t="n">
        <f aca="false">LEN(D223)+LEN(E223)+LEN(F223)+LEN(G223)+LEN(H223)+LEN(I223)+LEN(J223)+LEN(K223)+LEN(L223)+LEN(M223)+LEN(N223)+LEN(O223)+LEN(P223)</f>
        <v>104</v>
      </c>
    </row>
    <row r="224" customFormat="false" ht="15" hidden="false" customHeight="false" outlineLevel="0" collapsed="false">
      <c r="A224" s="0" t="s">
        <v>3470</v>
      </c>
      <c r="B224" s="0" t="n">
        <v>1926</v>
      </c>
      <c r="C224" s="0" t="s">
        <v>3471</v>
      </c>
      <c r="D224" s="0" t="s">
        <v>3465</v>
      </c>
      <c r="L224" s="0" t="s">
        <v>2959</v>
      </c>
      <c r="M224" s="0" t="s">
        <v>1266</v>
      </c>
      <c r="N224" s="0" t="s">
        <v>3472</v>
      </c>
      <c r="P224" s="0" t="s">
        <v>3473</v>
      </c>
      <c r="AA224" s="0" t="s">
        <v>29</v>
      </c>
      <c r="AF224" s="0" t="n">
        <f aca="false">LEN(D224)+LEN(E224)+LEN(F224)+LEN(G224)+LEN(H224)+LEN(I224)+LEN(J224)+LEN(K224)+LEN(L224)+LEN(M224)+LEN(N224)+LEN(O224)+LEN(P224)</f>
        <v>84</v>
      </c>
    </row>
    <row r="225" customFormat="false" ht="15" hidden="false" customHeight="false" outlineLevel="0" collapsed="false">
      <c r="A225" s="0" t="s">
        <v>3474</v>
      </c>
      <c r="B225" s="0" t="n">
        <v>1926</v>
      </c>
      <c r="C225" s="0" t="s">
        <v>3475</v>
      </c>
      <c r="D225" s="0" t="s">
        <v>3476</v>
      </c>
      <c r="F225" s="0" t="s">
        <v>3475</v>
      </c>
      <c r="L225" s="0" t="s">
        <v>3469</v>
      </c>
      <c r="AF225" s="0" t="n">
        <f aca="false">LEN(D225)+LEN(E225)+LEN(F225)+LEN(G225)+LEN(H225)+LEN(I225)+LEN(J225)+LEN(K225)+LEN(L225)+LEN(M225)+LEN(N225)+LEN(O225)+LEN(P225)</f>
        <v>48</v>
      </c>
    </row>
    <row r="226" customFormat="false" ht="15" hidden="false" customHeight="false" outlineLevel="0" collapsed="false">
      <c r="A226" s="0" t="s">
        <v>3477</v>
      </c>
      <c r="B226" s="0" t="n">
        <v>1926</v>
      </c>
      <c r="C226" s="0" t="s">
        <v>3478</v>
      </c>
      <c r="D226" s="0" t="s">
        <v>3476</v>
      </c>
      <c r="L226" s="0" t="s">
        <v>3075</v>
      </c>
      <c r="M226" s="0" t="s">
        <v>3479</v>
      </c>
      <c r="N226" s="0" t="s">
        <v>3472</v>
      </c>
      <c r="O226" s="0" t="s">
        <v>3480</v>
      </c>
      <c r="P226" s="0" t="s">
        <v>2948</v>
      </c>
      <c r="AA226" s="0" t="s">
        <v>29</v>
      </c>
      <c r="AF226" s="0" t="n">
        <f aca="false">LEN(D226)+LEN(E226)+LEN(F226)+LEN(G226)+LEN(H226)+LEN(I226)+LEN(J226)+LEN(K226)+LEN(L226)+LEN(M226)+LEN(N226)+LEN(O226)+LEN(P226)</f>
        <v>65</v>
      </c>
    </row>
    <row r="227" customFormat="false" ht="15" hidden="false" customHeight="false" outlineLevel="0" collapsed="false">
      <c r="A227" s="0" t="s">
        <v>3481</v>
      </c>
      <c r="B227" s="0" t="n">
        <v>1926</v>
      </c>
      <c r="C227" s="0" t="s">
        <v>3482</v>
      </c>
      <c r="D227" s="0" t="s">
        <v>3476</v>
      </c>
      <c r="L227" s="0" t="s">
        <v>2959</v>
      </c>
      <c r="M227" s="0" t="s">
        <v>3483</v>
      </c>
      <c r="N227" s="0" t="s">
        <v>2121</v>
      </c>
      <c r="P227" s="0" t="s">
        <v>3484</v>
      </c>
      <c r="AA227" s="0" t="s">
        <v>29</v>
      </c>
      <c r="AC227" s="0" t="s">
        <v>29</v>
      </c>
      <c r="AF227" s="0" t="n">
        <f aca="false">LEN(D227)+LEN(E227)+LEN(F227)+LEN(G227)+LEN(H227)+LEN(I227)+LEN(J227)+LEN(K227)+LEN(L227)+LEN(M227)+LEN(N227)+LEN(O227)+LEN(P227)</f>
        <v>60</v>
      </c>
    </row>
    <row r="228" customFormat="false" ht="15" hidden="false" customHeight="false" outlineLevel="0" collapsed="false">
      <c r="A228" s="0" t="s">
        <v>3485</v>
      </c>
      <c r="B228" s="0" t="n">
        <v>1926</v>
      </c>
      <c r="C228" s="0" t="s">
        <v>3486</v>
      </c>
      <c r="D228" s="0" t="s">
        <v>3476</v>
      </c>
      <c r="L228" s="0" t="s">
        <v>3487</v>
      </c>
      <c r="M228" s="0" t="s">
        <v>3488</v>
      </c>
      <c r="N228" s="0" t="s">
        <v>3489</v>
      </c>
      <c r="P228" s="0" t="s">
        <v>3490</v>
      </c>
      <c r="AA228" s="0" t="s">
        <v>29</v>
      </c>
      <c r="AC228" s="0" t="s">
        <v>29</v>
      </c>
      <c r="AF228" s="0" t="n">
        <f aca="false">LEN(D228)+LEN(E228)+LEN(F228)+LEN(G228)+LEN(H228)+LEN(I228)+LEN(J228)+LEN(K228)+LEN(L228)+LEN(M228)+LEN(N228)+LEN(O228)+LEN(P228)</f>
        <v>62</v>
      </c>
    </row>
    <row r="229" customFormat="false" ht="15" hidden="false" customHeight="false" outlineLevel="0" collapsed="false">
      <c r="A229" s="0" t="s">
        <v>3491</v>
      </c>
      <c r="B229" s="0" t="n">
        <v>1926</v>
      </c>
      <c r="C229" s="0" t="s">
        <v>3492</v>
      </c>
      <c r="D229" s="0" t="s">
        <v>3493</v>
      </c>
      <c r="L229" s="0" t="s">
        <v>2959</v>
      </c>
      <c r="AF229" s="0" t="n">
        <f aca="false">LEN(D229)+LEN(E229)+LEN(F229)+LEN(G229)+LEN(H229)+LEN(I229)+LEN(J229)+LEN(K229)+LEN(L229)+LEN(M229)+LEN(N229)+LEN(O229)+LEN(P229)</f>
        <v>58</v>
      </c>
    </row>
    <row r="230" customFormat="false" ht="15" hidden="false" customHeight="false" outlineLevel="0" collapsed="false">
      <c r="A230" s="0" t="s">
        <v>3494</v>
      </c>
      <c r="B230" s="0" t="n">
        <v>1926</v>
      </c>
      <c r="C230" s="0" t="s">
        <v>3495</v>
      </c>
      <c r="D230" s="0" t="s">
        <v>3496</v>
      </c>
      <c r="L230" s="0" t="s">
        <v>3497</v>
      </c>
      <c r="Y230" s="0" t="s">
        <v>29</v>
      </c>
      <c r="AF230" s="0" t="n">
        <f aca="false">LEN(D230)+LEN(E230)+LEN(F230)+LEN(G230)+LEN(H230)+LEN(I230)+LEN(J230)+LEN(K230)+LEN(L230)+LEN(M230)+LEN(N230)+LEN(O230)+LEN(P230)</f>
        <v>30</v>
      </c>
    </row>
    <row r="231" customFormat="false" ht="15" hidden="false" customHeight="false" outlineLevel="0" collapsed="false">
      <c r="A231" s="0" t="s">
        <v>3498</v>
      </c>
      <c r="B231" s="0" t="n">
        <v>1926</v>
      </c>
      <c r="C231" s="0" t="s">
        <v>3499</v>
      </c>
      <c r="D231" s="0" t="s">
        <v>3500</v>
      </c>
      <c r="L231" s="0" t="s">
        <v>3501</v>
      </c>
      <c r="M231" s="0" t="s">
        <v>3502</v>
      </c>
      <c r="N231" s="0" t="s">
        <v>3503</v>
      </c>
      <c r="P231" s="0" t="s">
        <v>2948</v>
      </c>
      <c r="AA231" s="0" t="s">
        <v>29</v>
      </c>
      <c r="AF231" s="0" t="n">
        <f aca="false">LEN(D231)+LEN(E231)+LEN(F231)+LEN(G231)+LEN(H231)+LEN(I231)+LEN(J231)+LEN(K231)+LEN(L231)+LEN(M231)+LEN(N231)+LEN(O231)+LEN(P231)</f>
        <v>83</v>
      </c>
    </row>
    <row r="232" customFormat="false" ht="15" hidden="false" customHeight="false" outlineLevel="0" collapsed="false">
      <c r="A232" s="0" t="s">
        <v>3504</v>
      </c>
      <c r="B232" s="0" t="n">
        <v>1926</v>
      </c>
      <c r="C232" s="0" t="s">
        <v>3505</v>
      </c>
      <c r="D232" s="0" t="s">
        <v>3500</v>
      </c>
      <c r="L232" s="0" t="s">
        <v>2959</v>
      </c>
      <c r="M232" s="0" t="s">
        <v>3502</v>
      </c>
      <c r="N232" s="0" t="s">
        <v>2121</v>
      </c>
      <c r="P232" s="0" t="s">
        <v>3506</v>
      </c>
      <c r="AA232" s="0" t="s">
        <v>29</v>
      </c>
      <c r="AF232" s="0" t="n">
        <f aca="false">LEN(D232)+LEN(E232)+LEN(F232)+LEN(G232)+LEN(H232)+LEN(I232)+LEN(J232)+LEN(K232)+LEN(L232)+LEN(M232)+LEN(N232)+LEN(O232)+LEN(P232)</f>
        <v>80</v>
      </c>
    </row>
    <row r="233" customFormat="false" ht="15" hidden="false" customHeight="false" outlineLevel="0" collapsed="false">
      <c r="A233" s="0" t="s">
        <v>3507</v>
      </c>
      <c r="B233" s="0" t="n">
        <v>1926</v>
      </c>
      <c r="C233" s="0" t="s">
        <v>3508</v>
      </c>
      <c r="D233" s="0" t="s">
        <v>3509</v>
      </c>
      <c r="G233" s="0" t="s">
        <v>3508</v>
      </c>
      <c r="L233" s="0" t="s">
        <v>240</v>
      </c>
      <c r="T233" s="0" t="s">
        <v>29</v>
      </c>
      <c r="U233" s="0" t="s">
        <v>29</v>
      </c>
      <c r="AF233" s="0" t="n">
        <f aca="false">LEN(D233)+LEN(E233)+LEN(F233)+LEN(G233)+LEN(H233)+LEN(I233)+LEN(J233)+LEN(K233)+LEN(L233)+LEN(M233)+LEN(N233)+LEN(O233)+LEN(P233)</f>
        <v>145</v>
      </c>
    </row>
    <row r="234" customFormat="false" ht="15" hidden="false" customHeight="false" outlineLevel="0" collapsed="false">
      <c r="A234" s="0" t="s">
        <v>3510</v>
      </c>
      <c r="B234" s="0" t="n">
        <v>1926</v>
      </c>
      <c r="C234" s="0" t="s">
        <v>3511</v>
      </c>
      <c r="D234" s="0" t="s">
        <v>3512</v>
      </c>
      <c r="L234" s="0" t="s">
        <v>240</v>
      </c>
      <c r="R234" s="0" t="s">
        <v>29</v>
      </c>
      <c r="AF234" s="0" t="n">
        <f aca="false">LEN(D234)+LEN(E234)+LEN(F234)+LEN(G234)+LEN(H234)+LEN(I234)+LEN(J234)+LEN(K234)+LEN(L234)+LEN(M234)+LEN(N234)+LEN(O234)+LEN(P234)</f>
        <v>31</v>
      </c>
    </row>
    <row r="235" customFormat="false" ht="15" hidden="false" customHeight="false" outlineLevel="0" collapsed="false">
      <c r="A235" s="0" t="s">
        <v>3513</v>
      </c>
      <c r="B235" s="0" t="n">
        <v>1926</v>
      </c>
      <c r="C235" s="0" t="s">
        <v>3514</v>
      </c>
      <c r="D235" s="0" t="s">
        <v>3512</v>
      </c>
      <c r="L235" s="0" t="s">
        <v>3515</v>
      </c>
      <c r="M235" s="0" t="s">
        <v>3516</v>
      </c>
      <c r="N235" s="0" t="s">
        <v>3142</v>
      </c>
      <c r="P235" s="0" t="s">
        <v>2948</v>
      </c>
      <c r="AA235" s="0" t="s">
        <v>29</v>
      </c>
      <c r="AC235" s="0" t="s">
        <v>29</v>
      </c>
      <c r="AF235" s="0" t="n">
        <f aca="false">LEN(D235)+LEN(E235)+LEN(F235)+LEN(G235)+LEN(H235)+LEN(I235)+LEN(J235)+LEN(K235)+LEN(L235)+LEN(M235)+LEN(N235)+LEN(O235)+LEN(P235)</f>
        <v>65</v>
      </c>
    </row>
    <row r="236" customFormat="false" ht="15" hidden="false" customHeight="false" outlineLevel="0" collapsed="false">
      <c r="A236" s="0" t="s">
        <v>3517</v>
      </c>
      <c r="B236" s="0" t="n">
        <v>1926</v>
      </c>
      <c r="C236" s="0" t="s">
        <v>3518</v>
      </c>
      <c r="D236" s="0" t="s">
        <v>3512</v>
      </c>
      <c r="L236" s="0" t="s">
        <v>3515</v>
      </c>
      <c r="M236" s="0" t="s">
        <v>3519</v>
      </c>
      <c r="N236" s="0" t="s">
        <v>3520</v>
      </c>
      <c r="P236" s="0" t="s">
        <v>3521</v>
      </c>
      <c r="AA236" s="0" t="s">
        <v>29</v>
      </c>
      <c r="AC236" s="0" t="s">
        <v>29</v>
      </c>
      <c r="AF236" s="0" t="n">
        <f aca="false">LEN(D236)+LEN(E236)+LEN(F236)+LEN(G236)+LEN(H236)+LEN(I236)+LEN(J236)+LEN(K236)+LEN(L236)+LEN(M236)+LEN(N236)+LEN(O236)+LEN(P236)</f>
        <v>59</v>
      </c>
    </row>
    <row r="237" customFormat="false" ht="15" hidden="false" customHeight="false" outlineLevel="0" collapsed="false">
      <c r="A237" s="0" t="s">
        <v>3522</v>
      </c>
      <c r="B237" s="0" t="n">
        <v>1926</v>
      </c>
      <c r="C237" s="0" t="s">
        <v>3523</v>
      </c>
      <c r="D237" s="0" t="s">
        <v>3524</v>
      </c>
      <c r="L237" s="0" t="s">
        <v>3525</v>
      </c>
      <c r="Y237" s="0" t="s">
        <v>69</v>
      </c>
      <c r="AE237" s="0" t="n">
        <v>2</v>
      </c>
      <c r="AF237" s="0" t="n">
        <f aca="false">LEN(D237)+LEN(E237)+LEN(F237)+LEN(G237)+LEN(H237)+LEN(I237)+LEN(J237)+LEN(K237)+LEN(L237)+LEN(M237)+LEN(N237)+LEN(O237)+LEN(P237)</f>
        <v>37</v>
      </c>
    </row>
    <row r="238" s="3" customFormat="true" ht="15" hidden="false" customHeight="false" outlineLevel="0" collapsed="false">
      <c r="A238" s="3" t="s">
        <v>3526</v>
      </c>
      <c r="B238" s="3" t="n">
        <v>1926</v>
      </c>
      <c r="C238" s="3" t="s">
        <v>3527</v>
      </c>
      <c r="D238" s="3" t="s">
        <v>3524</v>
      </c>
      <c r="L238" s="3" t="s">
        <v>3075</v>
      </c>
      <c r="M238" s="3" t="s">
        <v>3528</v>
      </c>
      <c r="N238" s="3" t="s">
        <v>29</v>
      </c>
      <c r="P238" s="3" t="s">
        <v>2819</v>
      </c>
      <c r="AF238" s="3" t="n">
        <f aca="false">LEN(D238)+LEN(E238)+LEN(F238)+LEN(G238)+LEN(H238)+LEN(I238)+LEN(J238)+LEN(K238)+LEN(L238)+LEN(M238)+LEN(N238)+LEN(O238)+LEN(P238)</f>
        <v>53</v>
      </c>
    </row>
    <row r="239" customFormat="false" ht="15" hidden="false" customHeight="false" outlineLevel="0" collapsed="false">
      <c r="A239" s="0" t="s">
        <v>3529</v>
      </c>
      <c r="B239" s="0" t="n">
        <v>1926</v>
      </c>
      <c r="C239" s="0" t="s">
        <v>3530</v>
      </c>
      <c r="D239" s="0" t="s">
        <v>3531</v>
      </c>
      <c r="L239" s="0" t="s">
        <v>3532</v>
      </c>
      <c r="AF239" s="0" t="n">
        <f aca="false">LEN(D239)+LEN(E239)+LEN(F239)+LEN(G239)+LEN(H239)+LEN(I239)+LEN(J239)+LEN(K239)+LEN(L239)+LEN(M239)+LEN(N239)+LEN(O239)+LEN(P239)</f>
        <v>45</v>
      </c>
    </row>
    <row r="240" customFormat="false" ht="15" hidden="false" customHeight="false" outlineLevel="0" collapsed="false">
      <c r="A240" s="0" t="s">
        <v>3533</v>
      </c>
      <c r="B240" s="0" t="n">
        <v>1926</v>
      </c>
      <c r="C240" s="0" t="s">
        <v>3534</v>
      </c>
      <c r="D240" s="0" t="s">
        <v>3535</v>
      </c>
      <c r="L240" s="0" t="s">
        <v>3536</v>
      </c>
      <c r="AF240" s="0" t="n">
        <f aca="false">LEN(D240)+LEN(E240)+LEN(F240)+LEN(G240)+LEN(H240)+LEN(I240)+LEN(J240)+LEN(K240)+LEN(L240)+LEN(M240)+LEN(N240)+LEN(O240)+LEN(P240)</f>
        <v>46</v>
      </c>
    </row>
    <row r="241" customFormat="false" ht="15" hidden="false" customHeight="false" outlineLevel="0" collapsed="false">
      <c r="A241" s="0" t="s">
        <v>3537</v>
      </c>
      <c r="B241" s="0" t="n">
        <v>1926</v>
      </c>
      <c r="C241" s="0" t="s">
        <v>2808</v>
      </c>
      <c r="D241" s="0" t="s">
        <v>3538</v>
      </c>
      <c r="J241" s="0" t="s">
        <v>2810</v>
      </c>
      <c r="L241" s="0" t="s">
        <v>3539</v>
      </c>
      <c r="AF241" s="0" t="n">
        <f aca="false">LEN(D241)+LEN(E241)+LEN(F241)+LEN(G241)+LEN(H241)+LEN(I241)+LEN(J241)+LEN(K241)+LEN(L241)+LEN(M241)+LEN(N241)+LEN(O241)+LEN(P241)</f>
        <v>64</v>
      </c>
    </row>
    <row r="242" customFormat="false" ht="15" hidden="false" customHeight="false" outlineLevel="0" collapsed="false">
      <c r="A242" s="0" t="s">
        <v>3540</v>
      </c>
      <c r="B242" s="0" t="n">
        <v>1926</v>
      </c>
      <c r="C242" s="0" t="s">
        <v>3541</v>
      </c>
      <c r="D242" s="0" t="s">
        <v>3538</v>
      </c>
      <c r="I242" s="0" t="s">
        <v>3542</v>
      </c>
      <c r="L242" s="0" t="s">
        <v>3539</v>
      </c>
      <c r="AF242" s="0" t="n">
        <f aca="false">LEN(D242)+LEN(E242)+LEN(F242)+LEN(G242)+LEN(H242)+LEN(I242)+LEN(J242)+LEN(K242)+LEN(L242)+LEN(M242)+LEN(N242)+LEN(O242)+LEN(P242)</f>
        <v>66</v>
      </c>
    </row>
    <row r="243" customFormat="false" ht="15" hidden="false" customHeight="false" outlineLevel="0" collapsed="false">
      <c r="A243" s="0" t="s">
        <v>3543</v>
      </c>
      <c r="B243" s="0" t="n">
        <v>1926</v>
      </c>
      <c r="C243" s="0" t="s">
        <v>3544</v>
      </c>
      <c r="D243" s="0" t="s">
        <v>3538</v>
      </c>
      <c r="L243" s="0" t="s">
        <v>3536</v>
      </c>
      <c r="M243" s="0" t="s">
        <v>3545</v>
      </c>
      <c r="N243" s="0" t="s">
        <v>1407</v>
      </c>
      <c r="P243" s="0" t="s">
        <v>3314</v>
      </c>
      <c r="AA243" s="0" t="s">
        <v>29</v>
      </c>
      <c r="AC243" s="0" t="s">
        <v>29</v>
      </c>
      <c r="AF243" s="0" t="n">
        <f aca="false">LEN(D243)+LEN(E243)+LEN(F243)+LEN(G243)+LEN(H243)+LEN(I243)+LEN(J243)+LEN(K243)+LEN(L243)+LEN(M243)+LEN(N243)+LEN(O243)+LEN(P243)</f>
        <v>56</v>
      </c>
    </row>
    <row r="244" customFormat="false" ht="15" hidden="false" customHeight="false" outlineLevel="0" collapsed="false">
      <c r="A244" s="0" t="s">
        <v>3546</v>
      </c>
      <c r="B244" s="0" t="n">
        <v>1926</v>
      </c>
      <c r="C244" s="0" t="s">
        <v>3547</v>
      </c>
      <c r="D244" s="0" t="s">
        <v>3548</v>
      </c>
      <c r="L244" s="0" t="s">
        <v>3536</v>
      </c>
      <c r="AF244" s="0" t="n">
        <f aca="false">LEN(D244)+LEN(E244)+LEN(F244)+LEN(G244)+LEN(H244)+LEN(I244)+LEN(J244)+LEN(K244)+LEN(L244)+LEN(M244)+LEN(N244)+LEN(O244)+LEN(P244)</f>
        <v>50</v>
      </c>
    </row>
    <row r="245" customFormat="false" ht="15" hidden="false" customHeight="false" outlineLevel="0" collapsed="false">
      <c r="A245" s="0" t="s">
        <v>3549</v>
      </c>
      <c r="B245" s="0" t="n">
        <v>1926</v>
      </c>
      <c r="C245" s="0" t="s">
        <v>3550</v>
      </c>
      <c r="D245" s="0" t="s">
        <v>3548</v>
      </c>
      <c r="L245" s="0" t="s">
        <v>3551</v>
      </c>
      <c r="Y245" s="0" t="s">
        <v>29</v>
      </c>
      <c r="AF245" s="0" t="n">
        <f aca="false">LEN(D245)+LEN(E245)+LEN(F245)+LEN(G245)+LEN(H245)+LEN(I245)+LEN(J245)+LEN(K245)+LEN(L245)+LEN(M245)+LEN(N245)+LEN(O245)+LEN(P245)</f>
        <v>67</v>
      </c>
    </row>
    <row r="246" customFormat="false" ht="15" hidden="false" customHeight="false" outlineLevel="0" collapsed="false">
      <c r="A246" s="0" t="s">
        <v>3552</v>
      </c>
      <c r="B246" s="0" t="n">
        <v>1926</v>
      </c>
      <c r="C246" s="0" t="s">
        <v>3553</v>
      </c>
      <c r="D246" s="0" t="s">
        <v>3554</v>
      </c>
      <c r="G246" s="0" t="s">
        <v>3553</v>
      </c>
      <c r="L246" s="0" t="s">
        <v>3539</v>
      </c>
      <c r="T246" s="0" t="s">
        <v>29</v>
      </c>
      <c r="U246" s="0" t="s">
        <v>29</v>
      </c>
      <c r="AF246" s="0" t="n">
        <f aca="false">LEN(D246)+LEN(E246)+LEN(F246)+LEN(G246)+LEN(H246)+LEN(I246)+LEN(J246)+LEN(K246)+LEN(L246)+LEN(M246)+LEN(N246)+LEN(O246)+LEN(P246)</f>
        <v>107</v>
      </c>
    </row>
    <row r="247" customFormat="false" ht="15" hidden="false" customHeight="false" outlineLevel="0" collapsed="false">
      <c r="A247" s="0" t="s">
        <v>3555</v>
      </c>
      <c r="B247" s="0" t="n">
        <v>1926</v>
      </c>
      <c r="C247" s="0" t="s">
        <v>3556</v>
      </c>
      <c r="D247" s="0" t="s">
        <v>3557</v>
      </c>
      <c r="K247" s="0" t="s">
        <v>3556</v>
      </c>
      <c r="L247" s="0" t="s">
        <v>3558</v>
      </c>
      <c r="AF247" s="0" t="n">
        <f aca="false">LEN(D247)+LEN(E247)+LEN(F247)+LEN(G247)+LEN(H247)+LEN(I247)+LEN(J247)+LEN(K247)+LEN(L247)+LEN(M247)+LEN(N247)+LEN(O247)+LEN(P247)</f>
        <v>50</v>
      </c>
    </row>
    <row r="248" customFormat="false" ht="15" hidden="false" customHeight="false" outlineLevel="0" collapsed="false">
      <c r="A248" s="0" t="s">
        <v>3559</v>
      </c>
      <c r="B248" s="0" t="n">
        <v>1926</v>
      </c>
      <c r="C248" s="0" t="s">
        <v>3560</v>
      </c>
      <c r="D248" s="0" t="s">
        <v>3561</v>
      </c>
      <c r="F248" s="0" t="s">
        <v>3560</v>
      </c>
      <c r="L248" s="0" t="s">
        <v>3558</v>
      </c>
      <c r="AF248" s="0" t="n">
        <f aca="false">LEN(D248)+LEN(E248)+LEN(F248)+LEN(G248)+LEN(H248)+LEN(I248)+LEN(J248)+LEN(K248)+LEN(L248)+LEN(M248)+LEN(N248)+LEN(O248)+LEN(P248)</f>
        <v>47</v>
      </c>
    </row>
    <row r="249" customFormat="false" ht="15" hidden="false" customHeight="false" outlineLevel="0" collapsed="false">
      <c r="A249" s="0" t="s">
        <v>3562</v>
      </c>
      <c r="B249" s="0" t="n">
        <v>1926</v>
      </c>
      <c r="C249" s="0" t="s">
        <v>3563</v>
      </c>
      <c r="D249" s="0" t="s">
        <v>3564</v>
      </c>
      <c r="L249" s="0" t="s">
        <v>3565</v>
      </c>
      <c r="AF249" s="0" t="n">
        <f aca="false">LEN(D249)+LEN(E249)+LEN(F249)+LEN(G249)+LEN(H249)+LEN(I249)+LEN(J249)+LEN(K249)+LEN(L249)+LEN(M249)+LEN(N249)+LEN(O249)+LEN(P249)</f>
        <v>47</v>
      </c>
    </row>
    <row r="250" customFormat="false" ht="15" hidden="false" customHeight="false" outlineLevel="0" collapsed="false">
      <c r="A250" s="0" t="s">
        <v>3566</v>
      </c>
      <c r="B250" s="0" t="n">
        <v>1926</v>
      </c>
      <c r="C250" s="0" t="s">
        <v>3567</v>
      </c>
      <c r="D250" s="0" t="s">
        <v>3564</v>
      </c>
      <c r="L250" s="0" t="s">
        <v>3568</v>
      </c>
      <c r="M250" s="0" t="s">
        <v>3569</v>
      </c>
      <c r="N250" s="0" t="s">
        <v>323</v>
      </c>
      <c r="O250" s="0" t="s">
        <v>1600</v>
      </c>
      <c r="P250" s="0" t="s">
        <v>3570</v>
      </c>
      <c r="AA250" s="0" t="s">
        <v>29</v>
      </c>
      <c r="AC250" s="0" t="s">
        <v>29</v>
      </c>
      <c r="AF250" s="0" t="n">
        <f aca="false">LEN(D250)+LEN(E250)+LEN(F250)+LEN(G250)+LEN(H250)+LEN(I250)+LEN(J250)+LEN(K250)+LEN(L250)+LEN(M250)+LEN(N250)+LEN(O250)+LEN(P250)</f>
        <v>75</v>
      </c>
    </row>
    <row r="251" customFormat="false" ht="15" hidden="false" customHeight="false" outlineLevel="0" collapsed="false">
      <c r="A251" s="0" t="s">
        <v>3571</v>
      </c>
      <c r="B251" s="0" t="n">
        <v>1926</v>
      </c>
      <c r="C251" s="0" t="s">
        <v>3572</v>
      </c>
      <c r="D251" s="0" t="s">
        <v>3564</v>
      </c>
      <c r="L251" s="0" t="s">
        <v>3573</v>
      </c>
      <c r="Y251" s="0" t="s">
        <v>29</v>
      </c>
      <c r="AA251" s="0" t="s">
        <v>29</v>
      </c>
      <c r="AB251" s="0" t="s">
        <v>29</v>
      </c>
      <c r="AC251" s="0" t="s">
        <v>29</v>
      </c>
      <c r="AD251" s="0" t="s">
        <v>29</v>
      </c>
      <c r="AF251" s="0" t="n">
        <f aca="false">LEN(D251)+LEN(E251)+LEN(F251)+LEN(G251)+LEN(H251)+LEN(I251)+LEN(J251)+LEN(K251)+LEN(L251)+LEN(M251)+LEN(N251)+LEN(O251)+LEN(P251)</f>
        <v>50</v>
      </c>
    </row>
    <row r="252" customFormat="false" ht="15" hidden="false" customHeight="false" outlineLevel="0" collapsed="false">
      <c r="A252" s="0" t="s">
        <v>3574</v>
      </c>
      <c r="B252" s="0" t="n">
        <v>1926</v>
      </c>
      <c r="C252" s="0" t="s">
        <v>2882</v>
      </c>
      <c r="D252" s="0" t="s">
        <v>3575</v>
      </c>
      <c r="I252" s="0" t="s">
        <v>2884</v>
      </c>
      <c r="L252" s="0" t="s">
        <v>3558</v>
      </c>
      <c r="AF252" s="0" t="n">
        <f aca="false">LEN(D252)+LEN(E252)+LEN(F252)+LEN(G252)+LEN(H252)+LEN(I252)+LEN(J252)+LEN(K252)+LEN(L252)+LEN(M252)+LEN(N252)+LEN(O252)+LEN(P252)</f>
        <v>41</v>
      </c>
    </row>
    <row r="253" customFormat="false" ht="15" hidden="false" customHeight="false" outlineLevel="0" collapsed="false">
      <c r="A253" s="0" t="s">
        <v>3576</v>
      </c>
      <c r="B253" s="0" t="n">
        <v>1926</v>
      </c>
      <c r="C253" s="0" t="s">
        <v>3577</v>
      </c>
      <c r="D253" s="0" t="s">
        <v>3578</v>
      </c>
      <c r="L253" s="0" t="s">
        <v>3579</v>
      </c>
      <c r="Y253" s="0" t="s">
        <v>29</v>
      </c>
      <c r="AF253" s="0" t="n">
        <f aca="false">LEN(D253)+LEN(E253)+LEN(F253)+LEN(G253)+LEN(H253)+LEN(I253)+LEN(J253)+LEN(K253)+LEN(L253)+LEN(M253)+LEN(N253)+LEN(O253)+LEN(P253)</f>
        <v>63</v>
      </c>
    </row>
    <row r="254" customFormat="false" ht="15" hidden="false" customHeight="false" outlineLevel="0" collapsed="false">
      <c r="A254" s="0" t="s">
        <v>3580</v>
      </c>
      <c r="B254" s="0" t="n">
        <v>1926</v>
      </c>
      <c r="C254" s="0" t="s">
        <v>3581</v>
      </c>
      <c r="D254" s="0" t="s">
        <v>3582</v>
      </c>
      <c r="L254" s="0" t="s">
        <v>3583</v>
      </c>
      <c r="AF254" s="0" t="n">
        <f aca="false">LEN(D254)+LEN(E254)+LEN(F254)+LEN(G254)+LEN(H254)+LEN(I254)+LEN(J254)+LEN(K254)+LEN(L254)+LEN(M254)+LEN(N254)+LEN(O254)+LEN(P254)</f>
        <v>44</v>
      </c>
    </row>
    <row r="255" customFormat="false" ht="15" hidden="false" customHeight="false" outlineLevel="0" collapsed="false">
      <c r="A255" s="0" t="s">
        <v>3584</v>
      </c>
      <c r="B255" s="0" t="n">
        <v>1926</v>
      </c>
      <c r="C255" s="0" t="s">
        <v>3104</v>
      </c>
      <c r="D255" s="0" t="s">
        <v>3582</v>
      </c>
      <c r="J255" s="0" t="s">
        <v>3105</v>
      </c>
      <c r="L255" s="0" t="s">
        <v>3558</v>
      </c>
      <c r="AF255" s="0" t="n">
        <f aca="false">LEN(D255)+LEN(E255)+LEN(F255)+LEN(G255)+LEN(H255)+LEN(I255)+LEN(J255)+LEN(K255)+LEN(L255)+LEN(M255)+LEN(N255)+LEN(O255)+LEN(P255)</f>
        <v>70</v>
      </c>
    </row>
    <row r="256" customFormat="false" ht="15" hidden="false" customHeight="false" outlineLevel="0" collapsed="false">
      <c r="A256" s="0" t="s">
        <v>3584</v>
      </c>
      <c r="B256" s="0" t="n">
        <v>1926</v>
      </c>
      <c r="C256" s="0" t="s">
        <v>3104</v>
      </c>
      <c r="D256" s="0" t="s">
        <v>3582</v>
      </c>
      <c r="J256" s="0" t="s">
        <v>3105</v>
      </c>
      <c r="L256" s="0" t="s">
        <v>3558</v>
      </c>
      <c r="AF256" s="0" t="n">
        <f aca="false">LEN(D256)+LEN(E256)+LEN(F256)+LEN(G256)+LEN(H256)+LEN(I256)+LEN(J256)+LEN(K256)+LEN(L256)+LEN(M256)+LEN(N256)+LEN(O256)+LEN(P256)</f>
        <v>70</v>
      </c>
    </row>
    <row r="257" customFormat="false" ht="15" hidden="false" customHeight="false" outlineLevel="0" collapsed="false">
      <c r="A257" s="0" t="s">
        <v>3585</v>
      </c>
      <c r="B257" s="0" t="n">
        <v>1926</v>
      </c>
      <c r="C257" s="0" t="s">
        <v>3586</v>
      </c>
      <c r="D257" s="0" t="s">
        <v>3582</v>
      </c>
      <c r="L257" s="0" t="s">
        <v>3583</v>
      </c>
      <c r="M257" s="0" t="s">
        <v>3587</v>
      </c>
      <c r="N257" s="0" t="s">
        <v>3588</v>
      </c>
      <c r="P257" s="0" t="s">
        <v>3589</v>
      </c>
      <c r="AF257" s="0" t="n">
        <f aca="false">LEN(D257)+LEN(E257)+LEN(F257)+LEN(G257)+LEN(H257)+LEN(I257)+LEN(J257)+LEN(K257)+LEN(L257)+LEN(M257)+LEN(N257)+LEN(O257)+LEN(P257)</f>
        <v>63</v>
      </c>
    </row>
    <row r="258" customFormat="false" ht="15" hidden="false" customHeight="false" outlineLevel="0" collapsed="false">
      <c r="A258" s="0" t="s">
        <v>3590</v>
      </c>
      <c r="B258" s="0" t="n">
        <v>1926</v>
      </c>
      <c r="C258" s="0" t="s">
        <v>3591</v>
      </c>
      <c r="D258" s="0" t="s">
        <v>3592</v>
      </c>
      <c r="L258" s="0" t="s">
        <v>3593</v>
      </c>
      <c r="Y258" s="0" t="s">
        <v>29</v>
      </c>
      <c r="AF258" s="0" t="n">
        <f aca="false">LEN(D258)+LEN(E258)+LEN(F258)+LEN(G258)+LEN(H258)+LEN(I258)+LEN(J258)+LEN(K258)+LEN(L258)+LEN(M258)+LEN(N258)+LEN(O258)+LEN(P258)</f>
        <v>34</v>
      </c>
    </row>
    <row r="259" customFormat="false" ht="15" hidden="false" customHeight="false" outlineLevel="0" collapsed="false">
      <c r="A259" s="0" t="s">
        <v>3590</v>
      </c>
      <c r="B259" s="0" t="n">
        <v>1926</v>
      </c>
      <c r="C259" s="0" t="s">
        <v>3591</v>
      </c>
      <c r="D259" s="0" t="s">
        <v>3592</v>
      </c>
      <c r="L259" s="0" t="s">
        <v>3593</v>
      </c>
      <c r="Y259" s="0" t="s">
        <v>29</v>
      </c>
      <c r="AF259" s="0" t="n">
        <f aca="false">LEN(D259)+LEN(E259)+LEN(F259)+LEN(G259)+LEN(H259)+LEN(I259)+LEN(J259)+LEN(K259)+LEN(L259)+LEN(M259)+LEN(N259)+LEN(O259)+LEN(P259)</f>
        <v>34</v>
      </c>
    </row>
    <row r="260" customFormat="false" ht="15" hidden="false" customHeight="false" outlineLevel="0" collapsed="false">
      <c r="A260" s="0" t="s">
        <v>3594</v>
      </c>
      <c r="B260" s="0" t="n">
        <v>1926</v>
      </c>
      <c r="C260" s="0" t="s">
        <v>3595</v>
      </c>
      <c r="D260" s="0" t="s">
        <v>3592</v>
      </c>
      <c r="L260" s="0" t="s">
        <v>3596</v>
      </c>
      <c r="AF260" s="0" t="n">
        <f aca="false">LEN(D260)+LEN(E260)+LEN(F260)+LEN(G260)+LEN(H260)+LEN(I260)+LEN(J260)+LEN(K260)+LEN(L260)+LEN(M260)+LEN(N260)+LEN(O260)+LEN(P260)</f>
        <v>28</v>
      </c>
    </row>
    <row r="261" customFormat="false" ht="15" hidden="false" customHeight="false" outlineLevel="0" collapsed="false">
      <c r="A261" s="0" t="s">
        <v>3597</v>
      </c>
      <c r="B261" s="0" t="n">
        <v>1926</v>
      </c>
      <c r="C261" s="0" t="s">
        <v>3598</v>
      </c>
      <c r="D261" s="0" t="s">
        <v>3599</v>
      </c>
      <c r="L261" s="0" t="s">
        <v>3600</v>
      </c>
      <c r="AF261" s="0" t="n">
        <f aca="false">LEN(D261)+LEN(E261)+LEN(F261)+LEN(G261)+LEN(H261)+LEN(I261)+LEN(J261)+LEN(K261)+LEN(L261)+LEN(M261)+LEN(N261)+LEN(O261)+LEN(P261)</f>
        <v>45</v>
      </c>
    </row>
    <row r="262" customFormat="false" ht="15" hidden="false" customHeight="false" outlineLevel="0" collapsed="false">
      <c r="A262" s="0" t="s">
        <v>3601</v>
      </c>
      <c r="B262" s="0" t="n">
        <v>1926</v>
      </c>
      <c r="C262" s="0" t="s">
        <v>3602</v>
      </c>
      <c r="D262" s="0" t="s">
        <v>3599</v>
      </c>
      <c r="G262" s="0" t="s">
        <v>3602</v>
      </c>
      <c r="L262" s="0" t="s">
        <v>3603</v>
      </c>
      <c r="AF262" s="0" t="n">
        <f aca="false">LEN(D262)+LEN(E262)+LEN(F262)+LEN(G262)+LEN(H262)+LEN(I262)+LEN(J262)+LEN(K262)+LEN(L262)+LEN(M262)+LEN(N262)+LEN(O262)+LEN(P262)</f>
        <v>107</v>
      </c>
    </row>
    <row r="263" customFormat="false" ht="15" hidden="false" customHeight="false" outlineLevel="0" collapsed="false">
      <c r="A263" s="0" t="s">
        <v>3601</v>
      </c>
      <c r="B263" s="0" t="n">
        <v>1926</v>
      </c>
      <c r="C263" s="0" t="s">
        <v>3604</v>
      </c>
      <c r="D263" s="0" t="s">
        <v>3599</v>
      </c>
      <c r="F263" s="0" t="s">
        <v>3604</v>
      </c>
      <c r="L263" s="0" t="s">
        <v>3603</v>
      </c>
      <c r="AF263" s="0" t="n">
        <f aca="false">LEN(D263)+LEN(E263)+LEN(F263)+LEN(G263)+LEN(H263)+LEN(I263)+LEN(J263)+LEN(K263)+LEN(L263)+LEN(M263)+LEN(N263)+LEN(O263)+LEN(P263)</f>
        <v>46</v>
      </c>
    </row>
    <row r="264" customFormat="false" ht="15" hidden="false" customHeight="false" outlineLevel="0" collapsed="false">
      <c r="A264" s="0" t="s">
        <v>3605</v>
      </c>
      <c r="B264" s="0" t="n">
        <v>1926</v>
      </c>
      <c r="C264" s="0" t="s">
        <v>3606</v>
      </c>
      <c r="D264" s="0" t="s">
        <v>3599</v>
      </c>
      <c r="L264" s="0" t="s">
        <v>3607</v>
      </c>
      <c r="AF264" s="0" t="n">
        <f aca="false">LEN(D264)+LEN(E264)+LEN(F264)+LEN(G264)+LEN(H264)+LEN(I264)+LEN(J264)+LEN(K264)+LEN(L264)+LEN(M264)+LEN(N264)+LEN(O264)+LEN(P264)</f>
        <v>35</v>
      </c>
    </row>
    <row r="265" customFormat="false" ht="15" hidden="false" customHeight="false" outlineLevel="0" collapsed="false">
      <c r="A265" s="0" t="s">
        <v>3608</v>
      </c>
      <c r="B265" s="0" t="n">
        <v>1926</v>
      </c>
      <c r="C265" s="0" t="s">
        <v>3609</v>
      </c>
      <c r="D265" s="0" t="s">
        <v>3599</v>
      </c>
      <c r="L265" s="0" t="s">
        <v>3610</v>
      </c>
      <c r="M265" s="0" t="s">
        <v>3611</v>
      </c>
      <c r="N265" s="0" t="s">
        <v>2217</v>
      </c>
      <c r="P265" s="0" t="s">
        <v>3570</v>
      </c>
      <c r="AF265" s="0" t="n">
        <f aca="false">LEN(D265)+LEN(E265)+LEN(F265)+LEN(G265)+LEN(H265)+LEN(I265)+LEN(J265)+LEN(K265)+LEN(L265)+LEN(M265)+LEN(N265)+LEN(O265)+LEN(P265)</f>
        <v>56</v>
      </c>
    </row>
    <row r="266" customFormat="false" ht="15" hidden="false" customHeight="false" outlineLevel="0" collapsed="false">
      <c r="A266" s="0" t="s">
        <v>3612</v>
      </c>
      <c r="B266" s="0" t="n">
        <v>1926</v>
      </c>
      <c r="C266" s="0" t="s">
        <v>3613</v>
      </c>
      <c r="D266" s="0" t="s">
        <v>3599</v>
      </c>
      <c r="L266" s="0" t="s">
        <v>3603</v>
      </c>
      <c r="AA266" s="0" t="s">
        <v>29</v>
      </c>
      <c r="AB266" s="0" t="s">
        <v>29</v>
      </c>
      <c r="AC266" s="0" t="s">
        <v>29</v>
      </c>
      <c r="AD266" s="0" t="s">
        <v>29</v>
      </c>
      <c r="AF266" s="0" t="n">
        <f aca="false">LEN(D266)+LEN(E266)+LEN(F266)+LEN(G266)+LEN(H266)+LEN(I266)+LEN(J266)+LEN(K266)+LEN(L266)+LEN(M266)+LEN(N266)+LEN(O266)+LEN(P266)</f>
        <v>30</v>
      </c>
    </row>
    <row r="267" customFormat="false" ht="15" hidden="false" customHeight="false" outlineLevel="0" collapsed="false">
      <c r="A267" s="0" t="s">
        <v>3614</v>
      </c>
      <c r="B267" s="0" t="n">
        <v>1926</v>
      </c>
      <c r="C267" s="0" t="s">
        <v>3615</v>
      </c>
      <c r="D267" s="0" t="s">
        <v>3616</v>
      </c>
      <c r="L267" s="0" t="s">
        <v>2854</v>
      </c>
      <c r="AF267" s="0" t="n">
        <f aca="false">LEN(D267)+LEN(E267)+LEN(F267)+LEN(G267)+LEN(H267)+LEN(I267)+LEN(J267)+LEN(K267)+LEN(L267)+LEN(M267)+LEN(N267)+LEN(O267)+LEN(P267)</f>
        <v>31</v>
      </c>
    </row>
    <row r="268" customFormat="false" ht="15" hidden="false" customHeight="false" outlineLevel="0" collapsed="false">
      <c r="A268" s="0" t="s">
        <v>3617</v>
      </c>
      <c r="B268" s="0" t="n">
        <v>1926</v>
      </c>
      <c r="C268" s="0" t="s">
        <v>3618</v>
      </c>
      <c r="D268" s="0" t="s">
        <v>3619</v>
      </c>
      <c r="K268" s="0" t="s">
        <v>3618</v>
      </c>
      <c r="L268" s="0" t="s">
        <v>3603</v>
      </c>
      <c r="AF268" s="0" t="n">
        <f aca="false">LEN(D268)+LEN(E268)+LEN(F268)+LEN(G268)+LEN(H268)+LEN(I268)+LEN(J268)+LEN(K268)+LEN(L268)+LEN(M268)+LEN(N268)+LEN(O268)+LEN(P268)</f>
        <v>49</v>
      </c>
    </row>
    <row r="269" customFormat="false" ht="15" hidden="false" customHeight="false" outlineLevel="0" collapsed="false">
      <c r="A269" s="0" t="s">
        <v>3620</v>
      </c>
      <c r="B269" s="0" t="n">
        <v>1926</v>
      </c>
      <c r="C269" s="0" t="s">
        <v>3621</v>
      </c>
      <c r="D269" s="0" t="s">
        <v>3619</v>
      </c>
      <c r="L269" s="0" t="s">
        <v>2854</v>
      </c>
      <c r="M269" s="0" t="s">
        <v>2855</v>
      </c>
      <c r="N269" s="0" t="s">
        <v>2856</v>
      </c>
      <c r="P269" s="0" t="s">
        <v>3589</v>
      </c>
      <c r="AA269" s="0" t="s">
        <v>29</v>
      </c>
      <c r="AC269" s="0" t="s">
        <v>29</v>
      </c>
      <c r="AF269" s="0" t="n">
        <f aca="false">LEN(D269)+LEN(E269)+LEN(F269)+LEN(G269)+LEN(H269)+LEN(I269)+LEN(J269)+LEN(K269)+LEN(L269)+LEN(M269)+LEN(N269)+LEN(O269)+LEN(P269)</f>
        <v>55</v>
      </c>
    </row>
    <row r="270" customFormat="false" ht="15" hidden="false" customHeight="false" outlineLevel="0" collapsed="false">
      <c r="A270" s="0" t="s">
        <v>3622</v>
      </c>
      <c r="B270" s="0" t="n">
        <v>1926</v>
      </c>
      <c r="C270" s="0" t="s">
        <v>3623</v>
      </c>
      <c r="D270" s="0" t="s">
        <v>3624</v>
      </c>
      <c r="F270" s="0" t="s">
        <v>3623</v>
      </c>
      <c r="L270" s="0" t="s">
        <v>3603</v>
      </c>
      <c r="AF270" s="0" t="n">
        <f aca="false">LEN(D270)+LEN(E270)+LEN(F270)+LEN(G270)+LEN(H270)+LEN(I270)+LEN(J270)+LEN(K270)+LEN(L270)+LEN(M270)+LEN(N270)+LEN(O270)+LEN(P270)</f>
        <v>53</v>
      </c>
    </row>
    <row r="271" customFormat="false" ht="15" hidden="false" customHeight="false" outlineLevel="0" collapsed="false">
      <c r="A271" s="0" t="s">
        <v>3625</v>
      </c>
      <c r="B271" s="0" t="n">
        <v>1926</v>
      </c>
      <c r="C271" s="0" t="s">
        <v>3626</v>
      </c>
      <c r="D271" s="0" t="s">
        <v>3624</v>
      </c>
      <c r="L271" s="0" t="s">
        <v>3627</v>
      </c>
      <c r="M271" s="0" t="s">
        <v>3587</v>
      </c>
      <c r="N271" s="0" t="s">
        <v>1728</v>
      </c>
      <c r="P271" s="0" t="s">
        <v>2788</v>
      </c>
      <c r="AC271" s="0" t="s">
        <v>29</v>
      </c>
      <c r="AF271" s="0" t="n">
        <f aca="false">LEN(D271)+LEN(E271)+LEN(F271)+LEN(G271)+LEN(H271)+LEN(I271)+LEN(J271)+LEN(K271)+LEN(L271)+LEN(M271)+LEN(N271)+LEN(O271)+LEN(P271)</f>
        <v>72</v>
      </c>
    </row>
    <row r="272" customFormat="false" ht="15" hidden="false" customHeight="false" outlineLevel="0" collapsed="false">
      <c r="A272" s="0" t="s">
        <v>3628</v>
      </c>
      <c r="B272" s="0" t="n">
        <v>1926</v>
      </c>
      <c r="C272" s="0" t="s">
        <v>3629</v>
      </c>
      <c r="D272" s="0" t="s">
        <v>3630</v>
      </c>
      <c r="L272" s="0" t="s">
        <v>3631</v>
      </c>
      <c r="AF272" s="0" t="n">
        <f aca="false">LEN(D272)+LEN(E272)+LEN(F272)+LEN(G272)+LEN(H272)+LEN(I272)+LEN(J272)+LEN(K272)+LEN(L272)+LEN(M272)+LEN(N272)+LEN(O272)+LEN(P272)</f>
        <v>42</v>
      </c>
    </row>
    <row r="273" customFormat="false" ht="15" hidden="false" customHeight="false" outlineLevel="0" collapsed="false">
      <c r="A273" s="0" t="s">
        <v>3632</v>
      </c>
      <c r="B273" s="0" t="n">
        <v>1926</v>
      </c>
      <c r="C273" s="0" t="s">
        <v>3633</v>
      </c>
      <c r="D273" s="0" t="s">
        <v>3630</v>
      </c>
      <c r="L273" s="0" t="s">
        <v>2854</v>
      </c>
      <c r="AF273" s="0" t="n">
        <f aca="false">LEN(D273)+LEN(E273)+LEN(F273)+LEN(G273)+LEN(H273)+LEN(I273)+LEN(J273)+LEN(K273)+LEN(L273)+LEN(M273)+LEN(N273)+LEN(O273)+LEN(P273)</f>
        <v>36</v>
      </c>
    </row>
    <row r="274" customFormat="false" ht="15" hidden="false" customHeight="false" outlineLevel="0" collapsed="false">
      <c r="A274" s="0" t="s">
        <v>3634</v>
      </c>
      <c r="B274" s="0" t="n">
        <v>1926</v>
      </c>
      <c r="C274" s="0" t="s">
        <v>3635</v>
      </c>
      <c r="D274" s="0" t="s">
        <v>3630</v>
      </c>
      <c r="L274" s="0" t="s">
        <v>2864</v>
      </c>
      <c r="M274" s="0" t="s">
        <v>3636</v>
      </c>
      <c r="N274" s="0" t="s">
        <v>69</v>
      </c>
      <c r="P274" s="0" t="s">
        <v>3570</v>
      </c>
      <c r="AA274" s="0" t="s">
        <v>29</v>
      </c>
      <c r="AC274" s="0" t="s">
        <v>29</v>
      </c>
      <c r="AF274" s="0" t="n">
        <f aca="false">LEN(D274)+LEN(E274)+LEN(F274)+LEN(G274)+LEN(H274)+LEN(I274)+LEN(J274)+LEN(K274)+LEN(L274)+LEN(M274)+LEN(N274)+LEN(O274)+LEN(P274)</f>
        <v>49</v>
      </c>
    </row>
    <row r="275" customFormat="false" ht="15" hidden="false" customHeight="false" outlineLevel="0" collapsed="false">
      <c r="A275" s="0" t="s">
        <v>3637</v>
      </c>
      <c r="B275" s="0" t="n">
        <v>1926</v>
      </c>
      <c r="C275" s="0" t="s">
        <v>3638</v>
      </c>
      <c r="D275" s="0" t="s">
        <v>3630</v>
      </c>
      <c r="L275" s="0" t="s">
        <v>2854</v>
      </c>
      <c r="M275" s="0" t="s">
        <v>3639</v>
      </c>
      <c r="N275" s="0" t="s">
        <v>962</v>
      </c>
      <c r="P275" s="0" t="s">
        <v>882</v>
      </c>
      <c r="AA275" s="0" t="s">
        <v>29</v>
      </c>
      <c r="AC275" s="0" t="s">
        <v>29</v>
      </c>
      <c r="AF275" s="0" t="n">
        <f aca="false">LEN(D275)+LEN(E275)+LEN(F275)+LEN(G275)+LEN(H275)+LEN(I275)+LEN(J275)+LEN(K275)+LEN(L275)+LEN(M275)+LEN(N275)+LEN(O275)+LEN(P275)</f>
        <v>49</v>
      </c>
    </row>
    <row r="276" customFormat="false" ht="15" hidden="false" customHeight="false" outlineLevel="0" collapsed="false">
      <c r="A276" s="0" t="s">
        <v>3640</v>
      </c>
      <c r="B276" s="0" t="n">
        <v>1926</v>
      </c>
      <c r="C276" s="0" t="s">
        <v>3641</v>
      </c>
      <c r="D276" s="0" t="s">
        <v>3630</v>
      </c>
      <c r="L276" s="0" t="s">
        <v>2854</v>
      </c>
      <c r="M276" s="0" t="s">
        <v>1266</v>
      </c>
      <c r="N276" s="0" t="s">
        <v>1635</v>
      </c>
      <c r="O276" s="0" t="s">
        <v>3642</v>
      </c>
      <c r="P276" s="0" t="s">
        <v>3086</v>
      </c>
      <c r="AC276" s="0" t="s">
        <v>29</v>
      </c>
      <c r="AF276" s="0" t="n">
        <f aca="false">LEN(D276)+LEN(E276)+LEN(F276)+LEN(G276)+LEN(H276)+LEN(I276)+LEN(J276)+LEN(K276)+LEN(L276)+LEN(M276)+LEN(N276)+LEN(O276)+LEN(P276)</f>
        <v>58</v>
      </c>
    </row>
    <row r="277" customFormat="false" ht="15" hidden="false" customHeight="false" outlineLevel="0" collapsed="false">
      <c r="A277" s="0" t="s">
        <v>3643</v>
      </c>
      <c r="B277" s="0" t="n">
        <v>1926</v>
      </c>
      <c r="C277" s="0" t="s">
        <v>3351</v>
      </c>
      <c r="D277" s="0" t="s">
        <v>3644</v>
      </c>
      <c r="L277" s="0" t="s">
        <v>3603</v>
      </c>
      <c r="R277" s="0" t="s">
        <v>29</v>
      </c>
      <c r="AF277" s="0" t="n">
        <f aca="false">LEN(D277)+LEN(E277)+LEN(F277)+LEN(G277)+LEN(H277)+LEN(I277)+LEN(J277)+LEN(K277)+LEN(L277)+LEN(M277)+LEN(N277)+LEN(O277)+LEN(P277)</f>
        <v>39</v>
      </c>
    </row>
    <row r="278" customFormat="false" ht="15" hidden="false" customHeight="false" outlineLevel="0" collapsed="false">
      <c r="A278" s="0" t="s">
        <v>3645</v>
      </c>
      <c r="B278" s="0" t="n">
        <v>1926</v>
      </c>
      <c r="C278" s="0" t="s">
        <v>3646</v>
      </c>
      <c r="D278" s="0" t="s">
        <v>3644</v>
      </c>
      <c r="J278" s="0" t="s">
        <v>3647</v>
      </c>
      <c r="L278" s="0" t="s">
        <v>3603</v>
      </c>
      <c r="AF278" s="0" t="n">
        <f aca="false">LEN(D278)+LEN(E278)+LEN(F278)+LEN(G278)+LEN(H278)+LEN(I278)+LEN(J278)+LEN(K278)+LEN(L278)+LEN(M278)+LEN(N278)+LEN(O278)+LEN(P278)</f>
        <v>62</v>
      </c>
    </row>
    <row r="279" customFormat="false" ht="15" hidden="false" customHeight="false" outlineLevel="0" collapsed="false">
      <c r="A279" s="0" t="s">
        <v>3648</v>
      </c>
      <c r="B279" s="0" t="n">
        <v>1926</v>
      </c>
      <c r="C279" s="0" t="s">
        <v>3649</v>
      </c>
      <c r="D279" s="0" t="s">
        <v>3650</v>
      </c>
      <c r="L279" s="0" t="s">
        <v>3603</v>
      </c>
      <c r="R279" s="0" t="s">
        <v>29</v>
      </c>
      <c r="AF279" s="0" t="n">
        <f aca="false">LEN(D279)+LEN(E279)+LEN(F279)+LEN(G279)+LEN(H279)+LEN(I279)+LEN(J279)+LEN(K279)+LEN(L279)+LEN(M279)+LEN(N279)+LEN(O279)+LEN(P279)</f>
        <v>47</v>
      </c>
    </row>
    <row r="280" customFormat="false" ht="15" hidden="false" customHeight="false" outlineLevel="0" collapsed="false">
      <c r="A280" s="0" t="s">
        <v>3648</v>
      </c>
      <c r="B280" s="0" t="n">
        <v>1926</v>
      </c>
      <c r="C280" s="0" t="s">
        <v>3649</v>
      </c>
      <c r="D280" s="0" t="s">
        <v>3650</v>
      </c>
      <c r="L280" s="0" t="s">
        <v>3603</v>
      </c>
      <c r="R280" s="0" t="s">
        <v>29</v>
      </c>
      <c r="AF280" s="0" t="n">
        <f aca="false">LEN(D280)+LEN(E280)+LEN(F280)+LEN(G280)+LEN(H280)+LEN(I280)+LEN(J280)+LEN(K280)+LEN(L280)+LEN(M280)+LEN(N280)+LEN(O280)+LEN(P280)</f>
        <v>47</v>
      </c>
    </row>
    <row r="281" customFormat="false" ht="15" hidden="false" customHeight="false" outlineLevel="0" collapsed="false">
      <c r="A281" s="0" t="s">
        <v>3651</v>
      </c>
      <c r="B281" s="0" t="n">
        <v>1926</v>
      </c>
      <c r="C281" s="0" t="s">
        <v>3652</v>
      </c>
      <c r="D281" s="0" t="s">
        <v>3650</v>
      </c>
      <c r="L281" s="0" t="s">
        <v>3607</v>
      </c>
      <c r="AF281" s="0" t="n">
        <f aca="false">LEN(D281)+LEN(E281)+LEN(F281)+LEN(G281)+LEN(H281)+LEN(I281)+LEN(J281)+LEN(K281)+LEN(L281)+LEN(M281)+LEN(N281)+LEN(O281)+LEN(P281)</f>
        <v>52</v>
      </c>
    </row>
    <row r="282" customFormat="false" ht="15" hidden="false" customHeight="false" outlineLevel="0" collapsed="false">
      <c r="A282" s="0" t="s">
        <v>3653</v>
      </c>
      <c r="B282" s="0" t="n">
        <v>1926</v>
      </c>
      <c r="C282" s="0" t="s">
        <v>3654</v>
      </c>
      <c r="D282" s="0" t="s">
        <v>3650</v>
      </c>
      <c r="L282" s="0" t="s">
        <v>3607</v>
      </c>
      <c r="M282" s="0" t="s">
        <v>3655</v>
      </c>
      <c r="N282" s="0" t="s">
        <v>1356</v>
      </c>
      <c r="P282" s="0" t="s">
        <v>3656</v>
      </c>
      <c r="AC282" s="0" t="s">
        <v>29</v>
      </c>
      <c r="AF282" s="0" t="n">
        <f aca="false">LEN(D282)+LEN(E282)+LEN(F282)+LEN(G282)+LEN(H282)+LEN(I282)+LEN(J282)+LEN(K282)+LEN(L282)+LEN(M282)+LEN(N282)+LEN(O282)+LEN(P282)</f>
        <v>79</v>
      </c>
    </row>
    <row r="283" customFormat="false" ht="15" hidden="false" customHeight="false" outlineLevel="0" collapsed="false">
      <c r="A283" s="0" t="s">
        <v>3657</v>
      </c>
      <c r="B283" s="0" t="n">
        <v>1926</v>
      </c>
      <c r="C283" s="0" t="s">
        <v>3623</v>
      </c>
      <c r="D283" s="0" t="s">
        <v>3658</v>
      </c>
      <c r="F283" s="0" t="s">
        <v>3623</v>
      </c>
      <c r="L283" s="0" t="s">
        <v>3603</v>
      </c>
      <c r="AF283" s="0" t="n">
        <f aca="false">LEN(D283)+LEN(E283)+LEN(F283)+LEN(G283)+LEN(H283)+LEN(I283)+LEN(J283)+LEN(K283)+LEN(L283)+LEN(M283)+LEN(N283)+LEN(O283)+LEN(P283)</f>
        <v>30</v>
      </c>
    </row>
    <row r="284" customFormat="false" ht="15" hidden="false" customHeight="false" outlineLevel="0" collapsed="false">
      <c r="A284" s="0" t="s">
        <v>3659</v>
      </c>
      <c r="B284" s="0" t="n">
        <v>1926</v>
      </c>
      <c r="C284" s="0" t="s">
        <v>3660</v>
      </c>
      <c r="D284" s="0" t="s">
        <v>3658</v>
      </c>
      <c r="L284" s="0" t="s">
        <v>3627</v>
      </c>
      <c r="M284" s="0" t="s">
        <v>3661</v>
      </c>
      <c r="N284" s="0" t="s">
        <v>3662</v>
      </c>
      <c r="P284" s="0" t="s">
        <v>3490</v>
      </c>
      <c r="AA284" s="0" t="s">
        <v>29</v>
      </c>
      <c r="AC284" s="0" t="s">
        <v>29</v>
      </c>
      <c r="AF284" s="0" t="n">
        <f aca="false">LEN(D284)+LEN(E284)+LEN(F284)+LEN(G284)+LEN(H284)+LEN(I284)+LEN(J284)+LEN(K284)+LEN(L284)+LEN(M284)+LEN(N284)+LEN(O284)+LEN(P284)</f>
        <v>56</v>
      </c>
    </row>
    <row r="285" customFormat="false" ht="15" hidden="false" customHeight="false" outlineLevel="0" collapsed="false">
      <c r="A285" s="0" t="s">
        <v>3663</v>
      </c>
      <c r="B285" s="0" t="n">
        <v>1926</v>
      </c>
      <c r="C285" s="0" t="s">
        <v>3664</v>
      </c>
      <c r="D285" s="0" t="s">
        <v>3658</v>
      </c>
      <c r="L285" s="0" t="s">
        <v>3627</v>
      </c>
      <c r="M285" s="0" t="s">
        <v>3665</v>
      </c>
      <c r="N285" s="0" t="s">
        <v>563</v>
      </c>
      <c r="P285" s="0" t="s">
        <v>2907</v>
      </c>
      <c r="AA285" s="0" t="s">
        <v>29</v>
      </c>
      <c r="AC285" s="0" t="s">
        <v>29</v>
      </c>
      <c r="AF285" s="0" t="n">
        <f aca="false">LEN(D285)+LEN(E285)+LEN(F285)+LEN(G285)+LEN(H285)+LEN(I285)+LEN(J285)+LEN(K285)+LEN(L285)+LEN(M285)+LEN(N285)+LEN(O285)+LEN(P285)</f>
        <v>53</v>
      </c>
    </row>
    <row r="286" customFormat="false" ht="15" hidden="false" customHeight="false" outlineLevel="0" collapsed="false">
      <c r="A286" s="0" t="s">
        <v>3666</v>
      </c>
      <c r="B286" s="0" t="n">
        <v>1926</v>
      </c>
      <c r="C286" s="0" t="s">
        <v>3667</v>
      </c>
      <c r="D286" s="0" t="s">
        <v>3668</v>
      </c>
      <c r="L286" s="0" t="s">
        <v>3669</v>
      </c>
      <c r="AF286" s="0" t="n">
        <f aca="false">LEN(D286)+LEN(E286)+LEN(F286)+LEN(G286)+LEN(H286)+LEN(I286)+LEN(J286)+LEN(K286)+LEN(L286)+LEN(M286)+LEN(N286)+LEN(O286)+LEN(P286)</f>
        <v>38</v>
      </c>
    </row>
    <row r="287" customFormat="false" ht="15" hidden="false" customHeight="false" outlineLevel="0" collapsed="false">
      <c r="A287" s="0" t="s">
        <v>3670</v>
      </c>
      <c r="B287" s="0" t="n">
        <v>1926</v>
      </c>
      <c r="C287" s="0" t="s">
        <v>3671</v>
      </c>
      <c r="D287" s="0" t="s">
        <v>3672</v>
      </c>
      <c r="K287" s="0" t="s">
        <v>3671</v>
      </c>
      <c r="L287" s="0" t="s">
        <v>195</v>
      </c>
      <c r="AF287" s="0" t="n">
        <f aca="false">LEN(D287)+LEN(E287)+LEN(F287)+LEN(G287)+LEN(H287)+LEN(I287)+LEN(J287)+LEN(K287)+LEN(L287)+LEN(M287)+LEN(N287)+LEN(O287)+LEN(P287)</f>
        <v>71</v>
      </c>
    </row>
    <row r="288" customFormat="false" ht="15" hidden="false" customHeight="false" outlineLevel="0" collapsed="false">
      <c r="A288" s="0" t="s">
        <v>3673</v>
      </c>
      <c r="B288" s="0" t="n">
        <v>1926</v>
      </c>
      <c r="C288" s="0" t="s">
        <v>3674</v>
      </c>
      <c r="D288" s="0" t="s">
        <v>3672</v>
      </c>
      <c r="G288" s="0" t="s">
        <v>3674</v>
      </c>
      <c r="L288" s="0" t="s">
        <v>195</v>
      </c>
      <c r="AF288" s="0" t="n">
        <f aca="false">LEN(D288)+LEN(E288)+LEN(F288)+LEN(G288)+LEN(H288)+LEN(I288)+LEN(J288)+LEN(K288)+LEN(L288)+LEN(M288)+LEN(N288)+LEN(O288)+LEN(P288)</f>
        <v>88</v>
      </c>
    </row>
    <row r="289" customFormat="false" ht="15" hidden="false" customHeight="false" outlineLevel="0" collapsed="false">
      <c r="A289" s="0" t="s">
        <v>3673</v>
      </c>
      <c r="B289" s="0" t="n">
        <v>1926</v>
      </c>
      <c r="C289" s="0" t="s">
        <v>3674</v>
      </c>
      <c r="D289" s="0" t="s">
        <v>3672</v>
      </c>
      <c r="G289" s="0" t="s">
        <v>3674</v>
      </c>
      <c r="L289" s="0" t="s">
        <v>195</v>
      </c>
      <c r="AF289" s="0" t="n">
        <f aca="false">LEN(D289)+LEN(E289)+LEN(F289)+LEN(G289)+LEN(H289)+LEN(I289)+LEN(J289)+LEN(K289)+LEN(L289)+LEN(M289)+LEN(N289)+LEN(O289)+LEN(P289)</f>
        <v>88</v>
      </c>
    </row>
    <row r="290" customFormat="false" ht="15" hidden="false" customHeight="false" outlineLevel="0" collapsed="false">
      <c r="A290" s="0" t="s">
        <v>3675</v>
      </c>
      <c r="B290" s="0" t="n">
        <v>1926</v>
      </c>
      <c r="C290" s="0" t="s">
        <v>3676</v>
      </c>
      <c r="D290" s="0" t="s">
        <v>3672</v>
      </c>
      <c r="L290" s="0" t="s">
        <v>195</v>
      </c>
      <c r="AA290" s="0" t="s">
        <v>29</v>
      </c>
      <c r="AB290" s="0" t="s">
        <v>29</v>
      </c>
      <c r="AC290" s="0" t="s">
        <v>29</v>
      </c>
      <c r="AD290" s="0" t="s">
        <v>29</v>
      </c>
      <c r="AF290" s="0" t="n">
        <f aca="false">LEN(D290)+LEN(E290)+LEN(F290)+LEN(G290)+LEN(H290)+LEN(I290)+LEN(J290)+LEN(K290)+LEN(L290)+LEN(M290)+LEN(N290)+LEN(O290)+LEN(P290)</f>
        <v>50</v>
      </c>
    </row>
    <row r="291" customFormat="false" ht="15" hidden="false" customHeight="false" outlineLevel="0" collapsed="false">
      <c r="A291" s="0" t="s">
        <v>3677</v>
      </c>
      <c r="B291" s="0" t="n">
        <v>1926</v>
      </c>
      <c r="C291" s="0" t="s">
        <v>3678</v>
      </c>
      <c r="D291" s="0" t="s">
        <v>3672</v>
      </c>
      <c r="L291" s="0" t="s">
        <v>3679</v>
      </c>
      <c r="M291" s="0" t="s">
        <v>3680</v>
      </c>
      <c r="N291" s="0" t="s">
        <v>385</v>
      </c>
      <c r="P291" s="0" t="s">
        <v>3681</v>
      </c>
      <c r="AA291" s="0" t="s">
        <v>29</v>
      </c>
      <c r="AC291" s="0" t="s">
        <v>29</v>
      </c>
      <c r="AF291" s="0" t="n">
        <f aca="false">LEN(D291)+LEN(E291)+LEN(F291)+LEN(G291)+LEN(H291)+LEN(I291)+LEN(J291)+LEN(K291)+LEN(L291)+LEN(M291)+LEN(N291)+LEN(O291)+LEN(P291)</f>
        <v>91</v>
      </c>
    </row>
    <row r="292" customFormat="false" ht="15" hidden="false" customHeight="false" outlineLevel="0" collapsed="false">
      <c r="A292" s="0" t="s">
        <v>3682</v>
      </c>
      <c r="B292" s="0" t="n">
        <v>1926</v>
      </c>
      <c r="C292" s="0" t="s">
        <v>3683</v>
      </c>
      <c r="D292" s="0" t="s">
        <v>3672</v>
      </c>
      <c r="L292" s="0" t="s">
        <v>3684</v>
      </c>
      <c r="M292" s="0" t="s">
        <v>3685</v>
      </c>
      <c r="N292" s="0" t="s">
        <v>385</v>
      </c>
      <c r="P292" s="0" t="s">
        <v>3686</v>
      </c>
      <c r="AC292" s="0" t="s">
        <v>29</v>
      </c>
      <c r="AF292" s="0" t="n">
        <f aca="false">LEN(D292)+LEN(E292)+LEN(F292)+LEN(G292)+LEN(H292)+LEN(I292)+LEN(J292)+LEN(K292)+LEN(L292)+LEN(M292)+LEN(N292)+LEN(O292)+LEN(P292)</f>
        <v>77</v>
      </c>
    </row>
    <row r="293" customFormat="false" ht="15" hidden="false" customHeight="false" outlineLevel="0" collapsed="false">
      <c r="A293" s="0" t="s">
        <v>3682</v>
      </c>
      <c r="B293" s="0" t="n">
        <v>1926</v>
      </c>
      <c r="C293" s="0" t="s">
        <v>3683</v>
      </c>
      <c r="D293" s="0" t="s">
        <v>3672</v>
      </c>
      <c r="L293" s="0" t="s">
        <v>3684</v>
      </c>
      <c r="M293" s="0" t="s">
        <v>3685</v>
      </c>
      <c r="N293" s="0" t="s">
        <v>385</v>
      </c>
      <c r="P293" s="0" t="s">
        <v>3686</v>
      </c>
      <c r="AC293" s="0" t="s">
        <v>29</v>
      </c>
      <c r="AF293" s="0" t="n">
        <f aca="false">LEN(D293)+LEN(E293)+LEN(F293)+LEN(G293)+LEN(H293)+LEN(I293)+LEN(J293)+LEN(K293)+LEN(L293)+LEN(M293)+LEN(N293)+LEN(O293)+LEN(P293)</f>
        <v>77</v>
      </c>
    </row>
    <row r="294" customFormat="false" ht="15" hidden="false" customHeight="false" outlineLevel="0" collapsed="false">
      <c r="A294" s="0" t="s">
        <v>3682</v>
      </c>
      <c r="B294" s="0" t="n">
        <v>1926</v>
      </c>
      <c r="C294" s="0" t="s">
        <v>3683</v>
      </c>
      <c r="D294" s="0" t="s">
        <v>3672</v>
      </c>
      <c r="L294" s="0" t="s">
        <v>3684</v>
      </c>
      <c r="M294" s="0" t="s">
        <v>3685</v>
      </c>
      <c r="N294" s="0" t="s">
        <v>385</v>
      </c>
      <c r="P294" s="0" t="s">
        <v>3686</v>
      </c>
      <c r="AC294" s="0" t="s">
        <v>29</v>
      </c>
      <c r="AF294" s="0" t="n">
        <f aca="false">LEN(D294)+LEN(E294)+LEN(F294)+LEN(G294)+LEN(H294)+LEN(I294)+LEN(J294)+LEN(K294)+LEN(L294)+LEN(M294)+LEN(N294)+LEN(O294)+LEN(P294)</f>
        <v>77</v>
      </c>
    </row>
    <row r="295" customFormat="false" ht="15" hidden="false" customHeight="false" outlineLevel="0" collapsed="false">
      <c r="A295" s="0" t="s">
        <v>3687</v>
      </c>
      <c r="B295" s="0" t="n">
        <v>1926</v>
      </c>
      <c r="C295" s="0" t="s">
        <v>3688</v>
      </c>
      <c r="D295" s="0" t="s">
        <v>3689</v>
      </c>
      <c r="K295" s="0" t="s">
        <v>3688</v>
      </c>
      <c r="L295" s="0" t="s">
        <v>195</v>
      </c>
      <c r="AF295" s="0" t="n">
        <f aca="false">LEN(D295)+LEN(E295)+LEN(F295)+LEN(G295)+LEN(H295)+LEN(I295)+LEN(J295)+LEN(K295)+LEN(L295)+LEN(M295)+LEN(N295)+LEN(O295)+LEN(P295)</f>
        <v>54</v>
      </c>
    </row>
    <row r="296" customFormat="false" ht="15" hidden="false" customHeight="false" outlineLevel="0" collapsed="false">
      <c r="A296" s="0" t="s">
        <v>3690</v>
      </c>
      <c r="B296" s="0" t="n">
        <v>1926</v>
      </c>
      <c r="C296" s="0" t="s">
        <v>3691</v>
      </c>
      <c r="D296" s="0" t="s">
        <v>3689</v>
      </c>
      <c r="L296" s="0" t="s">
        <v>3692</v>
      </c>
      <c r="M296" s="0" t="s">
        <v>3693</v>
      </c>
      <c r="N296" s="0" t="s">
        <v>3694</v>
      </c>
      <c r="P296" s="0" t="s">
        <v>1392</v>
      </c>
      <c r="AA296" s="0" t="s">
        <v>29</v>
      </c>
      <c r="AF296" s="0" t="n">
        <f aca="false">LEN(D296)+LEN(E296)+LEN(F296)+LEN(G296)+LEN(H296)+LEN(I296)+LEN(J296)+LEN(K296)+LEN(L296)+LEN(M296)+LEN(N296)+LEN(O296)+LEN(P296)</f>
        <v>55</v>
      </c>
    </row>
    <row r="297" customFormat="false" ht="15" hidden="false" customHeight="false" outlineLevel="0" collapsed="false">
      <c r="A297" s="0" t="s">
        <v>3695</v>
      </c>
      <c r="B297" s="0" t="n">
        <v>1926</v>
      </c>
      <c r="C297" s="0" t="s">
        <v>3696</v>
      </c>
      <c r="D297" s="0" t="s">
        <v>3697</v>
      </c>
      <c r="L297" s="0" t="s">
        <v>3075</v>
      </c>
      <c r="M297" s="0" t="s">
        <v>3698</v>
      </c>
      <c r="N297" s="0" t="s">
        <v>394</v>
      </c>
      <c r="P297" s="0" t="s">
        <v>2819</v>
      </c>
      <c r="AA297" s="0" t="s">
        <v>29</v>
      </c>
      <c r="AC297" s="0" t="s">
        <v>29</v>
      </c>
      <c r="AF297" s="0" t="n">
        <f aca="false">LEN(D297)+LEN(E297)+LEN(F297)+LEN(G297)+LEN(H297)+LEN(I297)+LEN(J297)+LEN(K297)+LEN(L297)+LEN(M297)+LEN(N297)+LEN(O297)+LEN(P297)</f>
        <v>58</v>
      </c>
    </row>
    <row r="298" customFormat="false" ht="15" hidden="false" customHeight="false" outlineLevel="0" collapsed="false">
      <c r="A298" s="0" t="s">
        <v>3699</v>
      </c>
      <c r="B298" s="0" t="n">
        <v>1926</v>
      </c>
      <c r="C298" s="0" t="s">
        <v>2828</v>
      </c>
      <c r="D298" s="0" t="s">
        <v>3700</v>
      </c>
      <c r="F298" s="0" t="s">
        <v>2828</v>
      </c>
      <c r="L298" s="0" t="s">
        <v>195</v>
      </c>
      <c r="AF298" s="0" t="n">
        <f aca="false">LEN(D298)+LEN(E298)+LEN(F298)+LEN(G298)+LEN(H298)+LEN(I298)+LEN(J298)+LEN(K298)+LEN(L298)+LEN(M298)+LEN(N298)+LEN(O298)+LEN(P298)</f>
        <v>52</v>
      </c>
    </row>
    <row r="299" customFormat="false" ht="15" hidden="false" customHeight="false" outlineLevel="0" collapsed="false">
      <c r="A299" s="0" t="s">
        <v>3701</v>
      </c>
      <c r="B299" s="0" t="n">
        <v>1926</v>
      </c>
      <c r="C299" s="0" t="s">
        <v>3702</v>
      </c>
      <c r="D299" s="0" t="s">
        <v>3700</v>
      </c>
      <c r="L299" s="0" t="s">
        <v>3703</v>
      </c>
      <c r="AF299" s="0" t="n">
        <f aca="false">LEN(D299)+LEN(E299)+LEN(F299)+LEN(G299)+LEN(H299)+LEN(I299)+LEN(J299)+LEN(K299)+LEN(L299)+LEN(M299)+LEN(N299)+LEN(O299)+LEN(P299)</f>
        <v>50</v>
      </c>
    </row>
    <row r="300" customFormat="false" ht="15" hidden="false" customHeight="false" outlineLevel="0" collapsed="false">
      <c r="A300" s="0" t="s">
        <v>3701</v>
      </c>
      <c r="B300" s="0" t="n">
        <v>1926</v>
      </c>
      <c r="C300" s="0" t="s">
        <v>3702</v>
      </c>
      <c r="D300" s="0" t="s">
        <v>3700</v>
      </c>
      <c r="L300" s="0" t="s">
        <v>3703</v>
      </c>
      <c r="AF300" s="0" t="n">
        <f aca="false">LEN(D300)+LEN(E300)+LEN(F300)+LEN(G300)+LEN(H300)+LEN(I300)+LEN(J300)+LEN(K300)+LEN(L300)+LEN(M300)+LEN(N300)+LEN(O300)+LEN(P300)</f>
        <v>50</v>
      </c>
    </row>
    <row r="301" customFormat="false" ht="15" hidden="false" customHeight="false" outlineLevel="0" collapsed="false">
      <c r="A301" s="0" t="s">
        <v>3704</v>
      </c>
      <c r="B301" s="0" t="n">
        <v>1926</v>
      </c>
      <c r="C301" s="0" t="s">
        <v>3705</v>
      </c>
      <c r="D301" s="0" t="s">
        <v>3700</v>
      </c>
      <c r="J301" s="0" t="s">
        <v>3706</v>
      </c>
      <c r="L301" s="0" t="s">
        <v>195</v>
      </c>
      <c r="AF301" s="0" t="n">
        <f aca="false">LEN(D301)+LEN(E301)+LEN(F301)+LEN(G301)+LEN(H301)+LEN(I301)+LEN(J301)+LEN(K301)+LEN(L301)+LEN(M301)+LEN(N301)+LEN(O301)+LEN(P301)</f>
        <v>60</v>
      </c>
    </row>
    <row r="302" customFormat="false" ht="15" hidden="false" customHeight="false" outlineLevel="0" collapsed="false">
      <c r="A302" s="0" t="s">
        <v>3707</v>
      </c>
      <c r="B302" s="0" t="n">
        <v>1926</v>
      </c>
      <c r="C302" s="0" t="s">
        <v>3708</v>
      </c>
      <c r="D302" s="0" t="s">
        <v>3700</v>
      </c>
      <c r="L302" s="0" t="s">
        <v>3709</v>
      </c>
      <c r="M302" s="0" t="s">
        <v>3710</v>
      </c>
      <c r="N302" s="0" t="s">
        <v>1267</v>
      </c>
      <c r="O302" s="0" t="s">
        <v>1635</v>
      </c>
      <c r="P302" s="0" t="s">
        <v>3020</v>
      </c>
      <c r="AC302" s="0" t="s">
        <v>29</v>
      </c>
      <c r="AF302" s="0" t="n">
        <f aca="false">LEN(D302)+LEN(E302)+LEN(F302)+LEN(G302)+LEN(H302)+LEN(I302)+LEN(J302)+LEN(K302)+LEN(L302)+LEN(M302)+LEN(N302)+LEN(O302)+LEN(P302)</f>
        <v>60</v>
      </c>
    </row>
    <row r="303" customFormat="false" ht="15" hidden="false" customHeight="false" outlineLevel="0" collapsed="false">
      <c r="A303" s="0" t="s">
        <v>3711</v>
      </c>
      <c r="B303" s="0" t="n">
        <v>1926</v>
      </c>
      <c r="C303" s="0" t="s">
        <v>3712</v>
      </c>
      <c r="D303" s="0" t="s">
        <v>3700</v>
      </c>
      <c r="L303" s="0" t="s">
        <v>3709</v>
      </c>
      <c r="M303" s="0" t="s">
        <v>3713</v>
      </c>
      <c r="N303" s="0" t="s">
        <v>1593</v>
      </c>
      <c r="P303" s="0" t="s">
        <v>3086</v>
      </c>
      <c r="AA303" s="0" t="s">
        <v>29</v>
      </c>
      <c r="AF303" s="0" t="n">
        <f aca="false">LEN(D303)+LEN(E303)+LEN(F303)+LEN(G303)+LEN(H303)+LEN(I303)+LEN(J303)+LEN(K303)+LEN(L303)+LEN(M303)+LEN(N303)+LEN(O303)+LEN(P303)</f>
        <v>68</v>
      </c>
    </row>
    <row r="304" customFormat="false" ht="15" hidden="false" customHeight="false" outlineLevel="0" collapsed="false">
      <c r="A304" s="0" t="s">
        <v>3714</v>
      </c>
      <c r="B304" s="0" t="n">
        <v>1926</v>
      </c>
      <c r="C304" s="0" t="s">
        <v>3715</v>
      </c>
      <c r="D304" s="0" t="s">
        <v>3700</v>
      </c>
      <c r="L304" s="0" t="s">
        <v>3709</v>
      </c>
      <c r="M304" s="0" t="s">
        <v>3716</v>
      </c>
      <c r="N304" s="0" t="s">
        <v>1267</v>
      </c>
      <c r="P304" s="0" t="s">
        <v>2907</v>
      </c>
      <c r="AA304" s="0" t="s">
        <v>29</v>
      </c>
      <c r="AC304" s="0" t="s">
        <v>29</v>
      </c>
      <c r="AF304" s="0" t="n">
        <f aca="false">LEN(D304)+LEN(E304)+LEN(F304)+LEN(G304)+LEN(H304)+LEN(I304)+LEN(J304)+LEN(K304)+LEN(L304)+LEN(M304)+LEN(N304)+LEN(O304)+LEN(P304)</f>
        <v>59</v>
      </c>
    </row>
    <row r="305" customFormat="false" ht="15" hidden="false" customHeight="false" outlineLevel="0" collapsed="false">
      <c r="A305" s="0" t="s">
        <v>3714</v>
      </c>
      <c r="B305" s="0" t="n">
        <v>1926</v>
      </c>
      <c r="C305" s="0" t="s">
        <v>3715</v>
      </c>
      <c r="D305" s="0" t="s">
        <v>3700</v>
      </c>
      <c r="L305" s="0" t="s">
        <v>3709</v>
      </c>
      <c r="M305" s="0" t="s">
        <v>3716</v>
      </c>
      <c r="N305" s="0" t="s">
        <v>1267</v>
      </c>
      <c r="P305" s="0" t="s">
        <v>2907</v>
      </c>
      <c r="AA305" s="0" t="s">
        <v>29</v>
      </c>
      <c r="AC305" s="0" t="s">
        <v>29</v>
      </c>
      <c r="AF305" s="0" t="n">
        <f aca="false">LEN(D305)+LEN(E305)+LEN(F305)+LEN(G305)+LEN(H305)+LEN(I305)+LEN(J305)+LEN(K305)+LEN(L305)+LEN(M305)+LEN(N305)+LEN(O305)+LEN(P305)</f>
        <v>59</v>
      </c>
    </row>
    <row r="306" customFormat="false" ht="15" hidden="false" customHeight="false" outlineLevel="0" collapsed="false">
      <c r="A306" s="0" t="s">
        <v>3714</v>
      </c>
      <c r="B306" s="0" t="n">
        <v>1926</v>
      </c>
      <c r="C306" s="0" t="s">
        <v>3715</v>
      </c>
      <c r="D306" s="0" t="s">
        <v>3700</v>
      </c>
      <c r="L306" s="0" t="s">
        <v>3709</v>
      </c>
      <c r="M306" s="0" t="s">
        <v>3716</v>
      </c>
      <c r="N306" s="0" t="s">
        <v>1267</v>
      </c>
      <c r="P306" s="0" t="s">
        <v>2907</v>
      </c>
      <c r="AA306" s="0" t="s">
        <v>29</v>
      </c>
      <c r="AC306" s="0" t="s">
        <v>29</v>
      </c>
      <c r="AF306" s="0" t="n">
        <f aca="false">LEN(D306)+LEN(E306)+LEN(F306)+LEN(G306)+LEN(H306)+LEN(I306)+LEN(J306)+LEN(K306)+LEN(L306)+LEN(M306)+LEN(N306)+LEN(O306)+LEN(P306)</f>
        <v>59</v>
      </c>
    </row>
    <row r="307" customFormat="false" ht="15" hidden="false" customHeight="false" outlineLevel="0" collapsed="false">
      <c r="A307" s="0" t="s">
        <v>3717</v>
      </c>
      <c r="B307" s="0" t="n">
        <v>1926</v>
      </c>
      <c r="C307" s="0" t="s">
        <v>3389</v>
      </c>
      <c r="D307" s="0" t="s">
        <v>3718</v>
      </c>
      <c r="F307" s="0" t="s">
        <v>3389</v>
      </c>
      <c r="L307" s="0" t="s">
        <v>195</v>
      </c>
      <c r="AF307" s="0" t="n">
        <f aca="false">LEN(D307)+LEN(E307)+LEN(F307)+LEN(G307)+LEN(H307)+LEN(I307)+LEN(J307)+LEN(K307)+LEN(L307)+LEN(M307)+LEN(N307)+LEN(O307)+LEN(P307)</f>
        <v>49</v>
      </c>
    </row>
    <row r="308" customFormat="false" ht="15" hidden="false" customHeight="false" outlineLevel="0" collapsed="false">
      <c r="A308" s="0" t="s">
        <v>3719</v>
      </c>
      <c r="B308" s="0" t="n">
        <v>1926</v>
      </c>
      <c r="C308" s="0" t="s">
        <v>3720</v>
      </c>
      <c r="D308" s="0" t="s">
        <v>3718</v>
      </c>
      <c r="L308" s="0" t="s">
        <v>3721</v>
      </c>
      <c r="M308" s="0" t="s">
        <v>3232</v>
      </c>
      <c r="N308" s="0" t="s">
        <v>3722</v>
      </c>
      <c r="P308" s="0" t="s">
        <v>3020</v>
      </c>
      <c r="AC308" s="0" t="s">
        <v>29</v>
      </c>
      <c r="AF308" s="0" t="n">
        <f aca="false">LEN(D308)+LEN(E308)+LEN(F308)+LEN(G308)+LEN(H308)+LEN(I308)+LEN(J308)+LEN(K308)+LEN(L308)+LEN(M308)+LEN(N308)+LEN(O308)+LEN(P308)</f>
        <v>55</v>
      </c>
    </row>
    <row r="309" customFormat="false" ht="15" hidden="false" customHeight="false" outlineLevel="0" collapsed="false">
      <c r="A309" s="0" t="s">
        <v>3723</v>
      </c>
      <c r="B309" s="0" t="n">
        <v>1926</v>
      </c>
      <c r="C309" s="0" t="s">
        <v>3724</v>
      </c>
      <c r="D309" s="0" t="s">
        <v>3725</v>
      </c>
      <c r="L309" s="0" t="s">
        <v>3726</v>
      </c>
      <c r="AF309" s="0" t="n">
        <f aca="false">LEN(D309)+LEN(E309)+LEN(F309)+LEN(G309)+LEN(H309)+LEN(I309)+LEN(J309)+LEN(K309)+LEN(L309)+LEN(M309)+LEN(N309)+LEN(O309)+LEN(P309)</f>
        <v>52</v>
      </c>
    </row>
    <row r="310" customFormat="false" ht="15" hidden="false" customHeight="false" outlineLevel="0" collapsed="false">
      <c r="A310" s="0" t="s">
        <v>3727</v>
      </c>
      <c r="B310" s="0" t="n">
        <v>1926</v>
      </c>
      <c r="C310" s="0" t="s">
        <v>3728</v>
      </c>
      <c r="D310" s="0" t="s">
        <v>3725</v>
      </c>
      <c r="L310" s="0" t="s">
        <v>3729</v>
      </c>
      <c r="Y310" s="0" t="s">
        <v>29</v>
      </c>
      <c r="AF310" s="0" t="n">
        <f aca="false">LEN(D310)+LEN(E310)+LEN(F310)+LEN(G310)+LEN(H310)+LEN(I310)+LEN(J310)+LEN(K310)+LEN(L310)+LEN(M310)+LEN(N310)+LEN(O310)+LEN(P310)</f>
        <v>47</v>
      </c>
    </row>
    <row r="311" customFormat="false" ht="15" hidden="false" customHeight="false" outlineLevel="0" collapsed="false">
      <c r="A311" s="0" t="s">
        <v>3730</v>
      </c>
      <c r="B311" s="0" t="n">
        <v>1926</v>
      </c>
      <c r="C311" s="0" t="s">
        <v>3731</v>
      </c>
      <c r="D311" s="0" t="s">
        <v>3725</v>
      </c>
      <c r="L311" s="0" t="s">
        <v>3075</v>
      </c>
      <c r="M311" s="0" t="s">
        <v>3732</v>
      </c>
      <c r="N311" s="0" t="s">
        <v>3733</v>
      </c>
      <c r="P311" s="0" t="s">
        <v>1392</v>
      </c>
      <c r="AA311" s="0" t="s">
        <v>29</v>
      </c>
      <c r="AF311" s="0" t="n">
        <f aca="false">LEN(D311)+LEN(E311)+LEN(F311)+LEN(G311)+LEN(H311)+LEN(I311)+LEN(J311)+LEN(K311)+LEN(L311)+LEN(M311)+LEN(N311)+LEN(O311)+LEN(P311)</f>
        <v>62</v>
      </c>
    </row>
    <row r="312" customFormat="false" ht="15" hidden="false" customHeight="false" outlineLevel="0" collapsed="false">
      <c r="A312" s="0" t="s">
        <v>3734</v>
      </c>
      <c r="B312" s="0" t="n">
        <v>1926</v>
      </c>
      <c r="C312" s="0" t="s">
        <v>3735</v>
      </c>
      <c r="D312" s="0" t="s">
        <v>3736</v>
      </c>
      <c r="L312" s="0" t="s">
        <v>3737</v>
      </c>
      <c r="AF312" s="0" t="n">
        <f aca="false">LEN(D312)+LEN(E312)+LEN(F312)+LEN(G312)+LEN(H312)+LEN(I312)+LEN(J312)+LEN(K312)+LEN(L312)+LEN(M312)+LEN(N312)+LEN(O312)+LEN(P312)</f>
        <v>63</v>
      </c>
    </row>
    <row r="313" customFormat="false" ht="15" hidden="false" customHeight="false" outlineLevel="0" collapsed="false">
      <c r="A313" s="0" t="s">
        <v>3738</v>
      </c>
      <c r="B313" s="0" t="n">
        <v>1926</v>
      </c>
      <c r="C313" s="0" t="s">
        <v>3739</v>
      </c>
      <c r="D313" s="0" t="s">
        <v>3736</v>
      </c>
      <c r="L313" s="0" t="s">
        <v>3075</v>
      </c>
      <c r="M313" s="0" t="s">
        <v>3740</v>
      </c>
      <c r="N313" s="0" t="s">
        <v>3741</v>
      </c>
      <c r="P313" s="0" t="s">
        <v>2948</v>
      </c>
      <c r="AA313" s="0" t="s">
        <v>29</v>
      </c>
      <c r="AB313" s="0" t="s">
        <v>29</v>
      </c>
      <c r="AC313" s="0" t="s">
        <v>29</v>
      </c>
      <c r="AF313" s="0" t="n">
        <f aca="false">LEN(D313)+LEN(E313)+LEN(F313)+LEN(G313)+LEN(H313)+LEN(I313)+LEN(J313)+LEN(K313)+LEN(L313)+LEN(M313)+LEN(N313)+LEN(O313)+LEN(P313)</f>
        <v>79</v>
      </c>
    </row>
    <row r="314" customFormat="false" ht="15" hidden="false" customHeight="false" outlineLevel="0" collapsed="false">
      <c r="A314" s="0" t="s">
        <v>3742</v>
      </c>
      <c r="B314" s="0" t="n">
        <v>1926</v>
      </c>
      <c r="C314" s="0" t="s">
        <v>3743</v>
      </c>
      <c r="D314" s="0" t="s">
        <v>3744</v>
      </c>
      <c r="L314" s="0" t="s">
        <v>2973</v>
      </c>
      <c r="Y314" s="0" t="s">
        <v>29</v>
      </c>
      <c r="AF314" s="0" t="n">
        <f aca="false">LEN(D314)+LEN(E314)+LEN(F314)+LEN(G314)+LEN(H314)+LEN(I314)+LEN(J314)+LEN(K314)+LEN(L314)+LEN(M314)+LEN(N314)+LEN(O314)+LEN(P314)</f>
        <v>34</v>
      </c>
    </row>
    <row r="315" customFormat="false" ht="15" hidden="false" customHeight="false" outlineLevel="0" collapsed="false">
      <c r="A315" s="0" t="s">
        <v>3745</v>
      </c>
      <c r="B315" s="0" t="n">
        <v>1926</v>
      </c>
      <c r="C315" s="0" t="s">
        <v>3746</v>
      </c>
      <c r="D315" s="0" t="s">
        <v>3747</v>
      </c>
      <c r="K315" s="0" t="s">
        <v>3746</v>
      </c>
      <c r="L315" s="0" t="s">
        <v>195</v>
      </c>
      <c r="AF315" s="0" t="n">
        <f aca="false">LEN(D315)+LEN(E315)+LEN(F315)+LEN(G315)+LEN(H315)+LEN(I315)+LEN(J315)+LEN(K315)+LEN(L315)+LEN(M315)+LEN(N315)+LEN(O315)+LEN(P315)</f>
        <v>65</v>
      </c>
    </row>
    <row r="316" customFormat="false" ht="15" hidden="false" customHeight="false" outlineLevel="0" collapsed="false">
      <c r="A316" s="0" t="s">
        <v>3748</v>
      </c>
      <c r="B316" s="0" t="n">
        <v>1926</v>
      </c>
      <c r="C316" s="0" t="s">
        <v>3749</v>
      </c>
      <c r="D316" s="0" t="s">
        <v>3747</v>
      </c>
      <c r="L316" s="0" t="s">
        <v>195</v>
      </c>
      <c r="R316" s="0" t="s">
        <v>29</v>
      </c>
      <c r="AF316" s="0" t="n">
        <f aca="false">LEN(D316)+LEN(E316)+LEN(F316)+LEN(G316)+LEN(H316)+LEN(I316)+LEN(J316)+LEN(K316)+LEN(L316)+LEN(M316)+LEN(N316)+LEN(O316)+LEN(P316)</f>
        <v>34</v>
      </c>
    </row>
    <row r="317" customFormat="false" ht="15" hidden="false" customHeight="false" outlineLevel="0" collapsed="false">
      <c r="A317" s="0" t="s">
        <v>3750</v>
      </c>
      <c r="B317" s="0" t="n">
        <v>1926</v>
      </c>
      <c r="C317" s="0" t="s">
        <v>3751</v>
      </c>
      <c r="D317" s="0" t="s">
        <v>3752</v>
      </c>
      <c r="L317" s="0" t="s">
        <v>3753</v>
      </c>
      <c r="Y317" s="0" t="s">
        <v>29</v>
      </c>
      <c r="AF317" s="0" t="n">
        <f aca="false">LEN(D317)+LEN(E317)+LEN(F317)+LEN(G317)+LEN(H317)+LEN(I317)+LEN(J317)+LEN(K317)+LEN(L317)+LEN(M317)+LEN(N317)+LEN(O317)+LEN(P317)</f>
        <v>43</v>
      </c>
    </row>
    <row r="318" customFormat="false" ht="15" hidden="false" customHeight="false" outlineLevel="0" collapsed="false">
      <c r="A318" s="0" t="s">
        <v>3754</v>
      </c>
      <c r="B318" s="0" t="n">
        <v>1926</v>
      </c>
      <c r="C318" s="0" t="s">
        <v>3755</v>
      </c>
      <c r="D318" s="0" t="s">
        <v>3752</v>
      </c>
      <c r="G318" s="0" t="s">
        <v>3755</v>
      </c>
      <c r="L318" s="0" t="s">
        <v>195</v>
      </c>
      <c r="T318" s="0" t="s">
        <v>29</v>
      </c>
      <c r="U318" s="0" t="s">
        <v>29</v>
      </c>
      <c r="AF318" s="0" t="n">
        <f aca="false">LEN(D318)+LEN(E318)+LEN(F318)+LEN(G318)+LEN(H318)+LEN(I318)+LEN(J318)+LEN(K318)+LEN(L318)+LEN(M318)+LEN(N318)+LEN(O318)+LEN(P318)</f>
        <v>93</v>
      </c>
    </row>
    <row r="319" customFormat="false" ht="15" hidden="false" customHeight="false" outlineLevel="0" collapsed="false">
      <c r="A319" s="0" t="s">
        <v>3756</v>
      </c>
      <c r="B319" s="0" t="n">
        <v>1926</v>
      </c>
      <c r="C319" s="0" t="s">
        <v>3609</v>
      </c>
      <c r="D319" s="0" t="s">
        <v>3752</v>
      </c>
      <c r="L319" s="0" t="s">
        <v>3610</v>
      </c>
      <c r="M319" s="0" t="s">
        <v>3611</v>
      </c>
      <c r="N319" s="0" t="s">
        <v>2217</v>
      </c>
      <c r="P319" s="0" t="s">
        <v>3570</v>
      </c>
      <c r="AF319" s="0" t="n">
        <f aca="false">LEN(D319)+LEN(E319)+LEN(F319)+LEN(G319)+LEN(H319)+LEN(I319)+LEN(J319)+LEN(K319)+LEN(L319)+LEN(M319)+LEN(N319)+LEN(O319)+LEN(P319)</f>
        <v>63</v>
      </c>
    </row>
    <row r="320" customFormat="false" ht="15" hidden="false" customHeight="false" outlineLevel="0" collapsed="false">
      <c r="A320" s="0" t="s">
        <v>3757</v>
      </c>
      <c r="B320" s="0" t="n">
        <v>1926</v>
      </c>
      <c r="C320" s="0" t="s">
        <v>3758</v>
      </c>
      <c r="D320" s="0" t="s">
        <v>3759</v>
      </c>
      <c r="L320" s="0" t="s">
        <v>3760</v>
      </c>
      <c r="AF320" s="0" t="n">
        <f aca="false">LEN(D320)+LEN(E320)+LEN(F320)+LEN(G320)+LEN(H320)+LEN(I320)+LEN(J320)+LEN(K320)+LEN(L320)+LEN(M320)+LEN(N320)+LEN(O320)+LEN(P320)</f>
        <v>61</v>
      </c>
    </row>
    <row r="321" customFormat="false" ht="15" hidden="false" customHeight="false" outlineLevel="0" collapsed="false">
      <c r="A321" s="0" t="s">
        <v>3761</v>
      </c>
      <c r="B321" s="0" t="n">
        <v>1926</v>
      </c>
      <c r="C321" s="0" t="s">
        <v>3762</v>
      </c>
      <c r="D321" s="0" t="s">
        <v>3759</v>
      </c>
      <c r="G321" s="0" t="s">
        <v>3762</v>
      </c>
      <c r="L321" s="0" t="s">
        <v>195</v>
      </c>
      <c r="AF321" s="0" t="n">
        <f aca="false">LEN(D321)+LEN(E321)+LEN(F321)+LEN(G321)+LEN(H321)+LEN(I321)+LEN(J321)+LEN(K321)+LEN(L321)+LEN(M321)+LEN(N321)+LEN(O321)+LEN(P321)</f>
        <v>102</v>
      </c>
    </row>
    <row r="322" customFormat="false" ht="15" hidden="false" customHeight="false" outlineLevel="0" collapsed="false">
      <c r="A322" s="0" t="s">
        <v>3763</v>
      </c>
      <c r="B322" s="0" t="n">
        <v>1926</v>
      </c>
      <c r="C322" s="0" t="s">
        <v>3764</v>
      </c>
      <c r="D322" s="0" t="s">
        <v>3759</v>
      </c>
      <c r="L322" s="0" t="s">
        <v>3692</v>
      </c>
      <c r="M322" s="0" t="s">
        <v>3765</v>
      </c>
      <c r="N322" s="0" t="s">
        <v>962</v>
      </c>
      <c r="P322" s="0" t="s">
        <v>2948</v>
      </c>
      <c r="AA322" s="0" t="s">
        <v>29</v>
      </c>
      <c r="AC322" s="0" t="s">
        <v>29</v>
      </c>
      <c r="AF322" s="0" t="n">
        <f aca="false">LEN(D322)+LEN(E322)+LEN(F322)+LEN(G322)+LEN(H322)+LEN(I322)+LEN(J322)+LEN(K322)+LEN(L322)+LEN(M322)+LEN(N322)+LEN(O322)+LEN(P322)</f>
        <v>67</v>
      </c>
    </row>
    <row r="323" customFormat="false" ht="15" hidden="false" customHeight="false" outlineLevel="0" collapsed="false">
      <c r="A323" s="0" t="s">
        <v>3766</v>
      </c>
      <c r="B323" s="0" t="n">
        <v>1926</v>
      </c>
      <c r="C323" s="0" t="s">
        <v>3767</v>
      </c>
      <c r="D323" s="0" t="s">
        <v>3759</v>
      </c>
      <c r="L323" s="0" t="s">
        <v>3610</v>
      </c>
      <c r="M323" s="0" t="s">
        <v>3768</v>
      </c>
      <c r="N323" s="0" t="s">
        <v>1391</v>
      </c>
      <c r="P323" s="0" t="s">
        <v>3769</v>
      </c>
      <c r="AA323" s="0" t="s">
        <v>29</v>
      </c>
      <c r="AC323" s="0" t="s">
        <v>29</v>
      </c>
      <c r="AF323" s="0" t="n">
        <f aca="false">LEN(D323)+LEN(E323)+LEN(F323)+LEN(G323)+LEN(H323)+LEN(I323)+LEN(J323)+LEN(K323)+LEN(L323)+LEN(M323)+LEN(N323)+LEN(O323)+LEN(P323)</f>
        <v>71</v>
      </c>
    </row>
    <row r="324" customFormat="false" ht="15" hidden="false" customHeight="false" outlineLevel="0" collapsed="false">
      <c r="A324" s="0" t="s">
        <v>3770</v>
      </c>
      <c r="B324" s="0" t="n">
        <v>1926</v>
      </c>
      <c r="C324" s="0" t="s">
        <v>3771</v>
      </c>
      <c r="D324" s="0" t="s">
        <v>3759</v>
      </c>
      <c r="L324" s="0" t="s">
        <v>3610</v>
      </c>
      <c r="M324" s="0" t="s">
        <v>3611</v>
      </c>
      <c r="N324" s="0" t="s">
        <v>2217</v>
      </c>
      <c r="P324" s="0" t="s">
        <v>3772</v>
      </c>
      <c r="AF324" s="0" t="n">
        <f aca="false">LEN(D324)+LEN(E324)+LEN(F324)+LEN(G324)+LEN(H324)+LEN(I324)+LEN(J324)+LEN(K324)+LEN(L324)+LEN(M324)+LEN(N324)+LEN(O324)+LEN(P324)</f>
        <v>74</v>
      </c>
    </row>
    <row r="325" customFormat="false" ht="15" hidden="false" customHeight="false" outlineLevel="0" collapsed="false">
      <c r="A325" s="0" t="s">
        <v>3773</v>
      </c>
      <c r="B325" s="0" t="n">
        <v>1926</v>
      </c>
      <c r="C325" s="0" t="s">
        <v>3774</v>
      </c>
      <c r="D325" s="0" t="s">
        <v>3759</v>
      </c>
      <c r="L325" s="0" t="s">
        <v>3610</v>
      </c>
      <c r="M325" s="0" t="s">
        <v>3775</v>
      </c>
      <c r="N325" s="0" t="s">
        <v>1391</v>
      </c>
      <c r="P325" s="0" t="s">
        <v>3086</v>
      </c>
      <c r="AA325" s="0" t="s">
        <v>29</v>
      </c>
      <c r="AC325" s="0" t="s">
        <v>29</v>
      </c>
      <c r="AF325" s="0" t="n">
        <f aca="false">LEN(D325)+LEN(E325)+LEN(F325)+LEN(G325)+LEN(H325)+LEN(I325)+LEN(J325)+LEN(K325)+LEN(L325)+LEN(M325)+LEN(N325)+LEN(O325)+LEN(P325)</f>
        <v>69</v>
      </c>
    </row>
    <row r="326" customFormat="false" ht="15" hidden="false" customHeight="false" outlineLevel="0" collapsed="false">
      <c r="A326" s="0" t="s">
        <v>3776</v>
      </c>
      <c r="B326" s="0" t="n">
        <v>1926</v>
      </c>
      <c r="C326" s="0" t="s">
        <v>3777</v>
      </c>
      <c r="D326" s="0" t="s">
        <v>3778</v>
      </c>
      <c r="L326" s="0" t="s">
        <v>3779</v>
      </c>
      <c r="Y326" s="0" t="s">
        <v>29</v>
      </c>
      <c r="AF326" s="0" t="n">
        <f aca="false">LEN(D326)+LEN(E326)+LEN(F326)+LEN(G326)+LEN(H326)+LEN(I326)+LEN(J326)+LEN(K326)+LEN(L326)+LEN(M326)+LEN(N326)+LEN(O326)+LEN(P326)</f>
        <v>37</v>
      </c>
    </row>
    <row r="327" customFormat="false" ht="15" hidden="false" customHeight="false" outlineLevel="0" collapsed="false">
      <c r="A327" s="0" t="s">
        <v>3780</v>
      </c>
      <c r="B327" s="0" t="n">
        <v>1926</v>
      </c>
      <c r="C327" s="0" t="s">
        <v>3781</v>
      </c>
      <c r="D327" s="0" t="s">
        <v>3778</v>
      </c>
      <c r="J327" s="0" t="s">
        <v>3782</v>
      </c>
      <c r="L327" s="0" t="s">
        <v>195</v>
      </c>
      <c r="AF327" s="0" t="n">
        <f aca="false">LEN(D327)+LEN(E327)+LEN(F327)+LEN(G327)+LEN(H327)+LEN(I327)+LEN(J327)+LEN(K327)+LEN(L327)+LEN(M327)+LEN(N327)+LEN(O327)+LEN(P327)</f>
        <v>67</v>
      </c>
    </row>
    <row r="328" customFormat="false" ht="15" hidden="false" customHeight="false" outlineLevel="0" collapsed="false">
      <c r="A328" s="0" t="s">
        <v>3783</v>
      </c>
      <c r="B328" s="0" t="n">
        <v>1926</v>
      </c>
      <c r="C328" s="0" t="s">
        <v>3784</v>
      </c>
      <c r="D328" s="0" t="s">
        <v>3785</v>
      </c>
      <c r="L328" s="0" t="s">
        <v>3779</v>
      </c>
      <c r="M328" s="0" t="s">
        <v>3786</v>
      </c>
      <c r="N328" s="0" t="s">
        <v>1267</v>
      </c>
      <c r="P328" s="0" t="s">
        <v>3787</v>
      </c>
      <c r="Y328" s="0" t="s">
        <v>29</v>
      </c>
      <c r="AF328" s="0" t="n">
        <f aca="false">LEN(D328)+LEN(E328)+LEN(F328)+LEN(G328)+LEN(H328)+LEN(I328)+LEN(J328)+LEN(K328)+LEN(L328)+LEN(M328)+LEN(N328)+LEN(O328)+LEN(P328)</f>
        <v>58</v>
      </c>
    </row>
    <row r="329" customFormat="false" ht="15" hidden="false" customHeight="false" outlineLevel="0" collapsed="false">
      <c r="A329" s="0" t="s">
        <v>3788</v>
      </c>
      <c r="B329" s="0" t="n">
        <v>1926</v>
      </c>
      <c r="C329" s="0" t="s">
        <v>3789</v>
      </c>
      <c r="D329" s="0" t="s">
        <v>3790</v>
      </c>
      <c r="G329" s="0" t="s">
        <v>3789</v>
      </c>
      <c r="L329" s="0" t="s">
        <v>195</v>
      </c>
      <c r="AF329" s="0" t="n">
        <f aca="false">LEN(D329)+LEN(E329)+LEN(F329)+LEN(G329)+LEN(H329)+LEN(I329)+LEN(J329)+LEN(K329)+LEN(L329)+LEN(M329)+LEN(N329)+LEN(O329)+LEN(P329)</f>
        <v>100</v>
      </c>
    </row>
    <row r="330" customFormat="false" ht="15" hidden="false" customHeight="false" outlineLevel="0" collapsed="false">
      <c r="A330" s="0" t="s">
        <v>3788</v>
      </c>
      <c r="B330" s="0" t="n">
        <v>1926</v>
      </c>
      <c r="C330" s="0" t="s">
        <v>3791</v>
      </c>
      <c r="D330" s="0" t="s">
        <v>3790</v>
      </c>
      <c r="F330" s="0" t="s">
        <v>3791</v>
      </c>
      <c r="L330" s="0" t="s">
        <v>195</v>
      </c>
      <c r="AF330" s="0" t="n">
        <f aca="false">LEN(D330)+LEN(E330)+LEN(F330)+LEN(G330)+LEN(H330)+LEN(I330)+LEN(J330)+LEN(K330)+LEN(L330)+LEN(M330)+LEN(N330)+LEN(O330)+LEN(P330)</f>
        <v>70</v>
      </c>
    </row>
    <row r="331" customFormat="false" ht="15" hidden="false" customHeight="false" outlineLevel="0" collapsed="false">
      <c r="A331" s="0" t="s">
        <v>3792</v>
      </c>
      <c r="B331" s="0" t="n">
        <v>1926</v>
      </c>
      <c r="C331" s="0" t="s">
        <v>3793</v>
      </c>
      <c r="D331" s="0" t="s">
        <v>3790</v>
      </c>
      <c r="L331" s="0" t="s">
        <v>3196</v>
      </c>
      <c r="M331" s="0" t="s">
        <v>3794</v>
      </c>
      <c r="N331" s="0" t="s">
        <v>3795</v>
      </c>
      <c r="P331" s="0" t="s">
        <v>3796</v>
      </c>
      <c r="AC331" s="0" t="s">
        <v>29</v>
      </c>
      <c r="AF331" s="0" t="n">
        <f aca="false">LEN(D331)+LEN(E331)+LEN(F331)+LEN(G331)+LEN(H331)+LEN(I331)+LEN(J331)+LEN(K331)+LEN(L331)+LEN(M331)+LEN(N331)+LEN(O331)+LEN(P331)</f>
        <v>57</v>
      </c>
    </row>
    <row r="332" customFormat="false" ht="15" hidden="false" customHeight="false" outlineLevel="0" collapsed="false">
      <c r="A332" s="0" t="s">
        <v>3797</v>
      </c>
      <c r="B332" s="0" t="n">
        <v>1926</v>
      </c>
      <c r="C332" s="0" t="s">
        <v>3798</v>
      </c>
      <c r="D332" s="0" t="s">
        <v>3790</v>
      </c>
      <c r="L332" s="0" t="s">
        <v>3799</v>
      </c>
      <c r="M332" s="0" t="s">
        <v>3800</v>
      </c>
      <c r="N332" s="0" t="s">
        <v>3801</v>
      </c>
      <c r="P332" s="0" t="s">
        <v>3143</v>
      </c>
      <c r="AA332" s="0" t="s">
        <v>29</v>
      </c>
      <c r="AF332" s="0" t="n">
        <f aca="false">LEN(D332)+LEN(E332)+LEN(F332)+LEN(G332)+LEN(H332)+LEN(I332)+LEN(J332)+LEN(K332)+LEN(L332)+LEN(M332)+LEN(N332)+LEN(O332)+LEN(P332)</f>
        <v>70</v>
      </c>
    </row>
    <row r="333" customFormat="false" ht="15" hidden="false" customHeight="false" outlineLevel="0" collapsed="false">
      <c r="A333" s="0" t="s">
        <v>3797</v>
      </c>
      <c r="B333" s="0" t="n">
        <v>1926</v>
      </c>
      <c r="C333" s="0" t="s">
        <v>3798</v>
      </c>
      <c r="D333" s="0" t="s">
        <v>3790</v>
      </c>
      <c r="L333" s="0" t="s">
        <v>3799</v>
      </c>
      <c r="M333" s="0" t="s">
        <v>3800</v>
      </c>
      <c r="N333" s="0" t="s">
        <v>3801</v>
      </c>
      <c r="P333" s="0" t="s">
        <v>3143</v>
      </c>
      <c r="AA333" s="0" t="s">
        <v>29</v>
      </c>
      <c r="AF333" s="0" t="n">
        <f aca="false">LEN(D333)+LEN(E333)+LEN(F333)+LEN(G333)+LEN(H333)+LEN(I333)+LEN(J333)+LEN(K333)+LEN(L333)+LEN(M333)+LEN(N333)+LEN(O333)+LEN(P333)</f>
        <v>70</v>
      </c>
    </row>
    <row r="334" customFormat="false" ht="15" hidden="false" customHeight="false" outlineLevel="0" collapsed="false">
      <c r="A334" s="0" t="s">
        <v>3802</v>
      </c>
      <c r="B334" s="0" t="n">
        <v>1926</v>
      </c>
      <c r="C334" s="0" t="s">
        <v>3803</v>
      </c>
      <c r="D334" s="0" t="s">
        <v>3790</v>
      </c>
      <c r="L334" s="0" t="s">
        <v>3799</v>
      </c>
      <c r="M334" s="0" t="s">
        <v>3804</v>
      </c>
      <c r="N334" s="0" t="s">
        <v>2217</v>
      </c>
      <c r="P334" s="0" t="s">
        <v>2907</v>
      </c>
      <c r="AA334" s="0" t="s">
        <v>29</v>
      </c>
      <c r="AC334" s="0" t="s">
        <v>29</v>
      </c>
      <c r="AF334" s="0" t="n">
        <f aca="false">LEN(D334)+LEN(E334)+LEN(F334)+LEN(G334)+LEN(H334)+LEN(I334)+LEN(J334)+LEN(K334)+LEN(L334)+LEN(M334)+LEN(N334)+LEN(O334)+LEN(P334)</f>
        <v>66</v>
      </c>
    </row>
    <row r="335" customFormat="false" ht="15" hidden="false" customHeight="false" outlineLevel="0" collapsed="false">
      <c r="A335" s="0" t="s">
        <v>3805</v>
      </c>
      <c r="B335" s="0" t="n">
        <v>1926</v>
      </c>
      <c r="C335" s="0" t="s">
        <v>3806</v>
      </c>
      <c r="D335" s="0" t="s">
        <v>3807</v>
      </c>
      <c r="L335" s="0" t="s">
        <v>3808</v>
      </c>
      <c r="AF335" s="0" t="n">
        <f aca="false">LEN(D335)+LEN(E335)+LEN(F335)+LEN(G335)+LEN(H335)+LEN(I335)+LEN(J335)+LEN(K335)+LEN(L335)+LEN(M335)+LEN(N335)+LEN(O335)+LEN(P335)</f>
        <v>39</v>
      </c>
    </row>
    <row r="336" customFormat="false" ht="15" hidden="false" customHeight="false" outlineLevel="0" collapsed="false">
      <c r="A336" s="0" t="s">
        <v>3809</v>
      </c>
      <c r="B336" s="0" t="n">
        <v>1926</v>
      </c>
      <c r="C336" s="0" t="s">
        <v>3810</v>
      </c>
      <c r="D336" s="0" t="s">
        <v>3811</v>
      </c>
      <c r="L336" s="0" t="s">
        <v>3610</v>
      </c>
      <c r="AF336" s="0" t="n">
        <f aca="false">LEN(D336)+LEN(E336)+LEN(F336)+LEN(G336)+LEN(H336)+LEN(I336)+LEN(J336)+LEN(K336)+LEN(L336)+LEN(M336)+LEN(N336)+LEN(O336)+LEN(P336)</f>
        <v>35</v>
      </c>
    </row>
    <row r="337" customFormat="false" ht="15" hidden="false" customHeight="false" outlineLevel="0" collapsed="false">
      <c r="A337" s="0" t="s">
        <v>3812</v>
      </c>
      <c r="B337" s="0" t="n">
        <v>1926</v>
      </c>
      <c r="C337" s="0" t="s">
        <v>3813</v>
      </c>
      <c r="D337" s="0" t="s">
        <v>3814</v>
      </c>
      <c r="L337" s="0" t="s">
        <v>195</v>
      </c>
      <c r="Q337" s="9" t="s">
        <v>29</v>
      </c>
      <c r="Y337" s="0" t="s">
        <v>29</v>
      </c>
      <c r="AF337" s="0" t="n">
        <f aca="false">LEN(D337)+LEN(E337)+LEN(F337)+LEN(G337)+LEN(H337)+LEN(I337)+LEN(J337)+LEN(K337)+LEN(L337)+LEN(M337)+LEN(N337)+LEN(O337)+LEN(P337)</f>
        <v>39</v>
      </c>
    </row>
    <row r="338" customFormat="false" ht="15" hidden="false" customHeight="false" outlineLevel="0" collapsed="false">
      <c r="A338" s="0" t="s">
        <v>3815</v>
      </c>
      <c r="B338" s="0" t="n">
        <v>1926</v>
      </c>
      <c r="C338" s="0" t="s">
        <v>3816</v>
      </c>
      <c r="D338" s="0" t="s">
        <v>3814</v>
      </c>
      <c r="L338" s="0" t="s">
        <v>195</v>
      </c>
      <c r="M338" s="0" t="s">
        <v>3817</v>
      </c>
      <c r="N338" s="0" t="s">
        <v>1635</v>
      </c>
      <c r="P338" s="0" t="s">
        <v>3818</v>
      </c>
      <c r="Q338" s="9" t="s">
        <v>29</v>
      </c>
      <c r="Y338" s="0" t="s">
        <v>29</v>
      </c>
      <c r="AF338" s="0" t="n">
        <f aca="false">LEN(D338)+LEN(E338)+LEN(F338)+LEN(G338)+LEN(H338)+LEN(I338)+LEN(J338)+LEN(K338)+LEN(L338)+LEN(M338)+LEN(N338)+LEN(O338)+LEN(P338)</f>
        <v>62</v>
      </c>
    </row>
    <row r="339" customFormat="false" ht="15" hidden="false" customHeight="false" outlineLevel="0" collapsed="false">
      <c r="A339" s="0" t="s">
        <v>3819</v>
      </c>
      <c r="B339" s="0" t="n">
        <v>1926</v>
      </c>
      <c r="C339" s="0" t="s">
        <v>3820</v>
      </c>
      <c r="D339" s="0" t="s">
        <v>3814</v>
      </c>
      <c r="L339" s="0" t="s">
        <v>2816</v>
      </c>
      <c r="Q339" s="9" t="s">
        <v>29</v>
      </c>
      <c r="AF339" s="0" t="n">
        <f aca="false">LEN(D339)+LEN(E339)+LEN(F339)+LEN(G339)+LEN(H339)+LEN(I339)+LEN(J339)+LEN(K339)+LEN(L339)+LEN(M339)+LEN(N339)+LEN(O339)+LEN(P339)</f>
        <v>43</v>
      </c>
    </row>
    <row r="340" customFormat="false" ht="15" hidden="false" customHeight="false" outlineLevel="0" collapsed="false">
      <c r="A340" s="0" t="s">
        <v>3821</v>
      </c>
      <c r="B340" s="0" t="n">
        <v>1926</v>
      </c>
      <c r="C340" s="0" t="s">
        <v>3822</v>
      </c>
      <c r="D340" s="0" t="s">
        <v>3814</v>
      </c>
      <c r="L340" s="0" t="s">
        <v>3823</v>
      </c>
      <c r="Q340" s="9" t="s">
        <v>29</v>
      </c>
      <c r="Y340" s="0" t="s">
        <v>29</v>
      </c>
      <c r="AF340" s="0" t="n">
        <f aca="false">LEN(D340)+LEN(E340)+LEN(F340)+LEN(G340)+LEN(H340)+LEN(I340)+LEN(J340)+LEN(K340)+LEN(L340)+LEN(M340)+LEN(N340)+LEN(O340)+LEN(P340)</f>
        <v>54</v>
      </c>
    </row>
    <row r="341" customFormat="false" ht="15" hidden="false" customHeight="false" outlineLevel="0" collapsed="false">
      <c r="A341" s="0" t="s">
        <v>3824</v>
      </c>
      <c r="B341" s="0" t="n">
        <v>1926</v>
      </c>
      <c r="C341" s="0" t="s">
        <v>3813</v>
      </c>
      <c r="D341" s="0" t="s">
        <v>3814</v>
      </c>
      <c r="L341" s="0" t="s">
        <v>195</v>
      </c>
      <c r="Q341" s="9" t="s">
        <v>29</v>
      </c>
      <c r="Y341" s="0" t="s">
        <v>29</v>
      </c>
      <c r="AF341" s="0" t="n">
        <f aca="false">LEN(D341)+LEN(E341)+LEN(F341)+LEN(G341)+LEN(H341)+LEN(I341)+LEN(J341)+LEN(K341)+LEN(L341)+LEN(M341)+LEN(N341)+LEN(O341)+LEN(P341)</f>
        <v>39</v>
      </c>
    </row>
    <row r="342" customFormat="false" ht="15" hidden="false" customHeight="false" outlineLevel="0" collapsed="false">
      <c r="A342" s="0" t="s">
        <v>3825</v>
      </c>
      <c r="B342" s="0" t="n">
        <v>1926</v>
      </c>
      <c r="C342" s="0" t="s">
        <v>3826</v>
      </c>
      <c r="D342" s="0" t="s">
        <v>3814</v>
      </c>
      <c r="L342" s="0" t="s">
        <v>3827</v>
      </c>
      <c r="Q342" s="9" t="s">
        <v>29</v>
      </c>
      <c r="AF342" s="0" t="n">
        <f aca="false">LEN(D342)+LEN(E342)+LEN(F342)+LEN(G342)+LEN(H342)+LEN(I342)+LEN(J342)+LEN(K342)+LEN(L342)+LEN(M342)+LEN(N342)+LEN(O342)+LEN(P342)</f>
        <v>47</v>
      </c>
    </row>
    <row r="343" customFormat="false" ht="15" hidden="false" customHeight="false" outlineLevel="0" collapsed="false">
      <c r="A343" s="0" t="s">
        <v>3828</v>
      </c>
      <c r="B343" s="0" t="n">
        <v>1926</v>
      </c>
      <c r="C343" s="0" t="s">
        <v>3829</v>
      </c>
      <c r="D343" s="0" t="s">
        <v>3814</v>
      </c>
      <c r="L343" s="0" t="s">
        <v>2744</v>
      </c>
      <c r="M343" s="0" t="s">
        <v>3830</v>
      </c>
      <c r="N343" s="0" t="s">
        <v>3831</v>
      </c>
      <c r="P343" s="0" t="s">
        <v>3121</v>
      </c>
      <c r="Q343" s="9"/>
      <c r="AC343" s="0" t="s">
        <v>29</v>
      </c>
      <c r="AF343" s="0" t="n">
        <f aca="false">LEN(D343)+LEN(E343)+LEN(F343)+LEN(G343)+LEN(H343)+LEN(I343)+LEN(J343)+LEN(K343)+LEN(L343)+LEN(M343)+LEN(N343)+LEN(O343)+LEN(P343)</f>
        <v>63</v>
      </c>
    </row>
    <row r="344" customFormat="false" ht="15" hidden="false" customHeight="false" outlineLevel="0" collapsed="false">
      <c r="A344" s="0" t="s">
        <v>3832</v>
      </c>
      <c r="B344" s="0" t="n">
        <v>1926</v>
      </c>
      <c r="C344" s="0" t="s">
        <v>3833</v>
      </c>
      <c r="D344" s="0" t="s">
        <v>3834</v>
      </c>
      <c r="L344" s="0" t="s">
        <v>3835</v>
      </c>
      <c r="Q344" s="9" t="s">
        <v>29</v>
      </c>
      <c r="AF344" s="0" t="n">
        <f aca="false">LEN(D344)+LEN(E344)+LEN(F344)+LEN(G344)+LEN(H344)+LEN(I344)+LEN(J344)+LEN(K344)+LEN(L344)+LEN(M344)+LEN(N344)+LEN(O344)+LEN(P344)</f>
        <v>46</v>
      </c>
    </row>
    <row r="345" customFormat="false" ht="15" hidden="false" customHeight="false" outlineLevel="0" collapsed="false">
      <c r="A345" s="0" t="s">
        <v>3836</v>
      </c>
      <c r="B345" s="0" t="n">
        <v>1926</v>
      </c>
      <c r="C345" s="0" t="s">
        <v>3837</v>
      </c>
      <c r="D345" s="0" t="s">
        <v>3838</v>
      </c>
      <c r="L345" s="0" t="s">
        <v>3839</v>
      </c>
      <c r="Q345" s="9" t="s">
        <v>29</v>
      </c>
      <c r="Z345" s="0" t="s">
        <v>29</v>
      </c>
      <c r="AF345" s="0" t="n">
        <f aca="false">LEN(D345)+LEN(E345)+LEN(F345)+LEN(G345)+LEN(H345)+LEN(I345)+LEN(J345)+LEN(K345)+LEN(L345)+LEN(M345)+LEN(N345)+LEN(O345)+LEN(P345)</f>
        <v>18</v>
      </c>
    </row>
    <row r="346" customFormat="false" ht="15" hidden="false" customHeight="false" outlineLevel="0" collapsed="false">
      <c r="A346" s="0" t="s">
        <v>3840</v>
      </c>
      <c r="B346" s="0" t="n">
        <v>1926</v>
      </c>
      <c r="C346" s="0" t="s">
        <v>3841</v>
      </c>
      <c r="D346" s="0" t="s">
        <v>3842</v>
      </c>
      <c r="L346" s="0" t="s">
        <v>1329</v>
      </c>
      <c r="M346" s="0" t="s">
        <v>3843</v>
      </c>
      <c r="N346" s="0" t="s">
        <v>2689</v>
      </c>
      <c r="O346" s="0" t="s">
        <v>3844</v>
      </c>
      <c r="P346" s="0" t="s">
        <v>3845</v>
      </c>
      <c r="Q346" s="9" t="s">
        <v>29</v>
      </c>
      <c r="AC346" s="0" t="s">
        <v>29</v>
      </c>
      <c r="AF346" s="0" t="n">
        <f aca="false">LEN(D346)+LEN(E346)+LEN(F346)+LEN(G346)+LEN(H346)+LEN(I346)+LEN(J346)+LEN(K346)+LEN(L346)+LEN(M346)+LEN(N346)+LEN(O346)+LEN(P346)</f>
        <v>53</v>
      </c>
    </row>
    <row r="347" customFormat="false" ht="15" hidden="false" customHeight="false" outlineLevel="0" collapsed="false">
      <c r="A347" s="0" t="s">
        <v>3846</v>
      </c>
      <c r="B347" s="0" t="n">
        <v>1926</v>
      </c>
      <c r="C347" s="0" t="s">
        <v>3847</v>
      </c>
      <c r="D347" s="0" t="s">
        <v>3842</v>
      </c>
      <c r="L347" s="0" t="s">
        <v>1329</v>
      </c>
      <c r="M347" s="0" t="s">
        <v>3848</v>
      </c>
      <c r="N347" s="0" t="s">
        <v>3849</v>
      </c>
      <c r="P347" s="0" t="s">
        <v>3845</v>
      </c>
      <c r="Q347" s="9" t="s">
        <v>29</v>
      </c>
      <c r="AC347" s="0" t="s">
        <v>29</v>
      </c>
      <c r="AF347" s="0" t="n">
        <f aca="false">LEN(D347)+LEN(E347)+LEN(F347)+LEN(G347)+LEN(H347)+LEN(I347)+LEN(J347)+LEN(K347)+LEN(L347)+LEN(M347)+LEN(N347)+LEN(O347)+LEN(P347)</f>
        <v>43</v>
      </c>
    </row>
    <row r="348" customFormat="false" ht="15" hidden="false" customHeight="false" outlineLevel="0" collapsed="false">
      <c r="A348" s="0" t="s">
        <v>3850</v>
      </c>
      <c r="B348" s="0" t="n">
        <v>1926</v>
      </c>
      <c r="C348" s="0" t="s">
        <v>3851</v>
      </c>
      <c r="D348" s="0" t="s">
        <v>3842</v>
      </c>
      <c r="L348" s="0" t="s">
        <v>3852</v>
      </c>
      <c r="Q348" s="9" t="s">
        <v>29</v>
      </c>
      <c r="AF348" s="0" t="n">
        <f aca="false">LEN(D348)+LEN(E348)+LEN(F348)+LEN(G348)+LEN(H348)+LEN(I348)+LEN(J348)+LEN(K348)+LEN(L348)+LEN(M348)+LEN(N348)+LEN(O348)+LEN(P348)</f>
        <v>36</v>
      </c>
    </row>
    <row r="349" customFormat="false" ht="15" hidden="false" customHeight="false" outlineLevel="0" collapsed="false">
      <c r="A349" s="0" t="s">
        <v>3853</v>
      </c>
      <c r="B349" s="0" t="n">
        <v>1926</v>
      </c>
      <c r="C349" s="0" t="s">
        <v>3854</v>
      </c>
      <c r="D349" s="0" t="s">
        <v>3855</v>
      </c>
      <c r="L349" s="0" t="s">
        <v>2880</v>
      </c>
      <c r="Q349" s="9" t="s">
        <v>29</v>
      </c>
      <c r="AF349" s="0" t="n">
        <f aca="false">LEN(D349)+LEN(E349)+LEN(F349)+LEN(G349)+LEN(H349)+LEN(I349)+LEN(J349)+LEN(K349)+LEN(L349)+LEN(M349)+LEN(N349)+LEN(O349)+LEN(P349)</f>
        <v>31</v>
      </c>
    </row>
    <row r="350" customFormat="false" ht="15" hidden="false" customHeight="false" outlineLevel="0" collapsed="false">
      <c r="A350" s="0" t="s">
        <v>3856</v>
      </c>
      <c r="B350" s="0" t="n">
        <v>1926</v>
      </c>
      <c r="C350" s="0" t="s">
        <v>3857</v>
      </c>
      <c r="D350" s="0" t="s">
        <v>3858</v>
      </c>
      <c r="L350" s="0" t="s">
        <v>3859</v>
      </c>
      <c r="Q350" s="9" t="s">
        <v>29</v>
      </c>
      <c r="AF350" s="0" t="n">
        <f aca="false">LEN(D350)+LEN(E350)+LEN(F350)+LEN(G350)+LEN(H350)+LEN(I350)+LEN(J350)+LEN(K350)+LEN(L350)+LEN(M350)+LEN(N350)+LEN(O350)+LEN(P350)</f>
        <v>31</v>
      </c>
    </row>
    <row r="351" customFormat="false" ht="15" hidden="false" customHeight="false" outlineLevel="0" collapsed="false">
      <c r="A351" s="0" t="s">
        <v>3860</v>
      </c>
      <c r="B351" s="0" t="n">
        <v>1926</v>
      </c>
      <c r="C351" s="0" t="s">
        <v>3861</v>
      </c>
      <c r="D351" s="0" t="s">
        <v>3862</v>
      </c>
      <c r="L351" s="0" t="s">
        <v>3863</v>
      </c>
      <c r="Q351" s="9" t="s">
        <v>29</v>
      </c>
      <c r="Y351" s="0" t="s">
        <v>29</v>
      </c>
      <c r="AF351" s="0" t="n">
        <f aca="false">LEN(D351)+LEN(E351)+LEN(F351)+LEN(G351)+LEN(H351)+LEN(I351)+LEN(J351)+LEN(K351)+LEN(L351)+LEN(M351)+LEN(N351)+LEN(O351)+LEN(P351)</f>
        <v>28</v>
      </c>
    </row>
    <row r="352" customFormat="false" ht="15" hidden="false" customHeight="false" outlineLevel="0" collapsed="false">
      <c r="A352" s="0" t="s">
        <v>3864</v>
      </c>
      <c r="B352" s="0" t="n">
        <v>1926</v>
      </c>
      <c r="C352" s="0" t="s">
        <v>3865</v>
      </c>
      <c r="D352" s="0" t="s">
        <v>3866</v>
      </c>
      <c r="L352" s="0" t="s">
        <v>2977</v>
      </c>
      <c r="M352" s="0" t="s">
        <v>3867</v>
      </c>
      <c r="N352" s="0" t="s">
        <v>962</v>
      </c>
      <c r="P352" s="0" t="s">
        <v>3868</v>
      </c>
      <c r="Q352" s="9"/>
      <c r="AA352" s="0" t="s">
        <v>29</v>
      </c>
      <c r="AC352" s="0" t="s">
        <v>29</v>
      </c>
      <c r="AD352" s="0" t="s">
        <v>29</v>
      </c>
      <c r="AF352" s="0" t="n">
        <f aca="false">LEN(D352)+LEN(E352)+LEN(F352)+LEN(G352)+LEN(H352)+LEN(I352)+LEN(J352)+LEN(K352)+LEN(L352)+LEN(M352)+LEN(N352)+LEN(O352)+LEN(P352)</f>
        <v>75</v>
      </c>
    </row>
    <row r="353" customFormat="false" ht="15" hidden="false" customHeight="false" outlineLevel="0" collapsed="false">
      <c r="A353" s="0" t="s">
        <v>3869</v>
      </c>
      <c r="B353" s="0" t="n">
        <v>1926</v>
      </c>
      <c r="C353" s="0" t="s">
        <v>3870</v>
      </c>
      <c r="D353" s="0" t="s">
        <v>3871</v>
      </c>
      <c r="L353" s="0" t="s">
        <v>482</v>
      </c>
      <c r="M353" s="0" t="s">
        <v>2216</v>
      </c>
      <c r="N353" s="0" t="s">
        <v>1734</v>
      </c>
      <c r="P353" s="0" t="s">
        <v>3845</v>
      </c>
      <c r="Q353" s="9" t="s">
        <v>29</v>
      </c>
      <c r="AC353" s="0" t="s">
        <v>29</v>
      </c>
      <c r="AF353" s="0" t="n">
        <f aca="false">LEN(D353)+LEN(E353)+LEN(F353)+LEN(G353)+LEN(H353)+LEN(I353)+LEN(J353)+LEN(K353)+LEN(L353)+LEN(M353)+LEN(N353)+LEN(O353)+LEN(P353)</f>
        <v>38</v>
      </c>
    </row>
    <row r="354" customFormat="false" ht="15" hidden="false" customHeight="false" outlineLevel="0" collapsed="false">
      <c r="A354" s="0" t="s">
        <v>3872</v>
      </c>
      <c r="B354" s="0" t="n">
        <v>1926</v>
      </c>
      <c r="C354" s="0" t="s">
        <v>3873</v>
      </c>
      <c r="D354" s="0" t="s">
        <v>3874</v>
      </c>
      <c r="L354" s="0" t="s">
        <v>482</v>
      </c>
      <c r="M354" s="0" t="s">
        <v>3875</v>
      </c>
      <c r="N354" s="0" t="s">
        <v>880</v>
      </c>
      <c r="P354" s="0" t="s">
        <v>3845</v>
      </c>
      <c r="Q354" s="9" t="s">
        <v>29</v>
      </c>
      <c r="AC354" s="0" t="s">
        <v>29</v>
      </c>
      <c r="AF354" s="0" t="n">
        <f aca="false">LEN(D354)+LEN(E354)+LEN(F354)+LEN(G354)+LEN(H354)+LEN(I354)+LEN(J354)+LEN(K354)+LEN(L354)+LEN(M354)+LEN(N354)+LEN(O354)+LEN(P354)</f>
        <v>27</v>
      </c>
    </row>
    <row r="355" customFormat="false" ht="15" hidden="false" customHeight="false" outlineLevel="0" collapsed="false">
      <c r="A355" s="0" t="s">
        <v>3876</v>
      </c>
      <c r="B355" s="0" t="n">
        <v>1926</v>
      </c>
      <c r="C355" s="0" t="s">
        <v>3877</v>
      </c>
      <c r="D355" s="0" t="s">
        <v>3878</v>
      </c>
      <c r="L355" s="0" t="s">
        <v>3536</v>
      </c>
      <c r="Q355" s="9" t="s">
        <v>29</v>
      </c>
      <c r="AF355" s="0" t="n">
        <f aca="false">LEN(D355)+LEN(E355)+LEN(F355)+LEN(G355)+LEN(H355)+LEN(I355)+LEN(J355)+LEN(K355)+LEN(L355)+LEN(M355)+LEN(N355)+LEN(O355)+LEN(P355)</f>
        <v>21</v>
      </c>
    </row>
    <row r="356" customFormat="false" ht="15" hidden="false" customHeight="false" outlineLevel="0" collapsed="false">
      <c r="A356" s="0" t="s">
        <v>3879</v>
      </c>
      <c r="B356" s="0" t="n">
        <v>1926</v>
      </c>
      <c r="C356" s="0" t="s">
        <v>3880</v>
      </c>
      <c r="D356" s="0" t="s">
        <v>3881</v>
      </c>
      <c r="L356" s="0" t="s">
        <v>3882</v>
      </c>
      <c r="Q356" s="9" t="s">
        <v>29</v>
      </c>
      <c r="AF356" s="0" t="n">
        <f aca="false">LEN(D356)+LEN(E356)+LEN(F356)+LEN(G356)+LEN(H356)+LEN(I356)+LEN(J356)+LEN(K356)+LEN(L356)+LEN(M356)+LEN(N356)+LEN(O356)+LEN(P356)</f>
        <v>34</v>
      </c>
    </row>
    <row r="357" customFormat="false" ht="15" hidden="false" customHeight="false" outlineLevel="0" collapsed="false">
      <c r="A357" s="0" t="s">
        <v>3883</v>
      </c>
      <c r="B357" s="0" t="n">
        <v>1926</v>
      </c>
      <c r="C357" s="0" t="s">
        <v>3884</v>
      </c>
      <c r="D357" s="0" t="s">
        <v>3885</v>
      </c>
      <c r="L357" s="0" t="s">
        <v>3886</v>
      </c>
      <c r="Q357" s="9"/>
      <c r="AF357" s="0" t="n">
        <f aca="false">LEN(D357)+LEN(E357)+LEN(F357)+LEN(G357)+LEN(H357)+LEN(I357)+LEN(J357)+LEN(K357)+LEN(L357)+LEN(M357)+LEN(N357)+LEN(O357)+LEN(P357)</f>
        <v>46</v>
      </c>
    </row>
    <row r="358" customFormat="false" ht="15" hidden="false" customHeight="false" outlineLevel="0" collapsed="false">
      <c r="A358" s="0" t="s">
        <v>3883</v>
      </c>
      <c r="B358" s="0" t="n">
        <v>1926</v>
      </c>
      <c r="C358" s="0" t="s">
        <v>3884</v>
      </c>
      <c r="D358" s="0" t="s">
        <v>3885</v>
      </c>
      <c r="L358" s="0" t="s">
        <v>3886</v>
      </c>
      <c r="Q358" s="9"/>
      <c r="AF358" s="0" t="n">
        <f aca="false">LEN(D358)+LEN(E358)+LEN(F358)+LEN(G358)+LEN(H358)+LEN(I358)+LEN(J358)+LEN(K358)+LEN(L358)+LEN(M358)+LEN(N358)+LEN(O358)+LEN(P358)</f>
        <v>46</v>
      </c>
    </row>
    <row r="359" customFormat="false" ht="15" hidden="false" customHeight="false" outlineLevel="0" collapsed="false">
      <c r="A359" s="0" t="s">
        <v>3887</v>
      </c>
      <c r="B359" s="0" t="n">
        <v>1926</v>
      </c>
      <c r="C359" s="0" t="s">
        <v>3888</v>
      </c>
      <c r="D359" s="0" t="s">
        <v>3889</v>
      </c>
      <c r="L359" s="0" t="s">
        <v>3539</v>
      </c>
      <c r="M359" s="0" t="s">
        <v>3890</v>
      </c>
      <c r="N359" s="0" t="s">
        <v>1841</v>
      </c>
      <c r="P359" s="0" t="s">
        <v>3891</v>
      </c>
      <c r="Q359" s="9"/>
      <c r="Y359" s="0" t="s">
        <v>29</v>
      </c>
      <c r="AA359" s="0" t="s">
        <v>29</v>
      </c>
      <c r="AF359" s="0" t="n">
        <f aca="false">LEN(D359)+LEN(E359)+LEN(F359)+LEN(G359)+LEN(H359)+LEN(I359)+LEN(J359)+LEN(K359)+LEN(L359)+LEN(M359)+LEN(N359)+LEN(O359)+LEN(P359)</f>
        <v>79</v>
      </c>
    </row>
    <row r="360" customFormat="false" ht="15" hidden="false" customHeight="false" outlineLevel="0" collapsed="false">
      <c r="A360" s="0" t="s">
        <v>3892</v>
      </c>
      <c r="B360" s="0" t="n">
        <v>1926</v>
      </c>
      <c r="C360" s="0" t="s">
        <v>3893</v>
      </c>
      <c r="D360" s="0" t="s">
        <v>3889</v>
      </c>
      <c r="L360" s="0" t="s">
        <v>3539</v>
      </c>
      <c r="Q360" s="9"/>
      <c r="Y360" s="0" t="s">
        <v>29</v>
      </c>
      <c r="AA360" s="0" t="s">
        <v>29</v>
      </c>
      <c r="AB360" s="0" t="s">
        <v>29</v>
      </c>
      <c r="AC360" s="0" t="s">
        <v>29</v>
      </c>
      <c r="AD360" s="0" t="s">
        <v>29</v>
      </c>
      <c r="AF360" s="0" t="n">
        <f aca="false">LEN(D360)+LEN(E360)+LEN(F360)+LEN(G360)+LEN(H360)+LEN(I360)+LEN(J360)+LEN(K360)+LEN(L360)+LEN(M360)+LEN(N360)+LEN(O360)+LEN(P360)</f>
        <v>43</v>
      </c>
    </row>
    <row r="361" customFormat="false" ht="15" hidden="false" customHeight="false" outlineLevel="0" collapsed="false">
      <c r="A361" s="0" t="s">
        <v>3894</v>
      </c>
      <c r="B361" s="0" t="n">
        <v>1926</v>
      </c>
      <c r="C361" s="0" t="s">
        <v>3895</v>
      </c>
      <c r="D361" s="0" t="s">
        <v>3889</v>
      </c>
      <c r="L361" s="0" t="s">
        <v>3539</v>
      </c>
      <c r="M361" s="0" t="s">
        <v>3896</v>
      </c>
      <c r="N361" s="0" t="s">
        <v>394</v>
      </c>
      <c r="P361" s="0" t="s">
        <v>3897</v>
      </c>
      <c r="Q361" s="9"/>
      <c r="Y361" s="0" t="s">
        <v>29</v>
      </c>
      <c r="AA361" s="0" t="s">
        <v>29</v>
      </c>
      <c r="AC361" s="0" t="s">
        <v>29</v>
      </c>
      <c r="AF361" s="0" t="n">
        <f aca="false">LEN(D361)+LEN(E361)+LEN(F361)+LEN(G361)+LEN(H361)+LEN(I361)+LEN(J361)+LEN(K361)+LEN(L361)+LEN(M361)+LEN(N361)+LEN(O361)+LEN(P361)</f>
        <v>69</v>
      </c>
    </row>
    <row r="362" customFormat="false" ht="15" hidden="false" customHeight="false" outlineLevel="0" collapsed="false">
      <c r="A362" s="0" t="s">
        <v>3898</v>
      </c>
      <c r="B362" s="0" t="n">
        <v>1926</v>
      </c>
      <c r="C362" s="0" t="s">
        <v>3899</v>
      </c>
      <c r="D362" s="0" t="s">
        <v>3900</v>
      </c>
      <c r="L362" s="0" t="s">
        <v>3901</v>
      </c>
      <c r="M362" s="0" t="s">
        <v>3902</v>
      </c>
      <c r="N362" s="0" t="s">
        <v>24</v>
      </c>
      <c r="P362" s="0" t="s">
        <v>3903</v>
      </c>
      <c r="Q362" s="9"/>
      <c r="AA362" s="0" t="s">
        <v>29</v>
      </c>
      <c r="AF362" s="0" t="n">
        <f aca="false">LEN(D362)+LEN(E362)+LEN(F362)+LEN(G362)+LEN(H362)+LEN(I362)+LEN(J362)+LEN(K362)+LEN(L362)+LEN(M362)+LEN(N362)+LEN(O362)+LEN(P362)</f>
        <v>53</v>
      </c>
    </row>
    <row r="363" customFormat="false" ht="15" hidden="false" customHeight="false" outlineLevel="0" collapsed="false">
      <c r="A363" s="0" t="s">
        <v>3904</v>
      </c>
      <c r="B363" s="0" t="n">
        <v>1926</v>
      </c>
      <c r="C363" s="0" t="s">
        <v>3905</v>
      </c>
      <c r="D363" s="0" t="s">
        <v>3858</v>
      </c>
      <c r="L363" s="0" t="s">
        <v>3858</v>
      </c>
      <c r="Q363" s="9" t="s">
        <v>29</v>
      </c>
      <c r="AF363" s="0" t="n">
        <f aca="false">LEN(D363)+LEN(E363)+LEN(F363)+LEN(G363)+LEN(H363)+LEN(I363)+LEN(J363)+LEN(K363)+LEN(L363)+LEN(M363)+LEN(N363)+LEN(O363)+LEN(P363)</f>
        <v>26</v>
      </c>
    </row>
    <row r="364" customFormat="false" ht="15" hidden="false" customHeight="false" outlineLevel="0" collapsed="false">
      <c r="A364" s="0" t="s">
        <v>3906</v>
      </c>
      <c r="B364" s="0" t="n">
        <v>1926</v>
      </c>
      <c r="C364" s="0" t="s">
        <v>3907</v>
      </c>
      <c r="D364" s="0" t="s">
        <v>3858</v>
      </c>
      <c r="L364" s="0" t="s">
        <v>1329</v>
      </c>
      <c r="M364" s="0" t="s">
        <v>3908</v>
      </c>
      <c r="N364" s="0" t="s">
        <v>394</v>
      </c>
      <c r="P364" s="0" t="s">
        <v>3909</v>
      </c>
      <c r="Q364" s="9" t="s">
        <v>29</v>
      </c>
      <c r="AA364" s="0" t="s">
        <v>29</v>
      </c>
      <c r="AF364" s="0" t="n">
        <f aca="false">LEN(D364)+LEN(E364)+LEN(F364)+LEN(G364)+LEN(H364)+LEN(I364)+LEN(J364)+LEN(K364)+LEN(L364)+LEN(M364)+LEN(N364)+LEN(O364)+LEN(P364)</f>
        <v>35</v>
      </c>
    </row>
    <row r="365" customFormat="false" ht="15" hidden="false" customHeight="false" outlineLevel="0" collapsed="false">
      <c r="A365" s="0" t="s">
        <v>3910</v>
      </c>
      <c r="B365" s="0" t="n">
        <v>1926</v>
      </c>
      <c r="C365" s="0" t="s">
        <v>3911</v>
      </c>
      <c r="D365" s="0" t="s">
        <v>3858</v>
      </c>
      <c r="L365" s="0" t="s">
        <v>2977</v>
      </c>
      <c r="M365" s="0" t="s">
        <v>3912</v>
      </c>
      <c r="N365" s="0" t="s">
        <v>393</v>
      </c>
      <c r="P365" s="0" t="s">
        <v>3913</v>
      </c>
      <c r="Q365" s="9" t="s">
        <v>29</v>
      </c>
      <c r="AA365" s="0" t="s">
        <v>29</v>
      </c>
      <c r="AC365" s="0" t="s">
        <v>29</v>
      </c>
      <c r="AF365" s="0" t="n">
        <f aca="false">LEN(D365)+LEN(E365)+LEN(F365)+LEN(G365)+LEN(H365)+LEN(I365)+LEN(J365)+LEN(K365)+LEN(L365)+LEN(M365)+LEN(N365)+LEN(O365)+LEN(P365)</f>
        <v>37</v>
      </c>
    </row>
    <row r="366" customFormat="false" ht="15" hidden="false" customHeight="false" outlineLevel="0" collapsed="false">
      <c r="A366" s="0" t="s">
        <v>3914</v>
      </c>
      <c r="B366" s="0" t="n">
        <v>1926</v>
      </c>
      <c r="C366" s="0" t="s">
        <v>3915</v>
      </c>
      <c r="D366" s="0" t="s">
        <v>3858</v>
      </c>
      <c r="L366" s="0" t="s">
        <v>2977</v>
      </c>
      <c r="M366" s="0" t="s">
        <v>3916</v>
      </c>
      <c r="N366" s="0" t="s">
        <v>386</v>
      </c>
      <c r="O366" s="0" t="s">
        <v>3917</v>
      </c>
      <c r="P366" s="0" t="s">
        <v>3918</v>
      </c>
      <c r="Q366" s="9" t="s">
        <v>29</v>
      </c>
      <c r="AC366" s="0" t="s">
        <v>29</v>
      </c>
      <c r="AF366" s="0" t="n">
        <f aca="false">LEN(D366)+LEN(E366)+LEN(F366)+LEN(G366)+LEN(H366)+LEN(I366)+LEN(J366)+LEN(K366)+LEN(L366)+LEN(M366)+LEN(N366)+LEN(O366)+LEN(P366)</f>
        <v>61</v>
      </c>
    </row>
    <row r="367" customFormat="false" ht="15" hidden="false" customHeight="false" outlineLevel="0" collapsed="false">
      <c r="A367" s="0" t="s">
        <v>3919</v>
      </c>
      <c r="B367" s="0" t="n">
        <v>1926</v>
      </c>
      <c r="C367" s="0" t="s">
        <v>3920</v>
      </c>
      <c r="D367" s="0" t="s">
        <v>3921</v>
      </c>
      <c r="L367" s="0" t="s">
        <v>3469</v>
      </c>
      <c r="M367" s="0" t="s">
        <v>3922</v>
      </c>
      <c r="N367" s="0" t="s">
        <v>881</v>
      </c>
      <c r="P367" s="0" t="s">
        <v>3923</v>
      </c>
      <c r="Y367" s="0" t="s">
        <v>29</v>
      </c>
      <c r="AA367" s="0" t="s">
        <v>29</v>
      </c>
      <c r="AC367" s="0" t="s">
        <v>29</v>
      </c>
      <c r="AF367" s="0" t="n">
        <f aca="false">LEN(D367)+LEN(E367)+LEN(F367)+LEN(G367)+LEN(H367)+LEN(I367)+LEN(J367)+LEN(K367)+LEN(L367)+LEN(M367)+LEN(N367)+LEN(O367)+LEN(P367)</f>
        <v>62</v>
      </c>
    </row>
    <row r="368" customFormat="false" ht="15" hidden="false" customHeight="false" outlineLevel="0" collapsed="false">
      <c r="A368" s="0" t="s">
        <v>3924</v>
      </c>
      <c r="B368" s="0" t="n">
        <v>1926</v>
      </c>
      <c r="C368" s="0" t="s">
        <v>3925</v>
      </c>
      <c r="D368" s="0" t="s">
        <v>3926</v>
      </c>
      <c r="L368" s="0" t="s">
        <v>195</v>
      </c>
      <c r="M368" s="0" t="s">
        <v>3927</v>
      </c>
      <c r="N368" s="0" t="s">
        <v>3928</v>
      </c>
      <c r="P368" s="0" t="s">
        <v>1357</v>
      </c>
      <c r="Y368" s="0" t="s">
        <v>29</v>
      </c>
      <c r="AA368" s="0" t="s">
        <v>29</v>
      </c>
      <c r="AC368" s="0" t="s">
        <v>29</v>
      </c>
      <c r="AF368" s="0" t="n">
        <f aca="false">LEN(D368)+LEN(E368)+LEN(F368)+LEN(G368)+LEN(H368)+LEN(I368)+LEN(J368)+LEN(K368)+LEN(L368)+LEN(M368)+LEN(N368)+LEN(O368)+LEN(P368)</f>
        <v>61</v>
      </c>
    </row>
    <row r="369" s="5" customFormat="true" ht="15" hidden="false" customHeight="false" outlineLevel="0" collapsed="false">
      <c r="A369" s="5" t="s">
        <v>3929</v>
      </c>
      <c r="B369" s="5" t="n">
        <v>1926</v>
      </c>
      <c r="C369" s="5" t="s">
        <v>3930</v>
      </c>
      <c r="D369" s="5" t="s">
        <v>3616</v>
      </c>
      <c r="G369" s="5" t="s">
        <v>3930</v>
      </c>
      <c r="L369" s="5" t="s">
        <v>3603</v>
      </c>
      <c r="AF369" s="5" t="n">
        <f aca="false">LEN(D369)+LEN(E369)+LEN(F369)+LEN(G369)+LEN(H369)+LEN(I369)+LEN(J369)+LEN(K369)+LEN(L369)+LEN(M369)+LEN(N369)+LEN(O369)+LEN(P369)</f>
        <v>173</v>
      </c>
    </row>
    <row r="370" customFormat="false" ht="15" hidden="false" customHeight="false" outlineLevel="0" collapsed="false">
      <c r="Q370" s="0" t="n">
        <f aca="false">COUNTIF(Q2:Q369, "f") + COUNTIF(Q2:Q369, "a") + COUNTIF(Q2:Q369, "b") + COUNTIF(Q2:Q369, "a/b")</f>
        <v>30</v>
      </c>
      <c r="R370" s="0" t="n">
        <f aca="false">COUNTIF(R2:R369, "f") + COUNTIF(R2:R369, "a") + COUNTIF(R2:R369, "b") + COUNTIF(R2:R369, "a/b")</f>
        <v>13</v>
      </c>
      <c r="S370" s="0" t="n">
        <f aca="false">COUNTIF(S2:S369, "f") + COUNTIF(S2:S369, "a") + COUNTIF(S2:S369, "b") + COUNTIF(S2:S369, "a/b")</f>
        <v>0</v>
      </c>
      <c r="T370" s="0" t="n">
        <f aca="false">COUNTIF(T2:T369, "f") + COUNTIF(T2:T369, "a") + COUNTIF(T2:T369, "b") + COUNTIF(T2:T369, "a/b")</f>
        <v>9</v>
      </c>
      <c r="U370" s="0" t="n">
        <f aca="false">COUNTIF(U2:U369, "f") + COUNTIF(U2:U369, "a") + COUNTIF(U2:U369, "b") + COUNTIF(U2:U369, "a/b")</f>
        <v>8</v>
      </c>
      <c r="V370" s="0" t="n">
        <f aca="false">COUNTIF(V2:V369, "f") + COUNTIF(V2:V369, "a") + COUNTIF(V2:V369, "b") + COUNTIF(V2:V369, "a/b")</f>
        <v>0</v>
      </c>
      <c r="W370" s="0" t="n">
        <f aca="false">COUNTIF(W2:W369, "f") + COUNTIF(W2:W369, "a") + COUNTIF(W2:W369, "b") + COUNTIF(W2:W369, "a/b")</f>
        <v>0</v>
      </c>
      <c r="X370" s="0" t="n">
        <f aca="false">COUNTIF(X2:X369, "f") + COUNTIF(X2:X369, "a") + COUNTIF(X2:X369, "b") + COUNTIF(X2:X369, "a/b")</f>
        <v>1</v>
      </c>
      <c r="Y370" s="0" t="n">
        <f aca="false">COUNTIF(Y2:Y369, "f") + COUNTIF(Y2:Y369, "a") + COUNTIF(Y2:Y369, "b") + COUNTIF(Y2:Y369, "a/b")</f>
        <v>45</v>
      </c>
      <c r="Z370" s="0" t="n">
        <f aca="false">COUNTIF(Z2:Z369, "f") + COUNTIF(Z2:Z369, "a") + COUNTIF(Z2:Z369, "b") + COUNTIF(Z2:Z369, "a/b")</f>
        <v>1</v>
      </c>
      <c r="AA370" s="0" t="n">
        <f aca="false">COUNTIF(AA2:AA369, "f") + COUNTIF(AA2:AA369, "a") + COUNTIF(AA2:AA369, "b") + COUNTIF(AA2:AA369, "a/b")</f>
        <v>106</v>
      </c>
      <c r="AB370" s="0" t="n">
        <f aca="false">COUNTIF(AB2:AB369, "f") + COUNTIF(AB2:AB369, "a") + COUNTIF(AB2:AB369, "b") + COUNTIF(AB2:AB369, "a/b")</f>
        <v>22</v>
      </c>
      <c r="AC370" s="0" t="n">
        <f aca="false">COUNTIF(AC2:AC369, "f") + COUNTIF(AC2:AC369, "a") + COUNTIF(AC2:AC369, "b") + COUNTIF(AC2:AC369, "a/b")</f>
        <v>96</v>
      </c>
      <c r="AD370" s="0" t="n">
        <f aca="false">COUNTIF(AD2:AD369, "f") + COUNTIF(AD2:AD369, "a") + COUNTIF(AD2:AD369, "b") + COUNTIF(AD2:AD369, "a/b")</f>
        <v>15</v>
      </c>
      <c r="AE370" s="0" t="n">
        <f aca="false">SUM(AE2:AE369)</f>
        <v>36</v>
      </c>
      <c r="AF370" s="0" t="n">
        <f aca="false">SUM(AF2:AF369)</f>
        <v>22153</v>
      </c>
    </row>
    <row r="371" customFormat="false" ht="15" hidden="false" customHeight="false" outlineLevel="0" collapsed="false">
      <c r="Q371" s="0" t="n">
        <f aca="false">1-(Q370/409)</f>
        <v>0.926650366748166</v>
      </c>
      <c r="R371" s="0" t="n">
        <f aca="false">1-(R370/409)</f>
        <v>0.968215158924205</v>
      </c>
      <c r="S371" s="0" t="n">
        <f aca="false">1-(S370/409)</f>
        <v>1</v>
      </c>
      <c r="T371" s="0" t="n">
        <f aca="false">1-(T370/409)</f>
        <v>0.97799511002445</v>
      </c>
      <c r="U371" s="0" t="n">
        <f aca="false">1-(U370/409)</f>
        <v>0.980440097799511</v>
      </c>
      <c r="V371" s="0" t="n">
        <f aca="false">1-(V370/409)</f>
        <v>1</v>
      </c>
      <c r="W371" s="0" t="n">
        <f aca="false">1-(W370/409)</f>
        <v>1</v>
      </c>
      <c r="X371" s="0" t="n">
        <f aca="false">1-(X370/409)</f>
        <v>0.997555012224939</v>
      </c>
      <c r="Y371" s="0" t="n">
        <f aca="false">1-(Y370/409)</f>
        <v>0.889975550122249</v>
      </c>
      <c r="Z371" s="0" t="n">
        <f aca="false">1-(Z370/409)</f>
        <v>0.997555012224939</v>
      </c>
      <c r="AA371" s="0" t="n">
        <f aca="false">1-(AA370/409)</f>
        <v>0.740831295843521</v>
      </c>
      <c r="AB371" s="0" t="n">
        <f aca="false">1-(AB370/409)</f>
        <v>0.946210268948655</v>
      </c>
      <c r="AC371" s="0" t="n">
        <f aca="false">1-(AC370/409)</f>
        <v>0.765281173594132</v>
      </c>
      <c r="AD371" s="0" t="n">
        <f aca="false">1-(AD370/409)</f>
        <v>0.963325183374083</v>
      </c>
      <c r="AE371" s="0" t="n">
        <f aca="false">AE370/AF370</f>
        <v>0.00162506206834289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I38" activeCellId="0" sqref="I38"/>
    </sheetView>
  </sheetViews>
  <sheetFormatPr defaultColWidth="8.6796875" defaultRowHeight="15" customHeight="false" zeroHeight="false" outlineLevelRow="0" outlineLevelCol="0"/>
  <sheetData>
    <row r="1" customFormat="false" ht="15" hidden="false" customHeight="false" outlineLevel="0" collapsed="false">
      <c r="A1" s="0" t="s">
        <v>0</v>
      </c>
      <c r="B1" s="0" t="s">
        <v>3931</v>
      </c>
      <c r="C1" s="0" t="s">
        <v>1</v>
      </c>
      <c r="D1" s="0" t="s">
        <v>10</v>
      </c>
      <c r="E1" s="0" t="s">
        <v>11</v>
      </c>
      <c r="F1" s="0" t="s">
        <v>12</v>
      </c>
      <c r="G1" s="0" t="s">
        <v>13</v>
      </c>
      <c r="H1" s="0" t="s">
        <v>3932</v>
      </c>
      <c r="I1" s="0" t="s">
        <v>8</v>
      </c>
      <c r="J1" s="0" t="s">
        <v>1</v>
      </c>
      <c r="K1" s="0" t="s">
        <v>10</v>
      </c>
      <c r="L1" s="0" t="s">
        <v>11</v>
      </c>
      <c r="M1" s="0" t="s">
        <v>12</v>
      </c>
      <c r="N1" s="0" t="s">
        <v>13</v>
      </c>
      <c r="O1" s="0" t="s">
        <v>3932</v>
      </c>
      <c r="P1" s="0" t="s">
        <v>8</v>
      </c>
      <c r="Q1" s="0" t="s">
        <v>1399</v>
      </c>
      <c r="R1" s="0" t="s">
        <v>1400</v>
      </c>
      <c r="T1" s="0" t="s">
        <v>16</v>
      </c>
      <c r="U1" s="0" t="s">
        <v>17</v>
      </c>
      <c r="V1" s="0" t="s">
        <v>18</v>
      </c>
    </row>
    <row r="2" customFormat="false" ht="15" hidden="false" customHeight="false" outlineLevel="0" collapsed="false">
      <c r="A2" s="0" t="s">
        <v>3933</v>
      </c>
      <c r="B2" s="0" t="s">
        <v>3934</v>
      </c>
      <c r="C2" s="0" t="n">
        <v>1898</v>
      </c>
      <c r="D2" s="0" t="s">
        <v>3935</v>
      </c>
      <c r="E2" s="0" t="s">
        <v>1267</v>
      </c>
      <c r="F2" s="0" t="s">
        <v>1635</v>
      </c>
      <c r="G2" s="0" t="s">
        <v>3936</v>
      </c>
      <c r="H2" s="0" t="s">
        <v>3934</v>
      </c>
      <c r="I2" s="0" t="s">
        <v>152</v>
      </c>
      <c r="P2" s="0" t="n">
        <v>1</v>
      </c>
      <c r="R2" s="0" t="n">
        <f aca="false">LEN(C2)+LEN(D2)+LEN(E2)+LEN(F2)+LEN(G2)+LEN(H2)</f>
        <v>25</v>
      </c>
      <c r="T2" s="0" t="s">
        <v>17</v>
      </c>
      <c r="U2" s="0" t="s">
        <v>23</v>
      </c>
      <c r="V2" s="0" t="s">
        <v>24</v>
      </c>
    </row>
    <row r="3" customFormat="false" ht="15" hidden="false" customHeight="false" outlineLevel="0" collapsed="false">
      <c r="A3" s="0" t="s">
        <v>3937</v>
      </c>
      <c r="B3" s="0" t="s">
        <v>3934</v>
      </c>
      <c r="C3" s="0" t="n">
        <v>1905</v>
      </c>
      <c r="D3" s="0" t="s">
        <v>3938</v>
      </c>
      <c r="E3" s="0" t="s">
        <v>69</v>
      </c>
      <c r="F3" s="0" t="s">
        <v>1267</v>
      </c>
      <c r="G3" s="0" t="s">
        <v>3936</v>
      </c>
      <c r="H3" s="0" t="s">
        <v>3934</v>
      </c>
      <c r="I3" s="0" t="s">
        <v>152</v>
      </c>
      <c r="P3" s="0" t="n">
        <v>1</v>
      </c>
      <c r="R3" s="0" t="n">
        <f aca="false">LEN(C3)+LEN(D3)+LEN(E3)+LEN(F3)+LEN(G3)+LEN(H3)</f>
        <v>30</v>
      </c>
      <c r="T3" s="0" t="s">
        <v>18</v>
      </c>
      <c r="U3" s="0" t="s">
        <v>24</v>
      </c>
      <c r="V3" s="0" t="s">
        <v>23</v>
      </c>
    </row>
    <row r="4" customFormat="false" ht="15" hidden="false" customHeight="false" outlineLevel="0" collapsed="false">
      <c r="A4" s="0" t="s">
        <v>3939</v>
      </c>
      <c r="B4" s="0" t="s">
        <v>3934</v>
      </c>
      <c r="C4" s="0" t="n">
        <v>1902</v>
      </c>
      <c r="D4" s="0" t="s">
        <v>3940</v>
      </c>
      <c r="E4" s="0" t="s">
        <v>24</v>
      </c>
      <c r="F4" s="0" t="s">
        <v>3928</v>
      </c>
      <c r="G4" s="0" t="s">
        <v>3936</v>
      </c>
      <c r="H4" s="0" t="s">
        <v>3934</v>
      </c>
      <c r="I4" s="0" t="s">
        <v>152</v>
      </c>
      <c r="P4" s="0" t="n">
        <v>1</v>
      </c>
      <c r="R4" s="0" t="n">
        <f aca="false">LEN(C4)+LEN(D4)+LEN(E4)+LEN(F4)+LEN(G4)+LEN(H4)</f>
        <v>26</v>
      </c>
    </row>
    <row r="5" customFormat="false" ht="15" hidden="false" customHeight="false" outlineLevel="0" collapsed="false">
      <c r="A5" s="0" t="s">
        <v>3941</v>
      </c>
      <c r="B5" s="0" t="s">
        <v>3942</v>
      </c>
      <c r="C5" s="0" t="n">
        <v>1892</v>
      </c>
      <c r="D5" s="0" t="s">
        <v>3943</v>
      </c>
      <c r="E5" s="0" t="s">
        <v>881</v>
      </c>
      <c r="G5" s="0" t="s">
        <v>3936</v>
      </c>
      <c r="H5" s="0" t="s">
        <v>3942</v>
      </c>
      <c r="I5" s="0" t="s">
        <v>3944</v>
      </c>
      <c r="R5" s="0" t="n">
        <f aca="false">LEN(C5)+LEN(D5)+LEN(E5)+LEN(F5)+LEN(G5)+LEN(H5)</f>
        <v>20</v>
      </c>
      <c r="T5" s="0" t="s">
        <v>37</v>
      </c>
    </row>
    <row r="6" customFormat="false" ht="15" hidden="false" customHeight="false" outlineLevel="0" collapsed="false">
      <c r="A6" s="0" t="s">
        <v>3945</v>
      </c>
      <c r="B6" s="0" t="s">
        <v>3942</v>
      </c>
      <c r="C6" s="0" t="n">
        <v>1911</v>
      </c>
      <c r="D6" s="0" t="s">
        <v>1728</v>
      </c>
      <c r="E6" s="0" t="s">
        <v>3946</v>
      </c>
      <c r="G6" s="0" t="s">
        <v>3936</v>
      </c>
      <c r="H6" s="0" t="s">
        <v>3942</v>
      </c>
      <c r="I6" s="0" t="s">
        <v>3944</v>
      </c>
      <c r="J6" s="0" t="s">
        <v>29</v>
      </c>
      <c r="R6" s="0" t="n">
        <f aca="false">LEN(C6)+LEN(D6)+LEN(E6)+LEN(F6)+LEN(G6)+LEN(H6)</f>
        <v>23</v>
      </c>
      <c r="T6" s="0" t="s">
        <v>16</v>
      </c>
      <c r="U6" s="0" t="s">
        <v>17</v>
      </c>
      <c r="V6" s="0" t="s">
        <v>18</v>
      </c>
    </row>
    <row r="7" customFormat="false" ht="15" hidden="false" customHeight="false" outlineLevel="0" collapsed="false">
      <c r="A7" s="0" t="s">
        <v>3947</v>
      </c>
      <c r="B7" s="0" t="s">
        <v>3942</v>
      </c>
      <c r="C7" s="0" t="n">
        <v>1907</v>
      </c>
      <c r="D7" s="0" t="s">
        <v>3948</v>
      </c>
      <c r="E7" s="0" t="s">
        <v>69</v>
      </c>
      <c r="G7" s="0" t="s">
        <v>3936</v>
      </c>
      <c r="H7" s="0" t="s">
        <v>3942</v>
      </c>
      <c r="I7" s="0" t="s">
        <v>3944</v>
      </c>
      <c r="R7" s="0" t="n">
        <f aca="false">LEN(C7)+LEN(D7)+LEN(E7)+LEN(F7)+LEN(G7)+LEN(H7)</f>
        <v>23</v>
      </c>
      <c r="T7" s="0" t="s">
        <v>17</v>
      </c>
      <c r="V7" s="0" t="s">
        <v>24</v>
      </c>
    </row>
    <row r="8" customFormat="false" ht="15" hidden="false" customHeight="false" outlineLevel="0" collapsed="false">
      <c r="A8" s="0" t="s">
        <v>3949</v>
      </c>
      <c r="B8" s="0" t="s">
        <v>3942</v>
      </c>
      <c r="C8" s="0" t="n">
        <v>1898</v>
      </c>
      <c r="D8" s="0" t="s">
        <v>3950</v>
      </c>
      <c r="E8" s="0" t="s">
        <v>3951</v>
      </c>
      <c r="G8" s="0" t="s">
        <v>3936</v>
      </c>
      <c r="H8" s="0" t="s">
        <v>3942</v>
      </c>
      <c r="I8" s="0" t="s">
        <v>3944</v>
      </c>
      <c r="M8" s="0" t="s">
        <v>29</v>
      </c>
      <c r="R8" s="0" t="n">
        <f aca="false">LEN(C8)+LEN(D8)+LEN(E8)+LEN(F8)+LEN(G8)+LEN(H8)</f>
        <v>22</v>
      </c>
      <c r="T8" s="0" t="s">
        <v>18</v>
      </c>
      <c r="U8" s="0" t="s">
        <v>24</v>
      </c>
    </row>
    <row r="9" customFormat="false" ht="15" hidden="false" customHeight="false" outlineLevel="0" collapsed="false">
      <c r="A9" s="0" t="s">
        <v>3952</v>
      </c>
      <c r="B9" s="0" t="s">
        <v>3942</v>
      </c>
      <c r="C9" s="0" t="n">
        <v>1892</v>
      </c>
      <c r="D9" s="0" t="s">
        <v>3953</v>
      </c>
      <c r="E9" s="0" t="s">
        <v>69</v>
      </c>
      <c r="G9" s="0" t="s">
        <v>3936</v>
      </c>
      <c r="H9" s="0" t="s">
        <v>3942</v>
      </c>
      <c r="I9" s="0" t="s">
        <v>3944</v>
      </c>
      <c r="R9" s="0" t="n">
        <f aca="false">LEN(C9)+LEN(D9)+LEN(E9)+LEN(F9)+LEN(G9)+LEN(H9)</f>
        <v>17</v>
      </c>
    </row>
    <row r="10" customFormat="false" ht="15" hidden="false" customHeight="false" outlineLevel="0" collapsed="false">
      <c r="A10" s="0" t="s">
        <v>3954</v>
      </c>
      <c r="B10" s="0" t="s">
        <v>3942</v>
      </c>
      <c r="C10" s="0" t="n">
        <v>1911</v>
      </c>
      <c r="D10" s="0" t="s">
        <v>3955</v>
      </c>
      <c r="E10" s="0" t="s">
        <v>69</v>
      </c>
      <c r="F10" s="0" t="s">
        <v>1635</v>
      </c>
      <c r="G10" s="0" t="s">
        <v>3936</v>
      </c>
      <c r="H10" s="0" t="s">
        <v>3942</v>
      </c>
      <c r="I10" s="0" t="s">
        <v>3944</v>
      </c>
      <c r="R10" s="0" t="n">
        <f aca="false">LEN(C10)+LEN(D10)+LEN(E10)+LEN(F10)+LEN(G10)+LEN(H10)</f>
        <v>21</v>
      </c>
      <c r="T10" s="0" t="s">
        <v>58</v>
      </c>
    </row>
    <row r="11" customFormat="false" ht="15" hidden="false" customHeight="false" outlineLevel="0" collapsed="false">
      <c r="A11" s="0" t="s">
        <v>3956</v>
      </c>
      <c r="B11" s="0" t="s">
        <v>3942</v>
      </c>
      <c r="C11" s="0" t="n">
        <v>1885</v>
      </c>
      <c r="D11" s="0" t="s">
        <v>3957</v>
      </c>
      <c r="E11" s="0" t="s">
        <v>3928</v>
      </c>
      <c r="G11" s="0" t="s">
        <v>3936</v>
      </c>
      <c r="H11" s="0" t="s">
        <v>3942</v>
      </c>
      <c r="I11" s="0" t="s">
        <v>3944</v>
      </c>
      <c r="M11" s="0" t="s">
        <v>29</v>
      </c>
      <c r="R11" s="0" t="n">
        <f aca="false">LEN(C11)+LEN(D11)+LEN(E11)+LEN(F11)+LEN(G11)+LEN(H11)</f>
        <v>23</v>
      </c>
      <c r="T11" s="0" t="s">
        <v>63</v>
      </c>
    </row>
    <row r="12" customFormat="false" ht="15" hidden="false" customHeight="false" outlineLevel="0" collapsed="false">
      <c r="A12" s="0" t="s">
        <v>3958</v>
      </c>
      <c r="B12" s="0" t="s">
        <v>3942</v>
      </c>
      <c r="C12" s="0" t="n">
        <v>1904</v>
      </c>
      <c r="D12" s="0" t="s">
        <v>3959</v>
      </c>
      <c r="E12" s="0" t="s">
        <v>69</v>
      </c>
      <c r="F12" s="0" t="s">
        <v>69</v>
      </c>
      <c r="G12" s="0" t="s">
        <v>3936</v>
      </c>
      <c r="H12" s="0" t="s">
        <v>3942</v>
      </c>
      <c r="I12" s="0" t="s">
        <v>3944</v>
      </c>
      <c r="M12" s="0" t="s">
        <v>29</v>
      </c>
      <c r="R12" s="0" t="n">
        <f aca="false">LEN(C12)+LEN(D12)+LEN(E12)+LEN(F12)+LEN(G12)+LEN(H12)</f>
        <v>19</v>
      </c>
      <c r="T12" s="0" t="s">
        <v>1441</v>
      </c>
      <c r="U12" s="0" t="s">
        <v>69</v>
      </c>
    </row>
    <row r="13" customFormat="false" ht="15" hidden="false" customHeight="false" outlineLevel="0" collapsed="false">
      <c r="A13" s="0" t="s">
        <v>3960</v>
      </c>
      <c r="B13" s="0" t="s">
        <v>3942</v>
      </c>
      <c r="C13" s="0" t="n">
        <v>1909</v>
      </c>
      <c r="D13" s="0" t="s">
        <v>3961</v>
      </c>
      <c r="E13" s="0" t="s">
        <v>1734</v>
      </c>
      <c r="F13" s="0" t="s">
        <v>394</v>
      </c>
      <c r="G13" s="0" t="s">
        <v>3936</v>
      </c>
      <c r="H13" s="0" t="s">
        <v>3942</v>
      </c>
      <c r="I13" s="0" t="s">
        <v>3944</v>
      </c>
      <c r="R13" s="0" t="n">
        <f aca="false">LEN(C13)+LEN(D13)+LEN(E13)+LEN(F13)+LEN(G13)+LEN(H13)</f>
        <v>30</v>
      </c>
      <c r="T13" s="0" t="s">
        <v>2773</v>
      </c>
      <c r="U13" s="0" t="s">
        <v>29</v>
      </c>
    </row>
    <row r="14" customFormat="false" ht="15" hidden="false" customHeight="false" outlineLevel="0" collapsed="false">
      <c r="A14" s="0" t="s">
        <v>3962</v>
      </c>
      <c r="B14" s="0" t="s">
        <v>3942</v>
      </c>
      <c r="C14" s="0" t="n">
        <v>1884</v>
      </c>
      <c r="D14" s="0" t="s">
        <v>3963</v>
      </c>
      <c r="E14" s="0" t="s">
        <v>3127</v>
      </c>
      <c r="F14" s="0" t="s">
        <v>962</v>
      </c>
      <c r="G14" s="0" t="s">
        <v>3936</v>
      </c>
      <c r="H14" s="0" t="s">
        <v>3942</v>
      </c>
      <c r="I14" s="0" t="s">
        <v>3944</v>
      </c>
      <c r="R14" s="0" t="n">
        <f aca="false">LEN(C14)+LEN(D14)+LEN(E14)+LEN(F14)+LEN(G14)+LEN(H14)</f>
        <v>26</v>
      </c>
    </row>
    <row r="15" customFormat="false" ht="15" hidden="false" customHeight="false" outlineLevel="0" collapsed="false">
      <c r="A15" s="0" t="s">
        <v>3964</v>
      </c>
      <c r="B15" s="0" t="s">
        <v>3942</v>
      </c>
      <c r="C15" s="0" t="n">
        <v>1912</v>
      </c>
      <c r="D15" s="0" t="s">
        <v>3965</v>
      </c>
      <c r="E15" s="0" t="s">
        <v>1671</v>
      </c>
      <c r="F15" s="0" t="s">
        <v>1671</v>
      </c>
      <c r="G15" s="0" t="s">
        <v>3936</v>
      </c>
      <c r="H15" s="0" t="s">
        <v>3942</v>
      </c>
      <c r="I15" s="0" t="s">
        <v>3944</v>
      </c>
      <c r="R15" s="0" t="n">
        <f aca="false">LEN(C15)+LEN(D15)+LEN(E15)+LEN(F15)+LEN(G15)+LEN(H15)</f>
        <v>25</v>
      </c>
    </row>
    <row r="16" customFormat="false" ht="15" hidden="false" customHeight="false" outlineLevel="0" collapsed="false">
      <c r="A16" s="0" t="s">
        <v>3966</v>
      </c>
      <c r="B16" s="0" t="s">
        <v>3942</v>
      </c>
      <c r="C16" s="0" t="n">
        <v>1885</v>
      </c>
      <c r="D16" s="0" t="s">
        <v>3967</v>
      </c>
      <c r="E16" s="0" t="s">
        <v>3968</v>
      </c>
      <c r="F16" s="0" t="s">
        <v>69</v>
      </c>
      <c r="G16" s="0" t="s">
        <v>3936</v>
      </c>
      <c r="H16" s="0" t="s">
        <v>3942</v>
      </c>
      <c r="I16" s="0" t="s">
        <v>3944</v>
      </c>
      <c r="R16" s="0" t="n">
        <f aca="false">LEN(C16)+LEN(D16)+LEN(E16)+LEN(F16)+LEN(G16)+LEN(H16)</f>
        <v>26</v>
      </c>
    </row>
    <row r="17" customFormat="false" ht="15" hidden="false" customHeight="false" outlineLevel="0" collapsed="false">
      <c r="A17" s="0" t="s">
        <v>3969</v>
      </c>
      <c r="B17" s="0" t="s">
        <v>3942</v>
      </c>
      <c r="C17" s="0" t="n">
        <v>1912</v>
      </c>
      <c r="D17" s="0" t="s">
        <v>3970</v>
      </c>
      <c r="E17" s="0" t="s">
        <v>1635</v>
      </c>
      <c r="G17" s="0" t="s">
        <v>3936</v>
      </c>
      <c r="H17" s="0" t="s">
        <v>3942</v>
      </c>
      <c r="I17" s="0" t="s">
        <v>3944</v>
      </c>
      <c r="M17" s="0" t="s">
        <v>29</v>
      </c>
      <c r="R17" s="0" t="n">
        <f aca="false">LEN(C17)+LEN(D17)+LEN(E17)+LEN(F17)+LEN(G17)+LEN(H17)</f>
        <v>21</v>
      </c>
    </row>
    <row r="18" customFormat="false" ht="15" hidden="false" customHeight="false" outlineLevel="0" collapsed="false">
      <c r="A18" s="0" t="s">
        <v>3971</v>
      </c>
      <c r="B18" s="0" t="s">
        <v>3942</v>
      </c>
      <c r="C18" s="0" t="n">
        <v>1906</v>
      </c>
      <c r="D18" s="0" t="s">
        <v>3972</v>
      </c>
      <c r="E18" s="0" t="s">
        <v>394</v>
      </c>
      <c r="G18" s="0" t="s">
        <v>3936</v>
      </c>
      <c r="H18" s="0" t="s">
        <v>3942</v>
      </c>
      <c r="I18" s="0" t="s">
        <v>3944</v>
      </c>
      <c r="R18" s="0" t="n">
        <f aca="false">LEN(C18)+LEN(D18)+LEN(E18)+LEN(F18)+LEN(G18)+LEN(H18)</f>
        <v>20</v>
      </c>
    </row>
    <row r="19" customFormat="false" ht="15" hidden="false" customHeight="false" outlineLevel="0" collapsed="false">
      <c r="A19" s="0" t="s">
        <v>3973</v>
      </c>
      <c r="B19" s="0" t="s">
        <v>3942</v>
      </c>
      <c r="C19" s="0" t="n">
        <v>1910</v>
      </c>
      <c r="D19" s="0" t="s">
        <v>3974</v>
      </c>
      <c r="E19" s="0" t="s">
        <v>69</v>
      </c>
      <c r="G19" s="0" t="s">
        <v>3936</v>
      </c>
      <c r="H19" s="0" t="s">
        <v>3942</v>
      </c>
      <c r="I19" s="0" t="s">
        <v>3944</v>
      </c>
      <c r="M19" s="0" t="s">
        <v>29</v>
      </c>
      <c r="R19" s="0" t="n">
        <f aca="false">LEN(C19)+LEN(D19)+LEN(E19)+LEN(F19)+LEN(G19)+LEN(H19)</f>
        <v>21</v>
      </c>
    </row>
    <row r="20" customFormat="false" ht="15" hidden="false" customHeight="false" outlineLevel="0" collapsed="false">
      <c r="A20" s="0" t="s">
        <v>3975</v>
      </c>
      <c r="B20" s="0" t="s">
        <v>3942</v>
      </c>
      <c r="C20" s="0" t="n">
        <v>1894</v>
      </c>
      <c r="D20" s="0" t="s">
        <v>2304</v>
      </c>
      <c r="E20" s="0" t="s">
        <v>3928</v>
      </c>
      <c r="G20" s="0" t="s">
        <v>3936</v>
      </c>
      <c r="H20" s="0" t="s">
        <v>3942</v>
      </c>
      <c r="I20" s="0" t="s">
        <v>3944</v>
      </c>
      <c r="L20" s="0" t="s">
        <v>29</v>
      </c>
      <c r="R20" s="0" t="n">
        <f aca="false">LEN(C20)+LEN(D20)+LEN(E20)+LEN(F20)+LEN(G20)+LEN(H20)</f>
        <v>20</v>
      </c>
    </row>
    <row r="21" customFormat="false" ht="15" hidden="false" customHeight="false" outlineLevel="0" collapsed="false">
      <c r="A21" s="0" t="s">
        <v>3976</v>
      </c>
      <c r="B21" s="0" t="s">
        <v>3942</v>
      </c>
      <c r="C21" s="0" t="n">
        <v>1912</v>
      </c>
      <c r="D21" s="0" t="s">
        <v>3977</v>
      </c>
      <c r="E21" s="0" t="s">
        <v>23</v>
      </c>
      <c r="G21" s="0" t="s">
        <v>3936</v>
      </c>
      <c r="H21" s="0" t="s">
        <v>3942</v>
      </c>
      <c r="I21" s="0" t="s">
        <v>3944</v>
      </c>
      <c r="K21" s="0" t="s">
        <v>29</v>
      </c>
      <c r="M21" s="0" t="s">
        <v>29</v>
      </c>
      <c r="R21" s="0" t="n">
        <f aca="false">LEN(C21)+LEN(D21)+LEN(E21)+LEN(F21)+LEN(G21)+LEN(H21)</f>
        <v>17</v>
      </c>
    </row>
    <row r="22" customFormat="false" ht="15" hidden="false" customHeight="false" outlineLevel="0" collapsed="false">
      <c r="A22" s="0" t="s">
        <v>3978</v>
      </c>
      <c r="B22" s="0" t="s">
        <v>3942</v>
      </c>
      <c r="C22" s="0" t="n">
        <v>1902</v>
      </c>
      <c r="D22" s="0" t="s">
        <v>3979</v>
      </c>
      <c r="E22" s="0" t="s">
        <v>1635</v>
      </c>
      <c r="F22" s="0" t="s">
        <v>881</v>
      </c>
      <c r="G22" s="0" t="s">
        <v>3936</v>
      </c>
      <c r="H22" s="0" t="s">
        <v>3942</v>
      </c>
      <c r="I22" s="0" t="s">
        <v>3944</v>
      </c>
      <c r="K22" s="0" t="s">
        <v>69</v>
      </c>
      <c r="Q22" s="0" t="n">
        <v>1</v>
      </c>
      <c r="R22" s="0" t="n">
        <f aca="false">LEN(C22)+LEN(D22)+LEN(E22)+LEN(F22)+LEN(G22)+LEN(H22)</f>
        <v>23</v>
      </c>
    </row>
    <row r="23" customFormat="false" ht="15" hidden="false" customHeight="false" outlineLevel="0" collapsed="false">
      <c r="A23" s="0" t="s">
        <v>3980</v>
      </c>
      <c r="B23" s="0" t="s">
        <v>3942</v>
      </c>
      <c r="C23" s="0" t="n">
        <v>1884</v>
      </c>
      <c r="D23" s="0" t="s">
        <v>3981</v>
      </c>
      <c r="E23" s="0" t="s">
        <v>1267</v>
      </c>
      <c r="G23" s="0" t="s">
        <v>3936</v>
      </c>
      <c r="H23" s="0" t="s">
        <v>3942</v>
      </c>
      <c r="I23" s="0" t="s">
        <v>3944</v>
      </c>
      <c r="R23" s="0" t="n">
        <f aca="false">LEN(C23)+LEN(D23)+LEN(E23)+LEN(F23)+LEN(G23)+LEN(H23)</f>
        <v>19</v>
      </c>
    </row>
    <row r="24" customFormat="false" ht="15" hidden="false" customHeight="false" outlineLevel="0" collapsed="false">
      <c r="A24" s="0" t="s">
        <v>3982</v>
      </c>
      <c r="B24" s="0" t="s">
        <v>3942</v>
      </c>
      <c r="C24" s="0" t="n">
        <v>1903</v>
      </c>
      <c r="D24" s="0" t="s">
        <v>3983</v>
      </c>
      <c r="E24" s="0" t="s">
        <v>24</v>
      </c>
      <c r="F24" s="0" t="s">
        <v>881</v>
      </c>
      <c r="G24" s="0" t="s">
        <v>3936</v>
      </c>
      <c r="H24" s="0" t="s">
        <v>3942</v>
      </c>
      <c r="I24" s="0" t="s">
        <v>3944</v>
      </c>
      <c r="R24" s="0" t="n">
        <f aca="false">LEN(C24)+LEN(D24)+LEN(E24)+LEN(F24)+LEN(G24)+LEN(H24)</f>
        <v>25</v>
      </c>
    </row>
    <row r="25" customFormat="false" ht="15" hidden="false" customHeight="false" outlineLevel="0" collapsed="false">
      <c r="A25" s="0" t="s">
        <v>3984</v>
      </c>
      <c r="B25" s="0" t="s">
        <v>3942</v>
      </c>
      <c r="C25" s="0" t="n">
        <v>1892</v>
      </c>
      <c r="D25" s="0" t="s">
        <v>3985</v>
      </c>
      <c r="E25" s="0" t="s">
        <v>1391</v>
      </c>
      <c r="F25" s="0" t="s">
        <v>1635</v>
      </c>
      <c r="G25" s="0" t="s">
        <v>3936</v>
      </c>
      <c r="H25" s="0" t="s">
        <v>3942</v>
      </c>
      <c r="I25" s="0" t="s">
        <v>3944</v>
      </c>
      <c r="R25" s="0" t="n">
        <f aca="false">LEN(C25)+LEN(D25)+LEN(E25)+LEN(F25)+LEN(G25)+LEN(H25)</f>
        <v>24</v>
      </c>
    </row>
    <row r="26" customFormat="false" ht="15" hidden="false" customHeight="false" outlineLevel="0" collapsed="false">
      <c r="A26" s="0" t="s">
        <v>3986</v>
      </c>
      <c r="B26" s="0" t="s">
        <v>3942</v>
      </c>
      <c r="C26" s="0" t="n">
        <v>1893</v>
      </c>
      <c r="D26" s="0" t="s">
        <v>3987</v>
      </c>
      <c r="E26" s="0" t="s">
        <v>69</v>
      </c>
      <c r="G26" s="0" t="s">
        <v>3936</v>
      </c>
      <c r="H26" s="0" t="s">
        <v>3942</v>
      </c>
      <c r="I26" s="0" t="s">
        <v>3944</v>
      </c>
      <c r="R26" s="0" t="n">
        <f aca="false">LEN(C26)+LEN(D26)+LEN(E26)+LEN(F26)+LEN(G26)+LEN(H26)</f>
        <v>19</v>
      </c>
    </row>
    <row r="27" customFormat="false" ht="15" hidden="false" customHeight="false" outlineLevel="0" collapsed="false">
      <c r="A27" s="0" t="s">
        <v>3988</v>
      </c>
      <c r="B27" s="0" t="s">
        <v>3942</v>
      </c>
      <c r="C27" s="0" t="n">
        <v>1906</v>
      </c>
      <c r="D27" s="0" t="s">
        <v>3989</v>
      </c>
      <c r="E27" s="0" t="s">
        <v>962</v>
      </c>
      <c r="F27" s="0" t="s">
        <v>69</v>
      </c>
      <c r="G27" s="0" t="s">
        <v>3936</v>
      </c>
      <c r="H27" s="0" t="s">
        <v>3942</v>
      </c>
      <c r="I27" s="0" t="s">
        <v>3944</v>
      </c>
      <c r="R27" s="0" t="n">
        <f aca="false">LEN(C27)+LEN(D27)+LEN(E27)+LEN(F27)+LEN(G27)+LEN(H27)</f>
        <v>21</v>
      </c>
    </row>
    <row r="28" customFormat="false" ht="15" hidden="false" customHeight="false" outlineLevel="0" collapsed="false">
      <c r="A28" s="0" t="s">
        <v>3990</v>
      </c>
      <c r="B28" s="0" t="s">
        <v>3991</v>
      </c>
      <c r="C28" s="0" t="n">
        <v>1905</v>
      </c>
      <c r="D28" s="0" t="s">
        <v>3992</v>
      </c>
      <c r="E28" s="0" t="s">
        <v>962</v>
      </c>
      <c r="G28" s="0" t="s">
        <v>3936</v>
      </c>
      <c r="H28" s="0" t="s">
        <v>3991</v>
      </c>
      <c r="I28" s="0" t="s">
        <v>3993</v>
      </c>
      <c r="J28" s="9" t="s">
        <v>29</v>
      </c>
      <c r="R28" s="0" t="n">
        <f aca="false">LEN(C28)+LEN(D28)+LEN(E28)+LEN(F28)+LEN(G28)+LEN(H28)</f>
        <v>20</v>
      </c>
    </row>
    <row r="29" customFormat="false" ht="15" hidden="false" customHeight="false" outlineLevel="0" collapsed="false">
      <c r="A29" s="0" t="s">
        <v>3994</v>
      </c>
      <c r="B29" s="0" t="s">
        <v>3991</v>
      </c>
      <c r="C29" s="0" t="n">
        <v>1905</v>
      </c>
      <c r="D29" s="0" t="s">
        <v>3995</v>
      </c>
      <c r="E29" s="0" t="s">
        <v>880</v>
      </c>
      <c r="G29" s="0" t="s">
        <v>3936</v>
      </c>
      <c r="H29" s="0" t="s">
        <v>3991</v>
      </c>
      <c r="I29" s="0" t="s">
        <v>3993</v>
      </c>
      <c r="J29" s="9" t="s">
        <v>29</v>
      </c>
      <c r="R29" s="0" t="n">
        <f aca="false">LEN(C29)+LEN(D29)+LEN(E29)+LEN(F29)+LEN(G29)+LEN(H29)</f>
        <v>22</v>
      </c>
    </row>
    <row r="30" customFormat="false" ht="15" hidden="false" customHeight="false" outlineLevel="0" collapsed="false">
      <c r="A30" s="0" t="s">
        <v>3996</v>
      </c>
      <c r="B30" s="0" t="s">
        <v>3991</v>
      </c>
      <c r="C30" s="0" t="n">
        <v>1905</v>
      </c>
      <c r="D30" s="0" t="s">
        <v>3997</v>
      </c>
      <c r="E30" s="0" t="s">
        <v>1671</v>
      </c>
      <c r="G30" s="0" t="s">
        <v>3936</v>
      </c>
      <c r="H30" s="0" t="s">
        <v>3991</v>
      </c>
      <c r="I30" s="0" t="s">
        <v>3993</v>
      </c>
      <c r="J30" s="9" t="s">
        <v>29</v>
      </c>
      <c r="R30" s="0" t="n">
        <f aca="false">LEN(C30)+LEN(D30)+LEN(E30)+LEN(F30)+LEN(G30)+LEN(H30)</f>
        <v>22</v>
      </c>
    </row>
    <row r="31" customFormat="false" ht="15" hidden="false" customHeight="false" outlineLevel="0" collapsed="false">
      <c r="A31" s="0" t="s">
        <v>3998</v>
      </c>
      <c r="B31" s="0" t="s">
        <v>3999</v>
      </c>
      <c r="C31" s="0" t="n">
        <v>1865</v>
      </c>
      <c r="D31" s="0" t="s">
        <v>4000</v>
      </c>
      <c r="E31" s="0" t="s">
        <v>394</v>
      </c>
      <c r="I31" s="0" t="s">
        <v>4001</v>
      </c>
      <c r="J31" s="0" t="s">
        <v>29</v>
      </c>
      <c r="M31" s="0" t="s">
        <v>29</v>
      </c>
      <c r="N31" s="0" t="s">
        <v>29</v>
      </c>
      <c r="O31" s="0" t="s">
        <v>29</v>
      </c>
      <c r="R31" s="0" t="n">
        <f aca="false">LEN(C31)+LEN(D31)+LEN(E31)+LEN(F31)+LEN(G31)+LEN(H31)</f>
        <v>13</v>
      </c>
    </row>
    <row r="32" customFormat="false" ht="15" hidden="false" customHeight="false" outlineLevel="0" collapsed="false">
      <c r="A32" s="0" t="s">
        <v>4002</v>
      </c>
      <c r="B32" s="0" t="s">
        <v>3999</v>
      </c>
      <c r="C32" s="0" t="n">
        <v>1871</v>
      </c>
      <c r="D32" s="0" t="s">
        <v>4003</v>
      </c>
      <c r="E32" s="0" t="s">
        <v>4004</v>
      </c>
      <c r="F32" s="0" t="s">
        <v>4005</v>
      </c>
      <c r="I32" s="0" t="s">
        <v>4006</v>
      </c>
      <c r="J32" s="0" t="s">
        <v>4007</v>
      </c>
      <c r="N32" s="0" t="s">
        <v>29</v>
      </c>
      <c r="O32" s="0" t="s">
        <v>29</v>
      </c>
      <c r="R32" s="0" t="n">
        <f aca="false">LEN(C32)+LEN(D32)+LEN(E32)+LEN(F32)+LEN(G32)+LEN(H32)</f>
        <v>21</v>
      </c>
    </row>
    <row r="33" customFormat="false" ht="15" hidden="false" customHeight="false" outlineLevel="0" collapsed="false">
      <c r="A33" s="0" t="s">
        <v>4008</v>
      </c>
      <c r="B33" s="0" t="s">
        <v>3999</v>
      </c>
      <c r="C33" s="0" t="n">
        <v>1871</v>
      </c>
      <c r="D33" s="0" t="s">
        <v>1652</v>
      </c>
      <c r="E33" s="0" t="s">
        <v>2856</v>
      </c>
      <c r="F33" s="0" t="s">
        <v>4009</v>
      </c>
      <c r="G33" s="0" t="s">
        <v>3936</v>
      </c>
      <c r="H33" s="0" t="s">
        <v>4010</v>
      </c>
      <c r="I33" s="0" t="s">
        <v>4011</v>
      </c>
      <c r="R33" s="0" t="n">
        <f aca="false">LEN(C33)+LEN(D33)+LEN(E33)+LEN(F33)+LEN(G33)+LEN(H33)</f>
        <v>43</v>
      </c>
    </row>
    <row r="34" customFormat="false" ht="15" hidden="false" customHeight="false" outlineLevel="0" collapsed="false">
      <c r="A34" s="0" t="s">
        <v>4012</v>
      </c>
      <c r="B34" s="0" t="s">
        <v>3999</v>
      </c>
      <c r="C34" s="0" t="n">
        <v>1871</v>
      </c>
      <c r="D34" s="0" t="s">
        <v>4013</v>
      </c>
      <c r="E34" s="0" t="s">
        <v>4014</v>
      </c>
      <c r="G34" s="0" t="s">
        <v>3936</v>
      </c>
      <c r="H34" s="0" t="s">
        <v>4010</v>
      </c>
      <c r="I34" s="0" t="s">
        <v>4015</v>
      </c>
      <c r="J34" s="0" t="s">
        <v>29</v>
      </c>
      <c r="R34" s="0" t="n">
        <f aca="false">LEN(C34)+LEN(D34)+LEN(E34)+LEN(F34)+LEN(G34)+LEN(H34)</f>
        <v>39</v>
      </c>
    </row>
    <row r="35" customFormat="false" ht="15" hidden="false" customHeight="false" outlineLevel="0" collapsed="false">
      <c r="A35" s="0" t="s">
        <v>4016</v>
      </c>
      <c r="B35" s="0" t="s">
        <v>3999</v>
      </c>
      <c r="C35" s="0" t="n">
        <v>1873</v>
      </c>
      <c r="D35" s="0" t="s">
        <v>4017</v>
      </c>
      <c r="E35" s="0" t="s">
        <v>4018</v>
      </c>
      <c r="F35" s="0" t="s">
        <v>4004</v>
      </c>
      <c r="G35" s="0" t="s">
        <v>3936</v>
      </c>
      <c r="H35" s="0" t="s">
        <v>4010</v>
      </c>
      <c r="I35" s="0" t="s">
        <v>4019</v>
      </c>
      <c r="R35" s="0" t="n">
        <f aca="false">LEN(C35)+LEN(D35)+LEN(E35)+LEN(F35)+LEN(G35)+LEN(H35)</f>
        <v>44</v>
      </c>
    </row>
    <row r="36" customFormat="false" ht="15" hidden="false" customHeight="false" outlineLevel="0" collapsed="false">
      <c r="A36" s="0" t="s">
        <v>4020</v>
      </c>
      <c r="B36" s="0" t="s">
        <v>3999</v>
      </c>
      <c r="C36" s="0" t="n">
        <v>1874</v>
      </c>
      <c r="D36" s="0" t="s">
        <v>4021</v>
      </c>
      <c r="E36" s="0" t="s">
        <v>496</v>
      </c>
      <c r="I36" s="0" t="s">
        <v>4022</v>
      </c>
      <c r="J36" s="0" t="s">
        <v>29</v>
      </c>
      <c r="N36" s="0" t="s">
        <v>29</v>
      </c>
      <c r="O36" s="0" t="s">
        <v>29</v>
      </c>
      <c r="R36" s="0" t="n">
        <f aca="false">LEN(C36)+LEN(D36)+LEN(E36)+LEN(F36)+LEN(G36)+LEN(H36)</f>
        <v>12</v>
      </c>
    </row>
    <row r="37" customFormat="false" ht="15" hidden="false" customHeight="false" outlineLevel="0" collapsed="false">
      <c r="A37" s="0" t="s">
        <v>4023</v>
      </c>
      <c r="B37" s="0" t="s">
        <v>3999</v>
      </c>
      <c r="C37" s="0" t="n">
        <v>1876</v>
      </c>
      <c r="D37" s="0" t="s">
        <v>4024</v>
      </c>
      <c r="E37" s="0" t="s">
        <v>4025</v>
      </c>
      <c r="F37" s="0" t="s">
        <v>4026</v>
      </c>
      <c r="I37" s="0" t="s">
        <v>4027</v>
      </c>
      <c r="J37" s="0" t="s">
        <v>29</v>
      </c>
      <c r="K37" s="0" t="s">
        <v>69</v>
      </c>
      <c r="M37" s="0" t="s">
        <v>69</v>
      </c>
      <c r="N37" s="0" t="s">
        <v>29</v>
      </c>
      <c r="O37" s="0" t="s">
        <v>29</v>
      </c>
      <c r="Q37" s="0" t="n">
        <v>3</v>
      </c>
      <c r="R37" s="0" t="n">
        <f aca="false">LEN(C37)+LEN(D37)+LEN(E37)+LEN(F37)+LEN(G37)+LEN(H37)</f>
        <v>26</v>
      </c>
    </row>
    <row r="38" customFormat="false" ht="15" hidden="false" customHeight="false" outlineLevel="0" collapsed="false">
      <c r="A38" s="0" t="s">
        <v>4028</v>
      </c>
      <c r="B38" s="0" t="s">
        <v>3999</v>
      </c>
      <c r="C38" s="0" t="n">
        <v>1877</v>
      </c>
      <c r="D38" s="0" t="s">
        <v>4029</v>
      </c>
      <c r="E38" s="0" t="s">
        <v>496</v>
      </c>
      <c r="F38" s="0" t="s">
        <v>4018</v>
      </c>
      <c r="G38" s="0" t="s">
        <v>3936</v>
      </c>
      <c r="H38" s="0" t="s">
        <v>4010</v>
      </c>
      <c r="I38" s="0" t="s">
        <v>4030</v>
      </c>
      <c r="K38" s="0" t="s">
        <v>69</v>
      </c>
      <c r="Q38" s="0" t="n">
        <v>1</v>
      </c>
      <c r="R38" s="0" t="n">
        <f aca="false">LEN(C38)+LEN(D38)+LEN(E38)+LEN(F38)+LEN(G38)+LEN(H38)</f>
        <v>40</v>
      </c>
    </row>
    <row r="39" customFormat="false" ht="15" hidden="false" customHeight="false" outlineLevel="0" collapsed="false">
      <c r="A39" s="0" t="s">
        <v>4031</v>
      </c>
      <c r="B39" s="0" t="s">
        <v>3999</v>
      </c>
      <c r="C39" s="0" t="n">
        <v>1876</v>
      </c>
      <c r="D39" s="0" t="s">
        <v>4032</v>
      </c>
      <c r="E39" s="0" t="s">
        <v>4033</v>
      </c>
      <c r="F39" s="0" t="s">
        <v>3968</v>
      </c>
      <c r="I39" s="0" t="s">
        <v>4034</v>
      </c>
      <c r="N39" s="0" t="s">
        <v>29</v>
      </c>
      <c r="O39" s="0" t="s">
        <v>29</v>
      </c>
      <c r="R39" s="0" t="n">
        <f aca="false">LEN(C39)+LEN(D39)+LEN(E39)+LEN(F39)+LEN(G39)+LEN(H39)</f>
        <v>24</v>
      </c>
    </row>
    <row r="40" customFormat="false" ht="15" hidden="false" customHeight="false" outlineLevel="0" collapsed="false">
      <c r="A40" s="0" t="s">
        <v>4035</v>
      </c>
      <c r="B40" s="0" t="s">
        <v>3999</v>
      </c>
      <c r="C40" s="0" t="n">
        <v>1883</v>
      </c>
      <c r="D40" s="0" t="s">
        <v>4036</v>
      </c>
      <c r="E40" s="0" t="s">
        <v>4033</v>
      </c>
      <c r="F40" s="0" t="s">
        <v>496</v>
      </c>
      <c r="G40" s="0" t="s">
        <v>3936</v>
      </c>
      <c r="H40" s="0" t="s">
        <v>4010</v>
      </c>
      <c r="I40" s="0" t="s">
        <v>4037</v>
      </c>
      <c r="R40" s="0" t="n">
        <f aca="false">LEN(C40)+LEN(D40)+LEN(E40)+LEN(F40)+LEN(G40)+LEN(H40)</f>
        <v>45</v>
      </c>
    </row>
    <row r="41" customFormat="false" ht="15" hidden="false" customHeight="false" outlineLevel="0" collapsed="false">
      <c r="A41" s="0" t="s">
        <v>4038</v>
      </c>
      <c r="B41" s="0" t="s">
        <v>3999</v>
      </c>
      <c r="C41" s="0" t="n">
        <v>1877</v>
      </c>
      <c r="D41" s="0" t="s">
        <v>4039</v>
      </c>
      <c r="E41" s="0" t="s">
        <v>4040</v>
      </c>
      <c r="I41" s="0" t="s">
        <v>4041</v>
      </c>
      <c r="J41" s="0" t="s">
        <v>29</v>
      </c>
      <c r="N41" s="0" t="s">
        <v>29</v>
      </c>
      <c r="O41" s="0" t="s">
        <v>29</v>
      </c>
      <c r="R41" s="0" t="n">
        <f aca="false">LEN(C41)+LEN(D41)+LEN(E41)+LEN(F41)+LEN(G41)+LEN(H41)</f>
        <v>20</v>
      </c>
    </row>
    <row r="42" customFormat="false" ht="15" hidden="false" customHeight="false" outlineLevel="0" collapsed="false">
      <c r="A42" s="0" t="s">
        <v>4042</v>
      </c>
      <c r="B42" s="0" t="s">
        <v>3999</v>
      </c>
      <c r="C42" s="0" t="n">
        <v>1886</v>
      </c>
      <c r="D42" s="0" t="s">
        <v>4043</v>
      </c>
      <c r="E42" s="0" t="s">
        <v>4044</v>
      </c>
      <c r="F42" s="0" t="s">
        <v>4045</v>
      </c>
      <c r="G42" s="0" t="s">
        <v>3936</v>
      </c>
      <c r="H42" s="0" t="s">
        <v>4010</v>
      </c>
      <c r="I42" s="0" t="s">
        <v>4046</v>
      </c>
      <c r="R42" s="0" t="n">
        <f aca="false">LEN(C42)+LEN(D42)+LEN(E42)+LEN(F42)+LEN(G42)+LEN(H42)</f>
        <v>47</v>
      </c>
    </row>
    <row r="43" customFormat="false" ht="15" hidden="false" customHeight="false" outlineLevel="0" collapsed="false">
      <c r="A43" s="0" t="s">
        <v>4047</v>
      </c>
      <c r="B43" s="0" t="s">
        <v>3999</v>
      </c>
      <c r="C43" s="0" t="n">
        <v>1883</v>
      </c>
      <c r="D43" s="0" t="s">
        <v>4048</v>
      </c>
      <c r="E43" s="0" t="s">
        <v>4049</v>
      </c>
      <c r="I43" s="0" t="s">
        <v>4050</v>
      </c>
      <c r="J43" s="0" t="s">
        <v>29</v>
      </c>
      <c r="N43" s="0" t="s">
        <v>29</v>
      </c>
      <c r="O43" s="0" t="s">
        <v>29</v>
      </c>
      <c r="R43" s="0" t="n">
        <f aca="false">LEN(C43)+LEN(D43)+LEN(E43)+LEN(F43)+LEN(G43)+LEN(H43)</f>
        <v>14</v>
      </c>
    </row>
    <row r="44" customFormat="false" ht="15" hidden="false" customHeight="false" outlineLevel="0" collapsed="false">
      <c r="A44" s="0" t="s">
        <v>4051</v>
      </c>
      <c r="B44" s="0" t="s">
        <v>3999</v>
      </c>
      <c r="C44" s="0" t="n">
        <v>1883</v>
      </c>
      <c r="D44" s="0" t="s">
        <v>3955</v>
      </c>
      <c r="E44" s="0" t="s">
        <v>1706</v>
      </c>
      <c r="F44" s="0" t="s">
        <v>4052</v>
      </c>
      <c r="I44" s="0" t="s">
        <v>4053</v>
      </c>
      <c r="J44" s="0" t="s">
        <v>29</v>
      </c>
      <c r="N44" s="0" t="s">
        <v>29</v>
      </c>
      <c r="O44" s="0" t="s">
        <v>29</v>
      </c>
      <c r="R44" s="0" t="n">
        <f aca="false">LEN(C44)+LEN(D44)+LEN(E44)+LEN(F44)+LEN(G44)+LEN(H44)</f>
        <v>19</v>
      </c>
    </row>
    <row r="45" customFormat="false" ht="15" hidden="false" customHeight="false" outlineLevel="0" collapsed="false">
      <c r="A45" s="0" t="s">
        <v>4054</v>
      </c>
      <c r="B45" s="0" t="s">
        <v>3999</v>
      </c>
      <c r="C45" s="0" t="n">
        <v>1884</v>
      </c>
      <c r="D45" s="0" t="s">
        <v>4055</v>
      </c>
      <c r="G45" s="0" t="s">
        <v>3936</v>
      </c>
      <c r="H45" s="0" t="s">
        <v>4010</v>
      </c>
      <c r="I45" s="0" t="s">
        <v>152</v>
      </c>
      <c r="L45" s="0" t="s">
        <v>29</v>
      </c>
      <c r="M45" s="0" t="s">
        <v>29</v>
      </c>
      <c r="R45" s="0" t="n">
        <f aca="false">LEN(C45)+LEN(D45)+LEN(E45)+LEN(F45)+LEN(G45)+LEN(H45)</f>
        <v>33</v>
      </c>
    </row>
    <row r="46" customFormat="false" ht="15" hidden="false" customHeight="false" outlineLevel="0" collapsed="false">
      <c r="A46" s="0" t="s">
        <v>4056</v>
      </c>
      <c r="B46" s="0" t="s">
        <v>3999</v>
      </c>
      <c r="C46" s="0" t="n">
        <v>1885</v>
      </c>
      <c r="D46" s="0" t="s">
        <v>4057</v>
      </c>
      <c r="E46" s="0" t="s">
        <v>4058</v>
      </c>
      <c r="G46" s="0" t="s">
        <v>3936</v>
      </c>
      <c r="H46" s="0" t="s">
        <v>4010</v>
      </c>
      <c r="I46" s="0" t="s">
        <v>4059</v>
      </c>
      <c r="R46" s="0" t="n">
        <f aca="false">LEN(C46)+LEN(D46)+LEN(E46)+LEN(F46)+LEN(G46)+LEN(H46)</f>
        <v>41</v>
      </c>
    </row>
    <row r="47" customFormat="false" ht="15" hidden="false" customHeight="false" outlineLevel="0" collapsed="false">
      <c r="A47" s="0" t="s">
        <v>4060</v>
      </c>
      <c r="B47" s="0" t="s">
        <v>3999</v>
      </c>
      <c r="C47" s="0" t="n">
        <v>1889</v>
      </c>
      <c r="D47" s="0" t="s">
        <v>4061</v>
      </c>
      <c r="G47" s="0" t="s">
        <v>3936</v>
      </c>
      <c r="H47" s="0" t="s">
        <v>4010</v>
      </c>
      <c r="I47" s="0" t="s">
        <v>152</v>
      </c>
      <c r="L47" s="0" t="s">
        <v>29</v>
      </c>
      <c r="R47" s="0" t="n">
        <f aca="false">LEN(C47)+LEN(D47)+LEN(E47)+LEN(F47)+LEN(G47)+LEN(H47)</f>
        <v>39</v>
      </c>
    </row>
    <row r="48" customFormat="false" ht="15" hidden="false" customHeight="false" outlineLevel="0" collapsed="false">
      <c r="A48" s="0" t="s">
        <v>4062</v>
      </c>
      <c r="B48" s="0" t="s">
        <v>3999</v>
      </c>
      <c r="C48" s="0" t="n">
        <v>1887</v>
      </c>
      <c r="D48" s="0" t="s">
        <v>4063</v>
      </c>
      <c r="E48" s="0" t="s">
        <v>3795</v>
      </c>
      <c r="G48" s="0" t="s">
        <v>3936</v>
      </c>
      <c r="H48" s="0" t="s">
        <v>4010</v>
      </c>
      <c r="I48" s="0" t="s">
        <v>4064</v>
      </c>
      <c r="R48" s="0" t="n">
        <f aca="false">LEN(C48)+LEN(D48)+LEN(E48)+LEN(F48)+LEN(G48)+LEN(H48)</f>
        <v>33</v>
      </c>
    </row>
    <row r="49" customFormat="false" ht="15" hidden="false" customHeight="false" outlineLevel="0" collapsed="false">
      <c r="A49" s="0" t="s">
        <v>4065</v>
      </c>
      <c r="B49" s="0" t="s">
        <v>3999</v>
      </c>
      <c r="C49" s="0" t="n">
        <v>1889</v>
      </c>
      <c r="D49" s="0" t="s">
        <v>4066</v>
      </c>
      <c r="E49" s="0" t="s">
        <v>4067</v>
      </c>
      <c r="G49" s="0" t="s">
        <v>3936</v>
      </c>
      <c r="H49" s="0" t="s">
        <v>4010</v>
      </c>
      <c r="I49" s="0" t="s">
        <v>4068</v>
      </c>
      <c r="R49" s="0" t="n">
        <f aca="false">LEN(C49)+LEN(D49)+LEN(E49)+LEN(F49)+LEN(G49)+LEN(H49)</f>
        <v>39</v>
      </c>
    </row>
    <row r="50" customFormat="false" ht="15" hidden="false" customHeight="false" outlineLevel="0" collapsed="false">
      <c r="A50" s="0" t="s">
        <v>4069</v>
      </c>
      <c r="B50" s="0" t="s">
        <v>3999</v>
      </c>
      <c r="C50" s="0" t="n">
        <v>1889</v>
      </c>
      <c r="D50" s="0" t="s">
        <v>4070</v>
      </c>
      <c r="E50" s="0" t="s">
        <v>4071</v>
      </c>
      <c r="F50" s="0" t="s">
        <v>4072</v>
      </c>
      <c r="I50" s="0" t="s">
        <v>4006</v>
      </c>
      <c r="J50" s="0" t="s">
        <v>29</v>
      </c>
      <c r="N50" s="0" t="s">
        <v>29</v>
      </c>
      <c r="O50" s="0" t="s">
        <v>29</v>
      </c>
      <c r="R50" s="0" t="n">
        <f aca="false">LEN(C50)+LEN(D50)+LEN(E50)+LEN(F50)+LEN(G50)+LEN(H50)</f>
        <v>18</v>
      </c>
    </row>
    <row r="51" customFormat="false" ht="15" hidden="false" customHeight="false" outlineLevel="0" collapsed="false">
      <c r="A51" s="0" t="s">
        <v>4073</v>
      </c>
      <c r="B51" s="0" t="s">
        <v>3999</v>
      </c>
      <c r="C51" s="0" t="n">
        <v>1890</v>
      </c>
      <c r="D51" s="0" t="s">
        <v>4074</v>
      </c>
      <c r="E51" s="0" t="s">
        <v>4075</v>
      </c>
      <c r="F51" s="0" t="s">
        <v>4076</v>
      </c>
      <c r="G51" s="0" t="s">
        <v>3936</v>
      </c>
      <c r="H51" s="0" t="s">
        <v>4010</v>
      </c>
      <c r="I51" s="0" t="s">
        <v>4077</v>
      </c>
      <c r="R51" s="0" t="n">
        <f aca="false">LEN(C51)+LEN(D51)+LEN(E51)+LEN(F51)+LEN(G51)+LEN(H51)</f>
        <v>49</v>
      </c>
    </row>
    <row r="52" customFormat="false" ht="15" hidden="false" customHeight="false" outlineLevel="0" collapsed="false">
      <c r="A52" s="0" t="s">
        <v>4078</v>
      </c>
      <c r="B52" s="0" t="s">
        <v>3999</v>
      </c>
      <c r="C52" s="0" t="n">
        <v>1890</v>
      </c>
      <c r="D52" s="0" t="s">
        <v>4079</v>
      </c>
      <c r="E52" s="0" t="s">
        <v>4080</v>
      </c>
      <c r="F52" s="0" t="s">
        <v>496</v>
      </c>
      <c r="G52" s="0" t="s">
        <v>3936</v>
      </c>
      <c r="H52" s="0" t="s">
        <v>4010</v>
      </c>
      <c r="I52" s="0" t="s">
        <v>191</v>
      </c>
      <c r="R52" s="0" t="n">
        <f aca="false">LEN(C52)+LEN(D52)+LEN(E52)+LEN(F52)+LEN(G52)+LEN(H52)</f>
        <v>44</v>
      </c>
    </row>
    <row r="53" customFormat="false" ht="15" hidden="false" customHeight="false" outlineLevel="0" collapsed="false">
      <c r="A53" s="0" t="s">
        <v>4081</v>
      </c>
      <c r="B53" s="0" t="s">
        <v>3999</v>
      </c>
      <c r="C53" s="0" t="n">
        <v>1890</v>
      </c>
      <c r="D53" s="0" t="s">
        <v>4082</v>
      </c>
      <c r="E53" s="0" t="s">
        <v>4083</v>
      </c>
      <c r="I53" s="0" t="s">
        <v>4084</v>
      </c>
      <c r="J53" s="0" t="s">
        <v>29</v>
      </c>
      <c r="N53" s="0" t="s">
        <v>29</v>
      </c>
      <c r="O53" s="0" t="s">
        <v>29</v>
      </c>
      <c r="R53" s="0" t="n">
        <f aca="false">LEN(C53)+LEN(D53)+LEN(E53)+LEN(F53)+LEN(G53)+LEN(H53)</f>
        <v>22</v>
      </c>
    </row>
    <row r="54" customFormat="false" ht="15" hidden="false" customHeight="false" outlineLevel="0" collapsed="false">
      <c r="A54" s="0" t="s">
        <v>4085</v>
      </c>
      <c r="B54" s="0" t="s">
        <v>3999</v>
      </c>
      <c r="C54" s="0" t="n">
        <v>1891</v>
      </c>
      <c r="D54" s="0" t="s">
        <v>4086</v>
      </c>
      <c r="E54" s="0" t="s">
        <v>4087</v>
      </c>
      <c r="F54" s="0" t="s">
        <v>4088</v>
      </c>
      <c r="G54" s="0" t="s">
        <v>3936</v>
      </c>
      <c r="H54" s="0" t="s">
        <v>4010</v>
      </c>
      <c r="I54" s="0" t="s">
        <v>4089</v>
      </c>
      <c r="R54" s="0" t="n">
        <f aca="false">LEN(C54)+LEN(D54)+LEN(E54)+LEN(F54)+LEN(G54)+LEN(H54)</f>
        <v>48</v>
      </c>
    </row>
    <row r="55" customFormat="false" ht="15" hidden="false" customHeight="false" outlineLevel="0" collapsed="false">
      <c r="A55" s="0" t="s">
        <v>4090</v>
      </c>
      <c r="B55" s="0" t="s">
        <v>3999</v>
      </c>
      <c r="C55" s="0" t="n">
        <v>1893</v>
      </c>
      <c r="D55" s="0" t="s">
        <v>4091</v>
      </c>
      <c r="E55" s="0" t="s">
        <v>4067</v>
      </c>
      <c r="G55" s="0" t="s">
        <v>3936</v>
      </c>
      <c r="H55" s="0" t="s">
        <v>4010</v>
      </c>
      <c r="I55" s="0" t="s">
        <v>4092</v>
      </c>
      <c r="R55" s="0" t="n">
        <f aca="false">LEN(C55)+LEN(D55)+LEN(E55)+LEN(F55)+LEN(G55)+LEN(H55)</f>
        <v>36</v>
      </c>
    </row>
    <row r="56" customFormat="false" ht="15" hidden="false" customHeight="false" outlineLevel="0" collapsed="false">
      <c r="A56" s="0" t="s">
        <v>4093</v>
      </c>
      <c r="B56" s="0" t="s">
        <v>3999</v>
      </c>
      <c r="C56" s="0" t="n">
        <v>1893</v>
      </c>
      <c r="D56" s="0" t="s">
        <v>4094</v>
      </c>
      <c r="E56" s="0" t="s">
        <v>563</v>
      </c>
      <c r="F56" s="0" t="s">
        <v>2712</v>
      </c>
      <c r="G56" s="0" t="s">
        <v>3936</v>
      </c>
      <c r="H56" s="0" t="s">
        <v>4010</v>
      </c>
      <c r="I56" s="0" t="s">
        <v>4095</v>
      </c>
      <c r="R56" s="0" t="n">
        <f aca="false">LEN(C56)+LEN(D56)+LEN(E56)+LEN(F56)+LEN(G56)+LEN(H56)</f>
        <v>45</v>
      </c>
    </row>
    <row r="57" customFormat="false" ht="15" hidden="false" customHeight="false" outlineLevel="0" collapsed="false">
      <c r="A57" s="0" t="s">
        <v>4096</v>
      </c>
      <c r="B57" s="0" t="s">
        <v>3999</v>
      </c>
      <c r="C57" s="0" t="n">
        <v>1897</v>
      </c>
      <c r="D57" s="0" t="s">
        <v>4097</v>
      </c>
      <c r="E57" s="0" t="s">
        <v>4071</v>
      </c>
      <c r="F57" s="0" t="s">
        <v>4083</v>
      </c>
      <c r="I57" s="0" t="s">
        <v>4098</v>
      </c>
      <c r="N57" s="0" t="s">
        <v>29</v>
      </c>
      <c r="O57" s="0" t="s">
        <v>29</v>
      </c>
      <c r="R57" s="0" t="n">
        <f aca="false">LEN(C57)+LEN(D57)+LEN(E57)+LEN(F57)+LEN(G57)+LEN(H57)</f>
        <v>25</v>
      </c>
    </row>
    <row r="58" customFormat="false" ht="15" hidden="false" customHeight="false" outlineLevel="0" collapsed="false">
      <c r="A58" s="0" t="s">
        <v>4099</v>
      </c>
      <c r="B58" s="0" t="s">
        <v>3999</v>
      </c>
      <c r="C58" s="0" t="n">
        <v>1895</v>
      </c>
      <c r="D58" s="0" t="s">
        <v>4100</v>
      </c>
      <c r="E58" s="0" t="s">
        <v>4101</v>
      </c>
      <c r="F58" s="0" t="s">
        <v>4044</v>
      </c>
      <c r="I58" s="0" t="s">
        <v>4102</v>
      </c>
      <c r="J58" s="0" t="s">
        <v>29</v>
      </c>
      <c r="N58" s="0" t="s">
        <v>29</v>
      </c>
      <c r="O58" s="0" t="s">
        <v>29</v>
      </c>
      <c r="R58" s="0" t="n">
        <f aca="false">LEN(C58)+LEN(D58)+LEN(E58)+LEN(F58)+LEN(G58)+LEN(H58)</f>
        <v>24</v>
      </c>
    </row>
    <row r="59" customFormat="false" ht="15" hidden="false" customHeight="false" outlineLevel="0" collapsed="false">
      <c r="A59" s="0" t="s">
        <v>4103</v>
      </c>
      <c r="B59" s="0" t="s">
        <v>3999</v>
      </c>
      <c r="C59" s="0" t="n">
        <v>1900</v>
      </c>
      <c r="D59" s="0" t="s">
        <v>4104</v>
      </c>
      <c r="E59" s="0" t="s">
        <v>4105</v>
      </c>
      <c r="I59" s="0" t="s">
        <v>4106</v>
      </c>
      <c r="N59" s="0" t="s">
        <v>29</v>
      </c>
      <c r="O59" s="0" t="s">
        <v>29</v>
      </c>
      <c r="R59" s="0" t="n">
        <f aca="false">LEN(C59)+LEN(D59)+LEN(E59)+LEN(F59)+LEN(G59)+LEN(H59)</f>
        <v>18</v>
      </c>
    </row>
    <row r="60" customFormat="false" ht="15" hidden="false" customHeight="false" outlineLevel="0" collapsed="false">
      <c r="A60" s="0" t="s">
        <v>4107</v>
      </c>
      <c r="B60" s="0" t="s">
        <v>3999</v>
      </c>
      <c r="C60" s="0" t="n">
        <v>1896</v>
      </c>
      <c r="D60" s="0" t="s">
        <v>4108</v>
      </c>
      <c r="E60" s="0" t="s">
        <v>4075</v>
      </c>
      <c r="F60" s="0" t="s">
        <v>4109</v>
      </c>
      <c r="G60" s="0" t="s">
        <v>3936</v>
      </c>
      <c r="H60" s="0" t="s">
        <v>4010</v>
      </c>
      <c r="I60" s="0" t="s">
        <v>4110</v>
      </c>
      <c r="R60" s="0" t="n">
        <f aca="false">LEN(C60)+LEN(D60)+LEN(E60)+LEN(F60)+LEN(G60)+LEN(H60)</f>
        <v>44</v>
      </c>
    </row>
    <row r="61" customFormat="false" ht="15" hidden="false" customHeight="false" outlineLevel="0" collapsed="false">
      <c r="A61" s="0" t="s">
        <v>4111</v>
      </c>
      <c r="B61" s="0" t="s">
        <v>3999</v>
      </c>
      <c r="C61" s="0" t="n">
        <v>1897</v>
      </c>
      <c r="D61" s="0" t="s">
        <v>4112</v>
      </c>
      <c r="E61" s="0" t="s">
        <v>4113</v>
      </c>
      <c r="G61" s="0" t="s">
        <v>3936</v>
      </c>
      <c r="H61" s="0" t="s">
        <v>4010</v>
      </c>
      <c r="I61" s="0" t="s">
        <v>4114</v>
      </c>
      <c r="R61" s="0" t="n">
        <f aca="false">LEN(C61)+LEN(D61)+LEN(E61)+LEN(F61)+LEN(G61)+LEN(H61)</f>
        <v>45</v>
      </c>
    </row>
    <row r="62" customFormat="false" ht="15" hidden="false" customHeight="false" outlineLevel="0" collapsed="false">
      <c r="A62" s="0" t="s">
        <v>4115</v>
      </c>
      <c r="B62" s="0" t="s">
        <v>3999</v>
      </c>
      <c r="C62" s="0" t="n">
        <v>1897</v>
      </c>
      <c r="D62" s="0" t="s">
        <v>4116</v>
      </c>
      <c r="E62" s="0" t="s">
        <v>4117</v>
      </c>
      <c r="F62" s="0" t="s">
        <v>3795</v>
      </c>
      <c r="I62" s="0" t="s">
        <v>4118</v>
      </c>
      <c r="J62" s="0" t="s">
        <v>29</v>
      </c>
      <c r="N62" s="0" t="s">
        <v>29</v>
      </c>
      <c r="O62" s="0" t="s">
        <v>29</v>
      </c>
      <c r="R62" s="0" t="n">
        <f aca="false">LEN(C62)+LEN(D62)+LEN(E62)+LEN(F62)+LEN(G62)+LEN(H62)</f>
        <v>24</v>
      </c>
    </row>
    <row r="63" customFormat="false" ht="15" hidden="false" customHeight="false" outlineLevel="0" collapsed="false">
      <c r="A63" s="0" t="s">
        <v>4119</v>
      </c>
      <c r="B63" s="0" t="s">
        <v>3999</v>
      </c>
      <c r="C63" s="0" t="n">
        <v>1897</v>
      </c>
      <c r="D63" s="0" t="s">
        <v>4120</v>
      </c>
      <c r="E63" s="0" t="s">
        <v>4101</v>
      </c>
      <c r="F63" s="0" t="s">
        <v>4005</v>
      </c>
      <c r="I63" s="0" t="s">
        <v>4121</v>
      </c>
      <c r="J63" s="0" t="s">
        <v>29</v>
      </c>
      <c r="N63" s="0" t="s">
        <v>29</v>
      </c>
      <c r="O63" s="0" t="s">
        <v>29</v>
      </c>
      <c r="R63" s="0" t="n">
        <f aca="false">LEN(C63)+LEN(D63)+LEN(E63)+LEN(F63)+LEN(G63)+LEN(H63)</f>
        <v>23</v>
      </c>
    </row>
    <row r="64" customFormat="false" ht="15" hidden="false" customHeight="false" outlineLevel="0" collapsed="false">
      <c r="A64" s="0" t="s">
        <v>4122</v>
      </c>
      <c r="B64" s="0" t="s">
        <v>3999</v>
      </c>
      <c r="C64" s="0" t="n">
        <v>1898</v>
      </c>
      <c r="D64" s="0" t="s">
        <v>4123</v>
      </c>
      <c r="E64" s="0" t="s">
        <v>3142</v>
      </c>
      <c r="F64" s="0" t="s">
        <v>4025</v>
      </c>
      <c r="G64" s="0" t="s">
        <v>3936</v>
      </c>
      <c r="H64" s="0" t="s">
        <v>4010</v>
      </c>
      <c r="I64" s="0" t="s">
        <v>4027</v>
      </c>
      <c r="R64" s="0" t="n">
        <f aca="false">LEN(C64)+LEN(D64)+LEN(E64)+LEN(F64)+LEN(G64)+LEN(H64)</f>
        <v>43</v>
      </c>
    </row>
    <row r="65" customFormat="false" ht="15" hidden="false" customHeight="false" outlineLevel="0" collapsed="false">
      <c r="A65" s="0" t="s">
        <v>4124</v>
      </c>
      <c r="B65" s="0" t="s">
        <v>3999</v>
      </c>
      <c r="C65" s="0" t="n">
        <v>1899</v>
      </c>
      <c r="D65" s="0" t="s">
        <v>4125</v>
      </c>
      <c r="E65" s="0" t="s">
        <v>4018</v>
      </c>
      <c r="F65" s="0" t="s">
        <v>4044</v>
      </c>
      <c r="G65" s="0" t="s">
        <v>3936</v>
      </c>
      <c r="H65" s="0" t="s">
        <v>4010</v>
      </c>
      <c r="I65" s="0" t="s">
        <v>4126</v>
      </c>
      <c r="R65" s="0" t="n">
        <f aca="false">LEN(C65)+LEN(D65)+LEN(E65)+LEN(F65)+LEN(G65)+LEN(H65)</f>
        <v>50</v>
      </c>
    </row>
    <row r="66" customFormat="false" ht="15" hidden="false" customHeight="false" outlineLevel="0" collapsed="false">
      <c r="A66" s="0" t="s">
        <v>4127</v>
      </c>
      <c r="B66" s="0" t="s">
        <v>3999</v>
      </c>
      <c r="C66" s="0" t="n">
        <v>1904</v>
      </c>
      <c r="D66" s="0" t="s">
        <v>4128</v>
      </c>
      <c r="E66" s="0" t="s">
        <v>4129</v>
      </c>
      <c r="G66" s="0" t="s">
        <v>3936</v>
      </c>
      <c r="H66" s="0" t="s">
        <v>4010</v>
      </c>
      <c r="I66" s="0" t="s">
        <v>4130</v>
      </c>
      <c r="R66" s="0" t="n">
        <f aca="false">LEN(C66)+LEN(D66)+LEN(E66)+LEN(F66)+LEN(G66)+LEN(H66)</f>
        <v>38</v>
      </c>
    </row>
    <row r="67" customFormat="false" ht="15" hidden="false" customHeight="false" outlineLevel="0" collapsed="false">
      <c r="A67" s="0" t="s">
        <v>4131</v>
      </c>
      <c r="B67" s="0" t="s">
        <v>3999</v>
      </c>
      <c r="C67" s="0" t="n">
        <v>1904</v>
      </c>
      <c r="D67" s="0" t="s">
        <v>4132</v>
      </c>
      <c r="E67" s="0" t="s">
        <v>4133</v>
      </c>
      <c r="F67" s="0" t="s">
        <v>1506</v>
      </c>
      <c r="I67" s="0" t="s">
        <v>4134</v>
      </c>
      <c r="N67" s="0" t="s">
        <v>29</v>
      </c>
      <c r="O67" s="0" t="s">
        <v>29</v>
      </c>
      <c r="R67" s="0" t="n">
        <f aca="false">LEN(C67)+LEN(D67)+LEN(E67)+LEN(F67)+LEN(G67)+LEN(H67)</f>
        <v>26</v>
      </c>
    </row>
    <row r="68" customFormat="false" ht="15" hidden="false" customHeight="false" outlineLevel="0" collapsed="false">
      <c r="A68" s="0" t="s">
        <v>4135</v>
      </c>
      <c r="B68" s="0" t="s">
        <v>3999</v>
      </c>
      <c r="C68" s="0" t="n">
        <v>1899</v>
      </c>
      <c r="D68" s="0" t="s">
        <v>3968</v>
      </c>
      <c r="E68" s="0" t="s">
        <v>1506</v>
      </c>
      <c r="I68" s="0" t="s">
        <v>4136</v>
      </c>
      <c r="J68" s="0" t="s">
        <v>29</v>
      </c>
      <c r="N68" s="0" t="s">
        <v>29</v>
      </c>
      <c r="O68" s="0" t="s">
        <v>29</v>
      </c>
      <c r="R68" s="0" t="n">
        <f aca="false">LEN(C68)+LEN(D68)+LEN(E68)+LEN(F68)+LEN(G68)+LEN(H68)</f>
        <v>15</v>
      </c>
    </row>
    <row r="69" customFormat="false" ht="15" hidden="false" customHeight="false" outlineLevel="0" collapsed="false">
      <c r="A69" s="0" t="s">
        <v>4137</v>
      </c>
      <c r="B69" s="0" t="s">
        <v>3999</v>
      </c>
      <c r="C69" s="0" t="n">
        <v>1905</v>
      </c>
      <c r="D69" s="0" t="s">
        <v>4138</v>
      </c>
      <c r="E69" s="0" t="s">
        <v>4097</v>
      </c>
      <c r="G69" s="0" t="s">
        <v>3936</v>
      </c>
      <c r="H69" s="0" t="s">
        <v>4010</v>
      </c>
      <c r="I69" s="0" t="s">
        <v>4139</v>
      </c>
      <c r="R69" s="0" t="n">
        <f aca="false">LEN(C69)+LEN(D69)+LEN(E69)+LEN(F69)+LEN(G69)+LEN(H69)</f>
        <v>39</v>
      </c>
    </row>
    <row r="70" customFormat="false" ht="15" hidden="false" customHeight="false" outlineLevel="0" collapsed="false">
      <c r="A70" s="0" t="s">
        <v>4140</v>
      </c>
      <c r="B70" s="0" t="s">
        <v>3999</v>
      </c>
      <c r="C70" s="0" t="n">
        <v>1900</v>
      </c>
      <c r="D70" s="0" t="s">
        <v>4141</v>
      </c>
      <c r="E70" s="0" t="s">
        <v>4142</v>
      </c>
      <c r="G70" s="0" t="s">
        <v>3936</v>
      </c>
      <c r="H70" s="0" t="s">
        <v>4010</v>
      </c>
      <c r="I70" s="0" t="s">
        <v>4143</v>
      </c>
      <c r="J70" s="0" t="s">
        <v>29</v>
      </c>
      <c r="R70" s="0" t="n">
        <f aca="false">LEN(C70)+LEN(D70)+LEN(E70)+LEN(F70)+LEN(G70)+LEN(H70)</f>
        <v>41</v>
      </c>
    </row>
    <row r="71" customFormat="false" ht="15" hidden="false" customHeight="false" outlineLevel="0" collapsed="false">
      <c r="A71" s="0" t="s">
        <v>4144</v>
      </c>
      <c r="B71" s="0" t="s">
        <v>3999</v>
      </c>
      <c r="C71" s="0" t="n">
        <v>1900</v>
      </c>
      <c r="D71" s="0" t="s">
        <v>4145</v>
      </c>
      <c r="E71" s="0" t="s">
        <v>3968</v>
      </c>
      <c r="G71" s="0" t="s">
        <v>3936</v>
      </c>
      <c r="H71" s="0" t="s">
        <v>4010</v>
      </c>
      <c r="I71" s="0" t="s">
        <v>4146</v>
      </c>
      <c r="J71" s="0" t="s">
        <v>29</v>
      </c>
      <c r="R71" s="0" t="n">
        <f aca="false">LEN(C71)+LEN(D71)+LEN(E71)+LEN(F71)+LEN(G71)+LEN(H71)</f>
        <v>36</v>
      </c>
    </row>
    <row r="72" customFormat="false" ht="15" hidden="false" customHeight="false" outlineLevel="0" collapsed="false">
      <c r="A72" s="0" t="s">
        <v>4147</v>
      </c>
      <c r="B72" s="0" t="s">
        <v>3999</v>
      </c>
      <c r="C72" s="0" t="n">
        <v>1900</v>
      </c>
      <c r="D72" s="0" t="s">
        <v>4148</v>
      </c>
      <c r="E72" s="0" t="s">
        <v>4149</v>
      </c>
      <c r="G72" s="0" t="s">
        <v>3936</v>
      </c>
      <c r="H72" s="0" t="s">
        <v>4010</v>
      </c>
      <c r="I72" s="0" t="s">
        <v>4150</v>
      </c>
      <c r="J72" s="0" t="s">
        <v>29</v>
      </c>
      <c r="R72" s="0" t="n">
        <f aca="false">LEN(C72)+LEN(D72)+LEN(E72)+LEN(F72)+LEN(G72)+LEN(H72)</f>
        <v>43</v>
      </c>
    </row>
    <row r="73" customFormat="false" ht="15" hidden="false" customHeight="false" outlineLevel="0" collapsed="false">
      <c r="A73" s="0" t="s">
        <v>4151</v>
      </c>
      <c r="B73" s="0" t="s">
        <v>3999</v>
      </c>
      <c r="C73" s="0" t="n">
        <v>1902</v>
      </c>
      <c r="D73" s="0" t="s">
        <v>4152</v>
      </c>
      <c r="E73" s="0" t="s">
        <v>4153</v>
      </c>
      <c r="G73" s="0" t="s">
        <v>3936</v>
      </c>
      <c r="H73" s="0" t="s">
        <v>4010</v>
      </c>
      <c r="I73" s="0" t="s">
        <v>4154</v>
      </c>
      <c r="R73" s="0" t="n">
        <f aca="false">LEN(C73)+LEN(D73)+LEN(E73)+LEN(F73)+LEN(G73)+LEN(H73)</f>
        <v>38</v>
      </c>
    </row>
    <row r="74" customFormat="false" ht="15" hidden="false" customHeight="false" outlineLevel="0" collapsed="false">
      <c r="A74" s="0" t="s">
        <v>4155</v>
      </c>
      <c r="B74" s="0" t="s">
        <v>3999</v>
      </c>
      <c r="C74" s="0" t="n">
        <v>1904</v>
      </c>
      <c r="D74" s="0" t="s">
        <v>4156</v>
      </c>
      <c r="E74" s="0" t="s">
        <v>323</v>
      </c>
      <c r="G74" s="0" t="s">
        <v>3936</v>
      </c>
      <c r="H74" s="0" t="s">
        <v>4010</v>
      </c>
      <c r="I74" s="0" t="s">
        <v>4019</v>
      </c>
      <c r="R74" s="0" t="n">
        <f aca="false">LEN(C74)+LEN(D74)+LEN(E74)+LEN(F74)+LEN(G74)+LEN(H74)</f>
        <v>38</v>
      </c>
    </row>
    <row r="75" customFormat="false" ht="15" hidden="false" customHeight="false" outlineLevel="0" collapsed="false">
      <c r="A75" s="0" t="s">
        <v>4157</v>
      </c>
      <c r="B75" s="0" t="s">
        <v>3999</v>
      </c>
      <c r="C75" s="0" t="n">
        <v>1903</v>
      </c>
      <c r="D75" s="0" t="s">
        <v>4158</v>
      </c>
      <c r="E75" s="0" t="s">
        <v>4159</v>
      </c>
      <c r="I75" s="0" t="s">
        <v>4160</v>
      </c>
      <c r="J75" s="0" t="s">
        <v>29</v>
      </c>
      <c r="N75" s="0" t="s">
        <v>29</v>
      </c>
      <c r="O75" s="0" t="s">
        <v>29</v>
      </c>
      <c r="R75" s="0" t="n">
        <f aca="false">LEN(C75)+LEN(D75)+LEN(E75)+LEN(F75)+LEN(G75)+LEN(H75)</f>
        <v>20</v>
      </c>
    </row>
    <row r="76" customFormat="false" ht="15" hidden="false" customHeight="false" outlineLevel="0" collapsed="false">
      <c r="A76" s="0" t="s">
        <v>4161</v>
      </c>
      <c r="B76" s="0" t="s">
        <v>3999</v>
      </c>
      <c r="C76" s="0" t="n">
        <v>1904</v>
      </c>
      <c r="D76" s="0" t="s">
        <v>4162</v>
      </c>
      <c r="E76" s="0" t="s">
        <v>4163</v>
      </c>
      <c r="G76" s="0" t="s">
        <v>3936</v>
      </c>
      <c r="H76" s="0" t="s">
        <v>4010</v>
      </c>
      <c r="I76" s="0" t="s">
        <v>4164</v>
      </c>
      <c r="R76" s="0" t="n">
        <f aca="false">LEN(C76)+LEN(D76)+LEN(E76)+LEN(F76)+LEN(G76)+LEN(H76)</f>
        <v>37</v>
      </c>
    </row>
    <row r="77" customFormat="false" ht="15" hidden="false" customHeight="false" outlineLevel="0" collapsed="false">
      <c r="A77" s="0" t="s">
        <v>4165</v>
      </c>
      <c r="B77" s="0" t="s">
        <v>3999</v>
      </c>
      <c r="C77" s="0" t="n">
        <v>1903</v>
      </c>
      <c r="D77" s="0" t="s">
        <v>4166</v>
      </c>
      <c r="E77" s="0" t="s">
        <v>4033</v>
      </c>
      <c r="F77" s="0" t="s">
        <v>3968</v>
      </c>
      <c r="I77" s="0" t="s">
        <v>4167</v>
      </c>
      <c r="J77" s="0" t="s">
        <v>29</v>
      </c>
      <c r="N77" s="0" t="s">
        <v>29</v>
      </c>
      <c r="O77" s="0" t="s">
        <v>29</v>
      </c>
      <c r="R77" s="0" t="n">
        <f aca="false">LEN(C77)+LEN(D77)+LEN(E77)+LEN(F77)+LEN(G77)+LEN(H77)</f>
        <v>24</v>
      </c>
    </row>
    <row r="78" customFormat="false" ht="15" hidden="false" customHeight="false" outlineLevel="0" collapsed="false">
      <c r="A78" s="0" t="s">
        <v>4168</v>
      </c>
      <c r="B78" s="0" t="s">
        <v>3999</v>
      </c>
      <c r="C78" s="0" t="n">
        <v>1905</v>
      </c>
      <c r="D78" s="0" t="s">
        <v>4169</v>
      </c>
      <c r="E78" s="0" t="s">
        <v>496</v>
      </c>
      <c r="F78" s="0" t="s">
        <v>4170</v>
      </c>
      <c r="G78" s="0" t="s">
        <v>3936</v>
      </c>
      <c r="H78" s="0" t="s">
        <v>4010</v>
      </c>
      <c r="I78" s="0" t="s">
        <v>4171</v>
      </c>
      <c r="R78" s="0" t="n">
        <f aca="false">LEN(C78)+LEN(D78)+LEN(E78)+LEN(F78)+LEN(G78)+LEN(H78)</f>
        <v>42</v>
      </c>
    </row>
    <row r="79" customFormat="false" ht="15" hidden="false" customHeight="false" outlineLevel="0" collapsed="false">
      <c r="A79" s="0" t="s">
        <v>4172</v>
      </c>
      <c r="B79" s="0" t="s">
        <v>3999</v>
      </c>
      <c r="C79" s="0" t="n">
        <v>1905</v>
      </c>
      <c r="D79" s="0" t="s">
        <v>4173</v>
      </c>
      <c r="E79" s="0" t="s">
        <v>4174</v>
      </c>
      <c r="F79" s="0" t="s">
        <v>4175</v>
      </c>
      <c r="G79" s="0" t="s">
        <v>3936</v>
      </c>
      <c r="H79" s="0" t="s">
        <v>4010</v>
      </c>
      <c r="I79" s="0" t="s">
        <v>4176</v>
      </c>
      <c r="R79" s="0" t="n">
        <f aca="false">LEN(C79)+LEN(D79)+LEN(E79)+LEN(F79)+LEN(G79)+LEN(H79)</f>
        <v>45</v>
      </c>
    </row>
    <row r="80" customFormat="false" ht="15" hidden="false" customHeight="false" outlineLevel="0" collapsed="false">
      <c r="A80" s="0" t="s">
        <v>4177</v>
      </c>
      <c r="B80" s="0" t="s">
        <v>3999</v>
      </c>
      <c r="C80" s="0" t="n">
        <v>1904</v>
      </c>
      <c r="D80" s="0" t="s">
        <v>4178</v>
      </c>
      <c r="E80" s="0" t="s">
        <v>4179</v>
      </c>
      <c r="I80" s="0" t="s">
        <v>4180</v>
      </c>
      <c r="J80" s="0" t="s">
        <v>29</v>
      </c>
      <c r="N80" s="0" t="s">
        <v>29</v>
      </c>
      <c r="O80" s="0" t="s">
        <v>29</v>
      </c>
      <c r="R80" s="0" t="n">
        <f aca="false">LEN(C80)+LEN(D80)+LEN(E80)+LEN(F80)+LEN(G80)+LEN(H80)</f>
        <v>14</v>
      </c>
    </row>
    <row r="81" customFormat="false" ht="15" hidden="false" customHeight="false" outlineLevel="0" collapsed="false">
      <c r="A81" s="0" t="s">
        <v>4181</v>
      </c>
      <c r="B81" s="0" t="s">
        <v>3999</v>
      </c>
      <c r="C81" s="0" t="n">
        <v>1904</v>
      </c>
      <c r="D81" s="0" t="s">
        <v>4182</v>
      </c>
      <c r="E81" s="0" t="s">
        <v>3968</v>
      </c>
      <c r="F81" s="0" t="s">
        <v>4183</v>
      </c>
      <c r="I81" s="0" t="s">
        <v>4184</v>
      </c>
      <c r="J81" s="0" t="s">
        <v>29</v>
      </c>
      <c r="K81" s="0" t="s">
        <v>69</v>
      </c>
      <c r="N81" s="0" t="s">
        <v>29</v>
      </c>
      <c r="O81" s="0" t="s">
        <v>29</v>
      </c>
      <c r="Q81" s="0" t="n">
        <v>1</v>
      </c>
      <c r="R81" s="0" t="n">
        <f aca="false">LEN(C81)+LEN(D81)+LEN(E81)+LEN(F81)+LEN(G81)+LEN(H81)</f>
        <v>20</v>
      </c>
    </row>
    <row r="82" customFormat="false" ht="15" hidden="false" customHeight="false" outlineLevel="0" collapsed="false">
      <c r="A82" s="0" t="s">
        <v>4185</v>
      </c>
      <c r="B82" s="0" t="s">
        <v>3999</v>
      </c>
      <c r="C82" s="0" t="n">
        <v>1904</v>
      </c>
      <c r="D82" s="0" t="s">
        <v>4186</v>
      </c>
      <c r="E82" s="0" t="s">
        <v>4187</v>
      </c>
      <c r="F82" s="0" t="s">
        <v>4188</v>
      </c>
      <c r="I82" s="0" t="s">
        <v>4189</v>
      </c>
      <c r="J82" s="0" t="s">
        <v>29</v>
      </c>
      <c r="N82" s="0" t="s">
        <v>29</v>
      </c>
      <c r="O82" s="0" t="s">
        <v>29</v>
      </c>
      <c r="R82" s="0" t="n">
        <f aca="false">LEN(C82)+LEN(D82)+LEN(E82)+LEN(F82)+LEN(G82)+LEN(H82)</f>
        <v>21</v>
      </c>
    </row>
    <row r="83" customFormat="false" ht="15" hidden="false" customHeight="false" outlineLevel="0" collapsed="false">
      <c r="A83" s="0" t="s">
        <v>4190</v>
      </c>
      <c r="B83" s="0" t="s">
        <v>3999</v>
      </c>
      <c r="C83" s="0" t="n">
        <v>1905</v>
      </c>
      <c r="D83" s="0" t="s">
        <v>4191</v>
      </c>
      <c r="E83" s="0" t="s">
        <v>4192</v>
      </c>
      <c r="F83" s="0" t="s">
        <v>4087</v>
      </c>
      <c r="I83" s="0" t="s">
        <v>4193</v>
      </c>
      <c r="J83" s="0" t="s">
        <v>29</v>
      </c>
      <c r="N83" s="0" t="s">
        <v>29</v>
      </c>
      <c r="O83" s="0" t="s">
        <v>29</v>
      </c>
      <c r="R83" s="0" t="n">
        <f aca="false">LEN(C83)+LEN(D83)+LEN(E83)+LEN(F83)+LEN(G83)+LEN(H83)</f>
        <v>21</v>
      </c>
    </row>
    <row r="84" customFormat="false" ht="15" hidden="false" customHeight="false" outlineLevel="0" collapsed="false">
      <c r="A84" s="0" t="s">
        <v>4194</v>
      </c>
      <c r="B84" s="0" t="s">
        <v>3999</v>
      </c>
      <c r="C84" s="0" t="n">
        <v>1906</v>
      </c>
      <c r="D84" s="0" t="s">
        <v>4195</v>
      </c>
      <c r="E84" s="0" t="s">
        <v>4196</v>
      </c>
      <c r="F84" s="0" t="s">
        <v>4197</v>
      </c>
      <c r="I84" s="0" t="s">
        <v>4198</v>
      </c>
      <c r="J84" s="0" t="s">
        <v>29</v>
      </c>
      <c r="N84" s="0" t="s">
        <v>29</v>
      </c>
      <c r="O84" s="0" t="s">
        <v>29</v>
      </c>
      <c r="R84" s="0" t="n">
        <f aca="false">LEN(C84)+LEN(D84)+LEN(E84)+LEN(F84)+LEN(G84)+LEN(H84)</f>
        <v>22</v>
      </c>
    </row>
    <row r="85" customFormat="false" ht="15" hidden="false" customHeight="false" outlineLevel="0" collapsed="false">
      <c r="A85" s="0" t="s">
        <v>4199</v>
      </c>
      <c r="B85" s="0" t="s">
        <v>3999</v>
      </c>
      <c r="C85" s="0" t="n">
        <v>1906</v>
      </c>
      <c r="D85" s="0" t="s">
        <v>4200</v>
      </c>
      <c r="E85" s="0" t="s">
        <v>4018</v>
      </c>
      <c r="F85" s="0" t="s">
        <v>4201</v>
      </c>
      <c r="I85" s="0" t="s">
        <v>4202</v>
      </c>
      <c r="J85" s="0" t="s">
        <v>29</v>
      </c>
      <c r="N85" s="0" t="s">
        <v>29</v>
      </c>
      <c r="O85" s="0" t="s">
        <v>29</v>
      </c>
      <c r="R85" s="0" t="n">
        <f aca="false">LEN(C85)+LEN(D85)+LEN(E85)+LEN(F85)+LEN(G85)+LEN(H85)</f>
        <v>19</v>
      </c>
    </row>
    <row r="86" customFormat="false" ht="15" hidden="false" customHeight="false" outlineLevel="0" collapsed="false">
      <c r="A86" s="0" t="s">
        <v>4203</v>
      </c>
      <c r="B86" s="0" t="s">
        <v>3999</v>
      </c>
      <c r="C86" s="0" t="n">
        <v>1912</v>
      </c>
      <c r="D86" s="0" t="s">
        <v>4204</v>
      </c>
      <c r="E86" s="0" t="s">
        <v>4205</v>
      </c>
      <c r="F86" s="0" t="s">
        <v>4206</v>
      </c>
      <c r="I86" s="0" t="s">
        <v>4207</v>
      </c>
      <c r="N86" s="0" t="s">
        <v>29</v>
      </c>
      <c r="O86" s="0" t="s">
        <v>29</v>
      </c>
      <c r="R86" s="0" t="n">
        <f aca="false">LEN(C86)+LEN(D86)+LEN(E86)+LEN(F86)+LEN(G86)+LEN(H86)</f>
        <v>29</v>
      </c>
    </row>
    <row r="87" customFormat="false" ht="15" hidden="false" customHeight="false" outlineLevel="0" collapsed="false">
      <c r="A87" s="0" t="s">
        <v>4208</v>
      </c>
      <c r="B87" s="0" t="s">
        <v>3999</v>
      </c>
      <c r="C87" s="0" t="n">
        <v>1908</v>
      </c>
      <c r="D87" s="0" t="s">
        <v>4209</v>
      </c>
      <c r="E87" s="0" t="s">
        <v>4210</v>
      </c>
      <c r="F87" s="0" t="s">
        <v>1682</v>
      </c>
      <c r="G87" s="0" t="s">
        <v>3936</v>
      </c>
      <c r="H87" s="0" t="s">
        <v>4010</v>
      </c>
      <c r="I87" s="0" t="s">
        <v>4211</v>
      </c>
      <c r="R87" s="0" t="n">
        <f aca="false">LEN(C87)+LEN(D87)+LEN(E87)+LEN(F87)+LEN(G87)+LEN(H87)</f>
        <v>41</v>
      </c>
    </row>
    <row r="88" customFormat="false" ht="15" hidden="false" customHeight="false" outlineLevel="0" collapsed="false">
      <c r="A88" s="0" t="s">
        <v>4212</v>
      </c>
      <c r="B88" s="0" t="s">
        <v>3999</v>
      </c>
      <c r="C88" s="0" t="n">
        <v>1911</v>
      </c>
      <c r="D88" s="0" t="s">
        <v>4213</v>
      </c>
      <c r="E88" s="0" t="s">
        <v>3968</v>
      </c>
      <c r="F88" s="0" t="s">
        <v>4192</v>
      </c>
      <c r="G88" s="0" t="s">
        <v>3936</v>
      </c>
      <c r="H88" s="0" t="s">
        <v>4010</v>
      </c>
      <c r="I88" s="0" t="s">
        <v>4214</v>
      </c>
      <c r="R88" s="0" t="n">
        <f aca="false">LEN(C88)+LEN(D88)+LEN(E88)+LEN(F88)+LEN(G88)+LEN(H88)</f>
        <v>41</v>
      </c>
    </row>
    <row r="89" customFormat="false" ht="15" hidden="false" customHeight="false" outlineLevel="0" collapsed="false">
      <c r="A89" s="0" t="s">
        <v>4215</v>
      </c>
      <c r="B89" s="0" t="s">
        <v>3999</v>
      </c>
      <c r="C89" s="0" t="n">
        <v>1911</v>
      </c>
      <c r="D89" s="0" t="s">
        <v>4216</v>
      </c>
      <c r="E89" s="0" t="s">
        <v>4025</v>
      </c>
      <c r="F89" s="0" t="s">
        <v>4087</v>
      </c>
      <c r="G89" s="0" t="s">
        <v>3936</v>
      </c>
      <c r="H89" s="0" t="s">
        <v>4010</v>
      </c>
      <c r="I89" s="0" t="s">
        <v>4217</v>
      </c>
      <c r="R89" s="0" t="n">
        <f aca="false">LEN(C89)+LEN(D89)+LEN(E89)+LEN(F89)+LEN(G89)+LEN(H89)</f>
        <v>47</v>
      </c>
    </row>
    <row r="90" customFormat="false" ht="15" hidden="false" customHeight="false" outlineLevel="0" collapsed="false">
      <c r="A90" s="0" t="s">
        <v>4218</v>
      </c>
      <c r="B90" s="0" t="s">
        <v>3999</v>
      </c>
      <c r="C90" s="0" t="n">
        <v>1910</v>
      </c>
      <c r="D90" s="0" t="s">
        <v>4219</v>
      </c>
      <c r="E90" s="0" t="s">
        <v>4192</v>
      </c>
      <c r="F90" s="0" t="s">
        <v>1682</v>
      </c>
      <c r="I90" s="0" t="s">
        <v>4006</v>
      </c>
      <c r="J90" s="0" t="s">
        <v>29</v>
      </c>
      <c r="N90" s="0" t="s">
        <v>29</v>
      </c>
      <c r="O90" s="0" t="s">
        <v>29</v>
      </c>
      <c r="R90" s="0" t="n">
        <f aca="false">LEN(C90)+LEN(D90)+LEN(E90)+LEN(F90)+LEN(G90)+LEN(H90)</f>
        <v>25</v>
      </c>
    </row>
    <row r="91" customFormat="false" ht="15" hidden="false" customHeight="false" outlineLevel="0" collapsed="false">
      <c r="A91" s="0" t="s">
        <v>4220</v>
      </c>
      <c r="B91" s="0" t="s">
        <v>3999</v>
      </c>
      <c r="C91" s="0" t="n">
        <v>1912</v>
      </c>
      <c r="D91" s="0" t="s">
        <v>4221</v>
      </c>
      <c r="E91" s="0" t="s">
        <v>4192</v>
      </c>
      <c r="F91" s="0" t="s">
        <v>4222</v>
      </c>
      <c r="I91" s="0" t="s">
        <v>4223</v>
      </c>
      <c r="J91" s="0" t="s">
        <v>29</v>
      </c>
      <c r="N91" s="0" t="s">
        <v>29</v>
      </c>
      <c r="O91" s="0" t="s">
        <v>29</v>
      </c>
      <c r="R91" s="0" t="n">
        <f aca="false">LEN(C91)+LEN(D91)+LEN(E91)+LEN(F91)+LEN(G91)+LEN(H91)</f>
        <v>24</v>
      </c>
    </row>
    <row r="92" customFormat="false" ht="15" hidden="false" customHeight="false" outlineLevel="0" collapsed="false">
      <c r="A92" s="0" t="s">
        <v>4224</v>
      </c>
      <c r="B92" s="0" t="s">
        <v>3999</v>
      </c>
      <c r="C92" s="0" t="n">
        <v>1913</v>
      </c>
      <c r="D92" s="0" t="s">
        <v>4225</v>
      </c>
      <c r="E92" s="0" t="s">
        <v>4226</v>
      </c>
      <c r="F92" s="0" t="s">
        <v>4227</v>
      </c>
      <c r="G92" s="0" t="s">
        <v>3936</v>
      </c>
      <c r="H92" s="0" t="s">
        <v>4010</v>
      </c>
      <c r="I92" s="0" t="s">
        <v>4228</v>
      </c>
      <c r="K92" s="0" t="s">
        <v>69</v>
      </c>
      <c r="Q92" s="0" t="n">
        <v>2</v>
      </c>
      <c r="R92" s="0" t="n">
        <f aca="false">LEN(C92)+LEN(D92)+LEN(E92)+LEN(F92)+LEN(G92)+LEN(H92)</f>
        <v>46</v>
      </c>
    </row>
    <row r="93" customFormat="false" ht="15" hidden="false" customHeight="false" outlineLevel="0" collapsed="false">
      <c r="A93" s="0" t="s">
        <v>4229</v>
      </c>
      <c r="B93" s="0" t="s">
        <v>3999</v>
      </c>
      <c r="C93" s="0" t="n">
        <v>1914</v>
      </c>
      <c r="D93" s="0" t="s">
        <v>4230</v>
      </c>
      <c r="E93" s="0" t="s">
        <v>4231</v>
      </c>
      <c r="I93" s="0" t="s">
        <v>4006</v>
      </c>
      <c r="J93" s="0" t="s">
        <v>29</v>
      </c>
      <c r="N93" s="0" t="s">
        <v>29</v>
      </c>
      <c r="O93" s="0" t="s">
        <v>29</v>
      </c>
      <c r="R93" s="0" t="n">
        <f aca="false">LEN(C93)+LEN(D93)+LEN(E93)+LEN(F93)+LEN(G93)+LEN(H93)</f>
        <v>17</v>
      </c>
    </row>
    <row r="94" s="3" customFormat="true" ht="15" hidden="false" customHeight="false" outlineLevel="0" collapsed="false">
      <c r="A94" s="3" t="s">
        <v>4232</v>
      </c>
      <c r="B94" s="3" t="s">
        <v>3999</v>
      </c>
      <c r="C94" s="3" t="n">
        <v>1916</v>
      </c>
      <c r="D94" s="3" t="s">
        <v>4233</v>
      </c>
      <c r="E94" s="3" t="s">
        <v>4083</v>
      </c>
      <c r="G94" s="3" t="s">
        <v>3936</v>
      </c>
      <c r="H94" s="3" t="s">
        <v>4010</v>
      </c>
      <c r="I94" s="3" t="s">
        <v>4234</v>
      </c>
      <c r="R94" s="3" t="n">
        <f aca="false">LEN(C94)+LEN(D94)+LEN(E94)+LEN(F94)+LEN(G94)+LEN(H94)</f>
        <v>41</v>
      </c>
    </row>
    <row r="95" s="3" customFormat="true" ht="15" hidden="false" customHeight="false" outlineLevel="0" collapsed="false">
      <c r="A95" s="3" t="s">
        <v>4235</v>
      </c>
      <c r="B95" s="3" t="s">
        <v>3999</v>
      </c>
      <c r="C95" s="3" t="n">
        <v>1922</v>
      </c>
      <c r="D95" s="3" t="s">
        <v>4236</v>
      </c>
      <c r="E95" s="3" t="s">
        <v>4025</v>
      </c>
      <c r="G95" s="3" t="s">
        <v>4237</v>
      </c>
      <c r="H95" s="3" t="s">
        <v>4010</v>
      </c>
      <c r="I95" s="3" t="s">
        <v>4238</v>
      </c>
      <c r="R95" s="3" t="n">
        <f aca="false">LEN(C95)+LEN(D95)+LEN(E95)+LEN(F95)+LEN(G95)+LEN(H95)</f>
        <v>39</v>
      </c>
    </row>
    <row r="96" s="3" customFormat="true" ht="15" hidden="false" customHeight="false" outlineLevel="0" collapsed="false">
      <c r="A96" s="3" t="s">
        <v>4239</v>
      </c>
      <c r="B96" s="3" t="s">
        <v>3999</v>
      </c>
      <c r="C96" s="3" t="n">
        <v>1918</v>
      </c>
      <c r="D96" s="3" t="s">
        <v>4209</v>
      </c>
      <c r="E96" s="3" t="s">
        <v>4076</v>
      </c>
      <c r="G96" s="3" t="s">
        <v>3936</v>
      </c>
      <c r="H96" s="3" t="s">
        <v>4010</v>
      </c>
      <c r="I96" s="3" t="s">
        <v>4240</v>
      </c>
      <c r="R96" s="3" t="n">
        <f aca="false">LEN(C96)+LEN(D96)+LEN(E96)+LEN(F96)+LEN(G96)+LEN(H96)</f>
        <v>39</v>
      </c>
    </row>
    <row r="97" s="3" customFormat="true" ht="15" hidden="false" customHeight="false" outlineLevel="0" collapsed="false">
      <c r="A97" s="3" t="s">
        <v>4241</v>
      </c>
      <c r="B97" s="3" t="s">
        <v>3999</v>
      </c>
      <c r="C97" s="3" t="n">
        <v>1917</v>
      </c>
      <c r="D97" s="3" t="s">
        <v>4242</v>
      </c>
      <c r="E97" s="3" t="s">
        <v>4197</v>
      </c>
      <c r="I97" s="3" t="s">
        <v>4243</v>
      </c>
      <c r="R97" s="3" t="n">
        <f aca="false">LEN(C97)+LEN(D97)+LEN(E97)+LEN(F97)+LEN(G97)+LEN(H97)</f>
        <v>20</v>
      </c>
    </row>
    <row r="98" s="3" customFormat="true" ht="15" hidden="false" customHeight="false" outlineLevel="0" collapsed="false">
      <c r="A98" s="3" t="s">
        <v>4244</v>
      </c>
      <c r="B98" s="3" t="s">
        <v>3999</v>
      </c>
      <c r="C98" s="3" t="n">
        <v>1917</v>
      </c>
      <c r="D98" s="3" t="s">
        <v>4245</v>
      </c>
      <c r="E98" s="3" t="s">
        <v>4192</v>
      </c>
      <c r="I98" s="3" t="s">
        <v>4246</v>
      </c>
      <c r="R98" s="3" t="n">
        <f aca="false">LEN(C98)+LEN(D98)+LEN(E98)+LEN(F98)+LEN(G98)+LEN(H98)</f>
        <v>17</v>
      </c>
    </row>
    <row r="99" s="3" customFormat="true" ht="15" hidden="false" customHeight="false" outlineLevel="0" collapsed="false">
      <c r="A99" s="3" t="s">
        <v>4247</v>
      </c>
      <c r="B99" s="3" t="s">
        <v>3999</v>
      </c>
      <c r="C99" s="3" t="n">
        <v>1922</v>
      </c>
      <c r="D99" s="3" t="s">
        <v>4248</v>
      </c>
      <c r="G99" s="3" t="s">
        <v>4249</v>
      </c>
      <c r="I99" s="3" t="s">
        <v>152</v>
      </c>
      <c r="R99" s="3" t="n">
        <f aca="false">LEN(C99)+LEN(D99)+LEN(E99)+LEN(F99)+LEN(G99)+LEN(H99)</f>
        <v>20</v>
      </c>
    </row>
    <row r="100" s="3" customFormat="true" ht="15" hidden="false" customHeight="false" outlineLevel="0" collapsed="false">
      <c r="A100" s="3" t="s">
        <v>4250</v>
      </c>
      <c r="B100" s="3" t="s">
        <v>3999</v>
      </c>
      <c r="C100" s="3" t="n">
        <v>1918</v>
      </c>
      <c r="D100" s="3" t="s">
        <v>4251</v>
      </c>
      <c r="E100" s="3" t="s">
        <v>4192</v>
      </c>
      <c r="I100" s="3" t="s">
        <v>4252</v>
      </c>
      <c r="R100" s="3" t="n">
        <f aca="false">LEN(C100)+LEN(D100)+LEN(E100)+LEN(F100)+LEN(G100)+LEN(H100)</f>
        <v>15</v>
      </c>
    </row>
    <row r="101" s="3" customFormat="true" ht="15" hidden="false" customHeight="false" outlineLevel="0" collapsed="false">
      <c r="A101" s="3" t="s">
        <v>4253</v>
      </c>
      <c r="B101" s="3" t="s">
        <v>3999</v>
      </c>
      <c r="C101" s="3" t="n">
        <v>1921</v>
      </c>
      <c r="D101" s="3" t="s">
        <v>4254</v>
      </c>
      <c r="E101" s="3" t="s">
        <v>4255</v>
      </c>
      <c r="G101" s="3" t="s">
        <v>1392</v>
      </c>
      <c r="H101" s="3" t="s">
        <v>4010</v>
      </c>
      <c r="I101" s="3" t="s">
        <v>4256</v>
      </c>
      <c r="R101" s="3" t="n">
        <f aca="false">LEN(C101)+LEN(D101)+LEN(E101)+LEN(F101)+LEN(G101)+LEN(H101)</f>
        <v>41</v>
      </c>
    </row>
    <row r="102" s="3" customFormat="true" ht="15" hidden="false" customHeight="false" outlineLevel="0" collapsed="false">
      <c r="A102" s="3" t="s">
        <v>4257</v>
      </c>
      <c r="B102" s="3" t="s">
        <v>3999</v>
      </c>
      <c r="C102" s="3" t="n">
        <v>1921</v>
      </c>
      <c r="D102" s="3" t="s">
        <v>4258</v>
      </c>
      <c r="E102" s="3" t="s">
        <v>1356</v>
      </c>
      <c r="I102" s="3" t="s">
        <v>4259</v>
      </c>
      <c r="R102" s="3" t="n">
        <f aca="false">LEN(C102)+LEN(D102)+LEN(E102)+LEN(F102)+LEN(G102)+LEN(H102)</f>
        <v>14</v>
      </c>
    </row>
    <row r="103" s="3" customFormat="true" ht="15" hidden="false" customHeight="false" outlineLevel="0" collapsed="false">
      <c r="A103" s="3" t="s">
        <v>4260</v>
      </c>
      <c r="B103" s="3" t="s">
        <v>3999</v>
      </c>
      <c r="C103" s="3" t="n">
        <v>1921</v>
      </c>
      <c r="D103" s="3" t="s">
        <v>4261</v>
      </c>
      <c r="I103" s="3" t="s">
        <v>152</v>
      </c>
      <c r="R103" s="3" t="n">
        <f aca="false">LEN(C103)+LEN(D103)+LEN(E103)+LEN(F103)+LEN(G103)+LEN(H103)</f>
        <v>10</v>
      </c>
    </row>
    <row r="104" s="3" customFormat="true" ht="15" hidden="false" customHeight="false" outlineLevel="0" collapsed="false">
      <c r="A104" s="3" t="s">
        <v>4262</v>
      </c>
      <c r="B104" s="3" t="s">
        <v>3999</v>
      </c>
      <c r="C104" s="3" t="n">
        <v>1922</v>
      </c>
      <c r="D104" s="3" t="s">
        <v>4263</v>
      </c>
      <c r="E104" s="3" t="s">
        <v>4183</v>
      </c>
      <c r="G104" s="3" t="s">
        <v>4237</v>
      </c>
      <c r="H104" s="3" t="s">
        <v>4010</v>
      </c>
      <c r="I104" s="3" t="s">
        <v>4264</v>
      </c>
      <c r="R104" s="3" t="n">
        <f aca="false">LEN(C104)+LEN(D104)+LEN(E104)+LEN(F104)+LEN(G104)+LEN(H104)</f>
        <v>40</v>
      </c>
    </row>
    <row r="105" s="3" customFormat="true" ht="15" hidden="false" customHeight="false" outlineLevel="0" collapsed="false">
      <c r="A105" s="3" t="s">
        <v>4265</v>
      </c>
      <c r="B105" s="3" t="s">
        <v>3999</v>
      </c>
      <c r="C105" s="3" t="n">
        <v>1929</v>
      </c>
      <c r="D105" s="3" t="s">
        <v>4266</v>
      </c>
      <c r="E105" s="3" t="s">
        <v>4192</v>
      </c>
      <c r="I105" s="3" t="s">
        <v>4243</v>
      </c>
      <c r="R105" s="3" t="n">
        <f aca="false">LEN(C105)+LEN(D105)+LEN(E105)+LEN(F105)+LEN(G105)+LEN(H105)</f>
        <v>15</v>
      </c>
    </row>
    <row r="106" s="3" customFormat="true" ht="15" hidden="false" customHeight="false" outlineLevel="0" collapsed="false">
      <c r="A106" s="3" t="s">
        <v>4267</v>
      </c>
      <c r="B106" s="3" t="s">
        <v>3999</v>
      </c>
      <c r="C106" s="3" t="n">
        <v>1922</v>
      </c>
      <c r="D106" s="3" t="s">
        <v>4268</v>
      </c>
      <c r="E106" s="3" t="s">
        <v>4255</v>
      </c>
      <c r="I106" s="3" t="s">
        <v>4269</v>
      </c>
      <c r="R106" s="3" t="n">
        <f aca="false">LEN(C106)+LEN(D106)+LEN(E106)+LEN(F106)+LEN(G106)+LEN(H106)</f>
        <v>14</v>
      </c>
    </row>
    <row r="107" s="3" customFormat="true" ht="15" hidden="false" customHeight="false" outlineLevel="0" collapsed="false">
      <c r="A107" s="3" t="s">
        <v>4270</v>
      </c>
      <c r="B107" s="3" t="s">
        <v>3999</v>
      </c>
      <c r="C107" s="3" t="n">
        <v>1931</v>
      </c>
      <c r="D107" s="3" t="s">
        <v>4271</v>
      </c>
      <c r="E107" s="3" t="s">
        <v>4183</v>
      </c>
      <c r="G107" s="3" t="s">
        <v>1357</v>
      </c>
      <c r="I107" s="3" t="s">
        <v>4243</v>
      </c>
      <c r="R107" s="3" t="n">
        <f aca="false">LEN(C107)+LEN(D107)+LEN(E107)+LEN(F107)+LEN(G107)+LEN(H107)</f>
        <v>26</v>
      </c>
    </row>
    <row r="108" s="3" customFormat="true" ht="15" hidden="false" customHeight="false" outlineLevel="0" collapsed="false">
      <c r="A108" s="3" t="s">
        <v>4272</v>
      </c>
      <c r="B108" s="3" t="s">
        <v>3999</v>
      </c>
      <c r="C108" s="3" t="n">
        <v>1925</v>
      </c>
      <c r="D108" s="3" t="s">
        <v>4273</v>
      </c>
      <c r="E108" s="3" t="s">
        <v>4274</v>
      </c>
      <c r="G108" s="3" t="s">
        <v>1357</v>
      </c>
      <c r="I108" s="3" t="s">
        <v>4275</v>
      </c>
      <c r="R108" s="3" t="n">
        <f aca="false">LEN(C108)+LEN(D108)+LEN(E108)+LEN(F108)+LEN(G108)+LEN(H108)</f>
        <v>23</v>
      </c>
    </row>
    <row r="109" s="3" customFormat="true" ht="15" hidden="false" customHeight="false" outlineLevel="0" collapsed="false">
      <c r="A109" s="3" t="s">
        <v>4276</v>
      </c>
      <c r="B109" s="3" t="s">
        <v>3999</v>
      </c>
      <c r="C109" s="3" t="n">
        <v>1927</v>
      </c>
      <c r="D109" s="3" t="s">
        <v>4277</v>
      </c>
      <c r="E109" s="3" t="s">
        <v>4201</v>
      </c>
      <c r="G109" s="3" t="s">
        <v>4278</v>
      </c>
      <c r="H109" s="3" t="s">
        <v>4010</v>
      </c>
      <c r="I109" s="3" t="s">
        <v>4279</v>
      </c>
      <c r="R109" s="3" t="n">
        <f aca="false">LEN(C109)+LEN(D109)+LEN(E109)+LEN(F109)+LEN(G109)+LEN(H109)</f>
        <v>37</v>
      </c>
    </row>
    <row r="110" s="3" customFormat="true" ht="15" hidden="false" customHeight="false" outlineLevel="0" collapsed="false">
      <c r="A110" s="3" t="s">
        <v>4280</v>
      </c>
      <c r="B110" s="3" t="s">
        <v>3999</v>
      </c>
      <c r="C110" s="3" t="n">
        <v>1926</v>
      </c>
      <c r="D110" s="3" t="s">
        <v>4055</v>
      </c>
      <c r="E110" s="3" t="s">
        <v>4281</v>
      </c>
      <c r="I110" s="3" t="s">
        <v>4282</v>
      </c>
      <c r="R110" s="3" t="n">
        <f aca="false">LEN(C110)+LEN(D110)+LEN(E110)+LEN(F110)+LEN(G110)+LEN(H110)</f>
        <v>19</v>
      </c>
    </row>
    <row r="111" s="3" customFormat="true" ht="15" hidden="false" customHeight="false" outlineLevel="0" collapsed="false">
      <c r="A111" s="3" t="s">
        <v>4283</v>
      </c>
      <c r="B111" s="3" t="s">
        <v>3999</v>
      </c>
      <c r="C111" s="3" t="n">
        <v>1927</v>
      </c>
      <c r="D111" s="3" t="s">
        <v>4284</v>
      </c>
      <c r="E111" s="3" t="s">
        <v>4285</v>
      </c>
      <c r="G111" s="3" t="s">
        <v>3936</v>
      </c>
      <c r="H111" s="3" t="s">
        <v>4010</v>
      </c>
      <c r="I111" s="3" t="s">
        <v>4286</v>
      </c>
      <c r="R111" s="3" t="n">
        <f aca="false">LEN(C111)+LEN(D111)+LEN(E111)+LEN(F111)+LEN(G111)+LEN(H111)</f>
        <v>37</v>
      </c>
    </row>
    <row r="112" s="3" customFormat="true" ht="15" hidden="false" customHeight="false" outlineLevel="0" collapsed="false">
      <c r="A112" s="3" t="s">
        <v>4287</v>
      </c>
      <c r="B112" s="3" t="s">
        <v>3999</v>
      </c>
      <c r="C112" s="3" t="n">
        <v>1932</v>
      </c>
      <c r="D112" s="3" t="s">
        <v>1727</v>
      </c>
      <c r="E112" s="3" t="s">
        <v>4288</v>
      </c>
      <c r="G112" s="3" t="s">
        <v>4237</v>
      </c>
      <c r="H112" s="3" t="s">
        <v>4010</v>
      </c>
      <c r="I112" s="3" t="s">
        <v>4289</v>
      </c>
      <c r="R112" s="3" t="n">
        <f aca="false">LEN(C112)+LEN(D112)+LEN(E112)+LEN(F112)+LEN(G112)+LEN(H112)</f>
        <v>36</v>
      </c>
    </row>
    <row r="113" s="3" customFormat="true" ht="15" hidden="false" customHeight="false" outlineLevel="0" collapsed="false">
      <c r="A113" s="3" t="s">
        <v>4287</v>
      </c>
      <c r="B113" s="3" t="s">
        <v>3999</v>
      </c>
      <c r="C113" s="3" t="n">
        <v>1932</v>
      </c>
      <c r="D113" s="3" t="s">
        <v>1727</v>
      </c>
      <c r="E113" s="3" t="s">
        <v>4288</v>
      </c>
      <c r="G113" s="3" t="s">
        <v>4237</v>
      </c>
      <c r="H113" s="3" t="s">
        <v>4010</v>
      </c>
      <c r="I113" s="3" t="s">
        <v>4289</v>
      </c>
      <c r="R113" s="3" t="n">
        <f aca="false">LEN(C113)+LEN(D113)+LEN(E113)+LEN(F113)+LEN(G113)+LEN(H113)</f>
        <v>36</v>
      </c>
    </row>
    <row r="114" s="3" customFormat="true" ht="15" hidden="false" customHeight="false" outlineLevel="0" collapsed="false">
      <c r="A114" s="3" t="s">
        <v>4290</v>
      </c>
      <c r="B114" s="3" t="s">
        <v>3999</v>
      </c>
      <c r="C114" s="3" t="n">
        <v>1934</v>
      </c>
      <c r="D114" s="3" t="s">
        <v>4291</v>
      </c>
      <c r="E114" s="3" t="s">
        <v>1635</v>
      </c>
      <c r="F114" s="3" t="s">
        <v>2202</v>
      </c>
      <c r="I114" s="3" t="s">
        <v>4292</v>
      </c>
      <c r="R114" s="3" t="n">
        <f aca="false">LEN(C114)+LEN(D114)+LEN(E114)+LEN(F114)+LEN(G114)+LEN(H114)</f>
        <v>15</v>
      </c>
    </row>
    <row r="115" s="3" customFormat="true" ht="15" hidden="false" customHeight="false" outlineLevel="0" collapsed="false">
      <c r="A115" s="3" t="s">
        <v>4293</v>
      </c>
      <c r="B115" s="3" t="s">
        <v>3999</v>
      </c>
      <c r="C115" s="3" t="n">
        <v>1928</v>
      </c>
      <c r="D115" s="3" t="s">
        <v>4294</v>
      </c>
      <c r="E115" s="3" t="s">
        <v>4281</v>
      </c>
      <c r="I115" s="3" t="s">
        <v>4295</v>
      </c>
      <c r="R115" s="3" t="n">
        <f aca="false">LEN(C115)+LEN(D115)+LEN(E115)+LEN(F115)+LEN(G115)+LEN(H115)</f>
        <v>22</v>
      </c>
    </row>
    <row r="116" customFormat="false" ht="15" hidden="false" customHeight="false" outlineLevel="0" collapsed="false">
      <c r="A116" s="0" t="s">
        <v>4296</v>
      </c>
      <c r="B116" s="0" t="s">
        <v>4297</v>
      </c>
      <c r="C116" s="0" t="n">
        <v>1906</v>
      </c>
      <c r="D116" s="0" t="s">
        <v>4298</v>
      </c>
      <c r="E116" s="0" t="s">
        <v>3928</v>
      </c>
      <c r="F116" s="0" t="s">
        <v>880</v>
      </c>
      <c r="G116" s="0" t="s">
        <v>3936</v>
      </c>
      <c r="H116" s="0" t="s">
        <v>4297</v>
      </c>
      <c r="I116" s="0" t="s">
        <v>4299</v>
      </c>
      <c r="R116" s="0" t="n">
        <f aca="false">LEN(C116)+LEN(D116)+LEN(E116)+LEN(F116)+LEN(G116)+LEN(H116)</f>
        <v>29</v>
      </c>
    </row>
    <row r="117" customFormat="false" ht="15" hidden="false" customHeight="false" outlineLevel="0" collapsed="false">
      <c r="A117" s="0" t="s">
        <v>4300</v>
      </c>
      <c r="B117" s="0" t="s">
        <v>4297</v>
      </c>
      <c r="C117" s="0" t="n">
        <v>1905</v>
      </c>
      <c r="D117" s="0" t="s">
        <v>4301</v>
      </c>
      <c r="E117" s="0" t="s">
        <v>880</v>
      </c>
      <c r="F117" s="0" t="s">
        <v>526</v>
      </c>
      <c r="G117" s="0" t="s">
        <v>3936</v>
      </c>
      <c r="H117" s="0" t="s">
        <v>4297</v>
      </c>
      <c r="I117" s="0" t="s">
        <v>4299</v>
      </c>
      <c r="R117" s="0" t="n">
        <f aca="false">LEN(C117)+LEN(D117)+LEN(E117)+LEN(F117)+LEN(G117)+LEN(H117)</f>
        <v>30</v>
      </c>
    </row>
    <row r="118" customFormat="false" ht="15" hidden="false" customHeight="false" outlineLevel="0" collapsed="false">
      <c r="A118" s="0" t="s">
        <v>4302</v>
      </c>
      <c r="B118" s="0" t="s">
        <v>4297</v>
      </c>
      <c r="C118" s="0" t="n">
        <v>1907</v>
      </c>
      <c r="D118" s="0" t="s">
        <v>3977</v>
      </c>
      <c r="E118" s="0" t="s">
        <v>962</v>
      </c>
      <c r="F118" s="0" t="s">
        <v>1267</v>
      </c>
      <c r="G118" s="0" t="s">
        <v>3936</v>
      </c>
      <c r="H118" s="0" t="s">
        <v>4297</v>
      </c>
      <c r="I118" s="0" t="s">
        <v>4299</v>
      </c>
      <c r="K118" s="0" t="s">
        <v>29</v>
      </c>
      <c r="R118" s="0" t="n">
        <f aca="false">LEN(C118)+LEN(D118)+LEN(E118)+LEN(F118)+LEN(G118)+LEN(H118)</f>
        <v>24</v>
      </c>
    </row>
    <row r="119" customFormat="false" ht="15" hidden="false" customHeight="false" outlineLevel="0" collapsed="false">
      <c r="A119" s="0" t="s">
        <v>4303</v>
      </c>
      <c r="B119" s="0" t="s">
        <v>4297</v>
      </c>
      <c r="C119" s="0" t="n">
        <v>1898</v>
      </c>
      <c r="D119" s="0" t="s">
        <v>4304</v>
      </c>
      <c r="E119" s="0" t="s">
        <v>69</v>
      </c>
      <c r="G119" s="0" t="s">
        <v>3936</v>
      </c>
      <c r="H119" s="0" t="s">
        <v>4297</v>
      </c>
      <c r="I119" s="0" t="s">
        <v>4299</v>
      </c>
      <c r="R119" s="0" t="n">
        <f aca="false">LEN(C119)+LEN(D119)+LEN(E119)+LEN(F119)+LEN(G119)+LEN(H119)</f>
        <v>27</v>
      </c>
    </row>
    <row r="120" s="3" customFormat="true" ht="15" hidden="false" customHeight="false" outlineLevel="0" collapsed="false">
      <c r="A120" s="3" t="s">
        <v>4305</v>
      </c>
      <c r="B120" s="3" t="s">
        <v>4306</v>
      </c>
      <c r="C120" s="3" t="n">
        <v>1915</v>
      </c>
      <c r="D120" s="3" t="s">
        <v>4307</v>
      </c>
      <c r="F120" s="3" t="s">
        <v>1671</v>
      </c>
      <c r="G120" s="3" t="s">
        <v>3936</v>
      </c>
      <c r="H120" s="3" t="s">
        <v>4306</v>
      </c>
      <c r="I120" s="3" t="s">
        <v>152</v>
      </c>
      <c r="R120" s="3" t="n">
        <f aca="false">LEN(C120)+LEN(D120)+LEN(E120)+LEN(F120)+LEN(G120)+LEN(H120)</f>
        <v>20</v>
      </c>
    </row>
    <row r="121" customFormat="false" ht="15" hidden="false" customHeight="false" outlineLevel="0" collapsed="false">
      <c r="A121" s="0" t="s">
        <v>4308</v>
      </c>
      <c r="B121" s="0" t="s">
        <v>4306</v>
      </c>
      <c r="C121" s="0" t="n">
        <v>1901</v>
      </c>
      <c r="D121" s="0" t="s">
        <v>4309</v>
      </c>
      <c r="F121" s="0" t="s">
        <v>1407</v>
      </c>
      <c r="G121" s="0" t="s">
        <v>3936</v>
      </c>
      <c r="H121" s="0" t="s">
        <v>4306</v>
      </c>
      <c r="I121" s="0" t="s">
        <v>152</v>
      </c>
      <c r="K121" s="0" t="s">
        <v>69</v>
      </c>
      <c r="L121" s="0" t="s">
        <v>29</v>
      </c>
      <c r="Q121" s="0" t="n">
        <v>4</v>
      </c>
      <c r="R121" s="0" t="n">
        <f aca="false">LEN(C121)+LEN(D121)+LEN(E121)+LEN(F121)+LEN(G121)+LEN(H121)</f>
        <v>20</v>
      </c>
    </row>
    <row r="122" customFormat="false" ht="15" hidden="false" customHeight="false" outlineLevel="0" collapsed="false">
      <c r="A122" s="0" t="s">
        <v>4310</v>
      </c>
      <c r="B122" s="0" t="s">
        <v>4306</v>
      </c>
      <c r="C122" s="0" t="n">
        <v>1893</v>
      </c>
      <c r="D122" s="0" t="s">
        <v>4311</v>
      </c>
      <c r="F122" s="0" t="s">
        <v>23</v>
      </c>
      <c r="G122" s="0" t="s">
        <v>3936</v>
      </c>
      <c r="H122" s="0" t="s">
        <v>4306</v>
      </c>
      <c r="I122" s="0" t="s">
        <v>152</v>
      </c>
      <c r="L122" s="0" t="s">
        <v>29</v>
      </c>
      <c r="R122" s="0" t="n">
        <f aca="false">LEN(C122)+LEN(D122)+LEN(E122)+LEN(F122)+LEN(G122)+LEN(H122)</f>
        <v>24</v>
      </c>
    </row>
    <row r="123" customFormat="false" ht="15" hidden="false" customHeight="false" outlineLevel="0" collapsed="false">
      <c r="A123" s="0" t="s">
        <v>4312</v>
      </c>
      <c r="B123" s="0" t="s">
        <v>4306</v>
      </c>
      <c r="C123" s="0" t="n">
        <v>1901</v>
      </c>
      <c r="D123" s="0" t="s">
        <v>4173</v>
      </c>
      <c r="E123" s="0" t="s">
        <v>954</v>
      </c>
      <c r="F123" s="0" t="s">
        <v>4313</v>
      </c>
      <c r="G123" s="0" t="s">
        <v>3936</v>
      </c>
      <c r="H123" s="0" t="s">
        <v>4306</v>
      </c>
      <c r="I123" s="0" t="s">
        <v>4314</v>
      </c>
      <c r="M123" s="0" t="s">
        <v>29</v>
      </c>
      <c r="R123" s="0" t="n">
        <f aca="false">LEN(C123)+LEN(D123)+LEN(E123)+LEN(F123)+LEN(G123)+LEN(H123)</f>
        <v>28</v>
      </c>
    </row>
    <row r="124" customFormat="false" ht="15" hidden="false" customHeight="false" outlineLevel="0" collapsed="false">
      <c r="A124" s="0" t="s">
        <v>4315</v>
      </c>
      <c r="B124" s="0" t="s">
        <v>4306</v>
      </c>
      <c r="C124" s="0" t="n">
        <v>1885</v>
      </c>
      <c r="D124" s="0" t="s">
        <v>4316</v>
      </c>
      <c r="E124" s="0" t="s">
        <v>3951</v>
      </c>
      <c r="F124" s="0" t="s">
        <v>526</v>
      </c>
      <c r="G124" s="0" t="s">
        <v>3936</v>
      </c>
      <c r="H124" s="0" t="s">
        <v>4306</v>
      </c>
      <c r="I124" s="0" t="s">
        <v>4317</v>
      </c>
      <c r="R124" s="0" t="n">
        <f aca="false">LEN(C124)+LEN(D124)+LEN(E124)+LEN(F124)+LEN(G124)+LEN(H124)</f>
        <v>24</v>
      </c>
    </row>
    <row r="125" customFormat="false" ht="15" hidden="false" customHeight="false" outlineLevel="0" collapsed="false">
      <c r="A125" s="0" t="s">
        <v>4318</v>
      </c>
      <c r="B125" s="0" t="s">
        <v>4306</v>
      </c>
      <c r="C125" s="0" t="n">
        <v>1903</v>
      </c>
      <c r="D125" s="0" t="s">
        <v>4319</v>
      </c>
      <c r="E125" s="0" t="s">
        <v>4320</v>
      </c>
      <c r="F125" s="0" t="s">
        <v>393</v>
      </c>
      <c r="G125" s="0" t="s">
        <v>3936</v>
      </c>
      <c r="H125" s="0" t="s">
        <v>4306</v>
      </c>
      <c r="I125" s="0" t="s">
        <v>4317</v>
      </c>
      <c r="R125" s="0" t="n">
        <f aca="false">LEN(C125)+LEN(D125)+LEN(E125)+LEN(F125)+LEN(G125)+LEN(H125)</f>
        <v>28</v>
      </c>
    </row>
    <row r="126" customFormat="false" ht="15" hidden="false" customHeight="false" outlineLevel="0" collapsed="false">
      <c r="A126" s="0" t="s">
        <v>4321</v>
      </c>
      <c r="B126" s="0" t="s">
        <v>4306</v>
      </c>
      <c r="C126" s="0" t="n">
        <v>1910</v>
      </c>
      <c r="D126" s="0" t="s">
        <v>4322</v>
      </c>
      <c r="E126" s="0" t="s">
        <v>4323</v>
      </c>
      <c r="F126" s="0" t="s">
        <v>2202</v>
      </c>
      <c r="G126" s="0" t="s">
        <v>3936</v>
      </c>
      <c r="H126" s="0" t="s">
        <v>4306</v>
      </c>
      <c r="I126" s="0" t="s">
        <v>4324</v>
      </c>
      <c r="M126" s="0" t="s">
        <v>29</v>
      </c>
      <c r="R126" s="0" t="n">
        <f aca="false">LEN(C126)+LEN(D126)+LEN(E126)+LEN(F126)+LEN(G126)+LEN(H126)</f>
        <v>25</v>
      </c>
    </row>
    <row r="127" customFormat="false" ht="15" hidden="false" customHeight="false" outlineLevel="0" collapsed="false">
      <c r="A127" s="0" t="s">
        <v>4325</v>
      </c>
      <c r="B127" s="0" t="s">
        <v>4306</v>
      </c>
      <c r="C127" s="0" t="n">
        <v>1915</v>
      </c>
      <c r="D127" s="0" t="s">
        <v>4326</v>
      </c>
      <c r="E127" s="0" t="s">
        <v>565</v>
      </c>
      <c r="F127" s="0" t="s">
        <v>1267</v>
      </c>
      <c r="G127" s="0" t="s">
        <v>3936</v>
      </c>
      <c r="H127" s="0" t="s">
        <v>4306</v>
      </c>
      <c r="I127" s="0" t="s">
        <v>152</v>
      </c>
      <c r="J127" s="0" t="s">
        <v>29</v>
      </c>
      <c r="R127" s="0" t="n">
        <f aca="false">LEN(C127)+LEN(D127)+LEN(E127)+LEN(F127)+LEN(G127)+LEN(H127)</f>
        <v>26</v>
      </c>
    </row>
    <row r="128" customFormat="false" ht="15" hidden="false" customHeight="false" outlineLevel="0" collapsed="false">
      <c r="A128" s="0" t="s">
        <v>4327</v>
      </c>
      <c r="B128" s="0" t="s">
        <v>4306</v>
      </c>
      <c r="C128" s="0" t="n">
        <v>1900</v>
      </c>
      <c r="D128" s="0" t="s">
        <v>4328</v>
      </c>
      <c r="E128" s="0" t="s">
        <v>3968</v>
      </c>
      <c r="F128" s="0" t="s">
        <v>1635</v>
      </c>
      <c r="G128" s="0" t="s">
        <v>3936</v>
      </c>
      <c r="H128" s="0" t="s">
        <v>4306</v>
      </c>
      <c r="I128" s="0" t="s">
        <v>4329</v>
      </c>
      <c r="J128" s="0" t="s">
        <v>29</v>
      </c>
      <c r="R128" s="0" t="n">
        <f aca="false">LEN(C128)+LEN(D128)+LEN(E128)+LEN(F128)+LEN(G128)+LEN(H128)</f>
        <v>26</v>
      </c>
    </row>
    <row r="129" customFormat="false" ht="15" hidden="false" customHeight="false" outlineLevel="0" collapsed="false">
      <c r="A129" s="0" t="s">
        <v>4330</v>
      </c>
      <c r="B129" s="0" t="s">
        <v>4306</v>
      </c>
      <c r="C129" s="0" t="n">
        <v>1902</v>
      </c>
      <c r="D129" s="0" t="s">
        <v>4331</v>
      </c>
      <c r="F129" s="0" t="s">
        <v>24</v>
      </c>
      <c r="G129" s="0" t="s">
        <v>3936</v>
      </c>
      <c r="H129" s="0" t="s">
        <v>4306</v>
      </c>
      <c r="I129" s="0" t="s">
        <v>152</v>
      </c>
      <c r="K129" s="0" t="s">
        <v>69</v>
      </c>
      <c r="L129" s="0" t="s">
        <v>29</v>
      </c>
      <c r="Q129" s="0" t="n">
        <v>4</v>
      </c>
      <c r="R129" s="0" t="n">
        <f aca="false">LEN(C129)+LEN(D129)+LEN(E129)+LEN(F129)+LEN(G129)+LEN(H129)</f>
        <v>24</v>
      </c>
    </row>
    <row r="130" customFormat="false" ht="15" hidden="false" customHeight="false" outlineLevel="0" collapsed="false">
      <c r="A130" s="0" t="s">
        <v>4332</v>
      </c>
      <c r="B130" s="0" t="s">
        <v>4306</v>
      </c>
      <c r="C130" s="0" t="n">
        <v>1892</v>
      </c>
      <c r="D130" s="0" t="s">
        <v>4333</v>
      </c>
      <c r="E130" s="0" t="s">
        <v>4334</v>
      </c>
      <c r="F130" s="0" t="s">
        <v>962</v>
      </c>
      <c r="G130" s="0" t="s">
        <v>3936</v>
      </c>
      <c r="H130" s="0" t="s">
        <v>4306</v>
      </c>
      <c r="I130" s="0" t="s">
        <v>4335</v>
      </c>
      <c r="R130" s="0" t="n">
        <f aca="false">LEN(C130)+LEN(D130)+LEN(E130)+LEN(F130)+LEN(G130)+LEN(H130)</f>
        <v>24</v>
      </c>
    </row>
    <row r="131" customFormat="false" ht="15" hidden="false" customHeight="false" outlineLevel="0" collapsed="false">
      <c r="A131" s="0" t="s">
        <v>4336</v>
      </c>
      <c r="B131" s="0" t="s">
        <v>4306</v>
      </c>
      <c r="C131" s="0" t="n">
        <v>1915</v>
      </c>
      <c r="D131" s="0" t="s">
        <v>4337</v>
      </c>
      <c r="E131" s="0" t="s">
        <v>4338</v>
      </c>
      <c r="F131" s="0" t="s">
        <v>2202</v>
      </c>
      <c r="G131" s="0" t="s">
        <v>3936</v>
      </c>
      <c r="H131" s="0" t="s">
        <v>4306</v>
      </c>
      <c r="I131" s="0" t="s">
        <v>152</v>
      </c>
      <c r="J131" s="0" t="s">
        <v>29</v>
      </c>
      <c r="M131" s="0" t="s">
        <v>29</v>
      </c>
      <c r="R131" s="0" t="n">
        <f aca="false">LEN(C131)+LEN(D131)+LEN(E131)+LEN(F131)+LEN(G131)+LEN(H131)</f>
        <v>26</v>
      </c>
    </row>
    <row r="132" s="3" customFormat="true" ht="15" hidden="false" customHeight="false" outlineLevel="0" collapsed="false">
      <c r="A132" s="3" t="s">
        <v>4339</v>
      </c>
      <c r="B132" s="3" t="s">
        <v>4306</v>
      </c>
      <c r="C132" s="3" t="n">
        <v>1909</v>
      </c>
      <c r="D132" s="3" t="s">
        <v>322</v>
      </c>
      <c r="E132" s="3" t="s">
        <v>212</v>
      </c>
      <c r="F132" s="3" t="s">
        <v>24</v>
      </c>
      <c r="G132" s="3" t="s">
        <v>3936</v>
      </c>
      <c r="H132" s="3" t="s">
        <v>4306</v>
      </c>
      <c r="I132" s="3" t="s">
        <v>4340</v>
      </c>
      <c r="R132" s="3" t="n">
        <f aca="false">LEN(C132)+LEN(D132)+LEN(E132)+LEN(F132)+LEN(G132)+LEN(H132)</f>
        <v>29</v>
      </c>
    </row>
    <row r="133" customFormat="false" ht="15" hidden="false" customHeight="false" outlineLevel="0" collapsed="false">
      <c r="A133" s="0" t="s">
        <v>4341</v>
      </c>
      <c r="B133" s="0" t="s">
        <v>4306</v>
      </c>
      <c r="C133" s="0" t="n">
        <v>1876</v>
      </c>
      <c r="D133" s="0" t="s">
        <v>213</v>
      </c>
      <c r="E133" s="0" t="s">
        <v>1734</v>
      </c>
      <c r="F133" s="0" t="s">
        <v>69</v>
      </c>
      <c r="G133" s="0" t="s">
        <v>3936</v>
      </c>
      <c r="H133" s="0" t="s">
        <v>4306</v>
      </c>
      <c r="I133" s="0" t="s">
        <v>4342</v>
      </c>
      <c r="R133" s="0" t="n">
        <f aca="false">LEN(C133)+LEN(D133)+LEN(E133)+LEN(F133)+LEN(G133)+LEN(H133)</f>
        <v>27</v>
      </c>
    </row>
    <row r="134" customFormat="false" ht="15" hidden="false" customHeight="false" outlineLevel="0" collapsed="false">
      <c r="A134" s="0" t="s">
        <v>4343</v>
      </c>
      <c r="B134" s="0" t="s">
        <v>4306</v>
      </c>
      <c r="C134" s="0" t="n">
        <v>1911</v>
      </c>
      <c r="D134" s="0" t="s">
        <v>4344</v>
      </c>
      <c r="F134" s="0" t="s">
        <v>962</v>
      </c>
      <c r="G134" s="0" t="s">
        <v>3936</v>
      </c>
      <c r="H134" s="0" t="s">
        <v>4306</v>
      </c>
      <c r="I134" s="0" t="s">
        <v>152</v>
      </c>
      <c r="K134" s="0" t="s">
        <v>69</v>
      </c>
      <c r="L134" s="0" t="s">
        <v>29</v>
      </c>
      <c r="Q134" s="0" t="n">
        <v>2</v>
      </c>
      <c r="R134" s="0" t="n">
        <f aca="false">LEN(C134)+LEN(D134)+LEN(E134)+LEN(F134)+LEN(G134)+LEN(H134)</f>
        <v>19</v>
      </c>
    </row>
    <row r="135" customFormat="false" ht="15" hidden="false" customHeight="false" outlineLevel="0" collapsed="false">
      <c r="A135" s="0" t="s">
        <v>4345</v>
      </c>
      <c r="B135" s="0" t="s">
        <v>4306</v>
      </c>
      <c r="C135" s="0" t="n">
        <v>1885</v>
      </c>
      <c r="D135" s="0" t="s">
        <v>4346</v>
      </c>
      <c r="F135" s="0" t="s">
        <v>1635</v>
      </c>
      <c r="G135" s="0" t="s">
        <v>3936</v>
      </c>
      <c r="H135" s="0" t="s">
        <v>4306</v>
      </c>
      <c r="I135" s="0" t="s">
        <v>152</v>
      </c>
      <c r="L135" s="0" t="s">
        <v>29</v>
      </c>
      <c r="R135" s="0" t="n">
        <f aca="false">LEN(C135)+LEN(D135)+LEN(E135)+LEN(F135)+LEN(G135)+LEN(H135)</f>
        <v>20</v>
      </c>
    </row>
    <row r="136" customFormat="false" ht="15" hidden="false" customHeight="false" outlineLevel="0" collapsed="false">
      <c r="A136" s="0" t="s">
        <v>4347</v>
      </c>
      <c r="B136" s="0" t="s">
        <v>4306</v>
      </c>
      <c r="C136" s="0" t="n">
        <v>1903</v>
      </c>
      <c r="D136" s="0" t="s">
        <v>4348</v>
      </c>
      <c r="E136" s="0" t="s">
        <v>4349</v>
      </c>
      <c r="F136" s="0" t="s">
        <v>394</v>
      </c>
      <c r="G136" s="0" t="s">
        <v>3936</v>
      </c>
      <c r="H136" s="0" t="s">
        <v>4306</v>
      </c>
      <c r="I136" s="0" t="s">
        <v>4350</v>
      </c>
      <c r="R136" s="0" t="n">
        <f aca="false">LEN(C136)+LEN(D136)+LEN(E136)+LEN(F136)+LEN(G136)+LEN(H136)</f>
        <v>26</v>
      </c>
    </row>
    <row r="137" s="3" customFormat="true" ht="15" hidden="false" customHeight="false" outlineLevel="0" collapsed="false">
      <c r="A137" s="3" t="s">
        <v>4351</v>
      </c>
      <c r="B137" s="3" t="s">
        <v>4306</v>
      </c>
      <c r="C137" s="3" t="n">
        <v>1913</v>
      </c>
      <c r="D137" s="3" t="s">
        <v>1671</v>
      </c>
      <c r="F137" s="3" t="s">
        <v>394</v>
      </c>
      <c r="G137" s="3" t="s">
        <v>3936</v>
      </c>
      <c r="H137" s="3" t="s">
        <v>4306</v>
      </c>
      <c r="I137" s="3" t="s">
        <v>152</v>
      </c>
      <c r="R137" s="3" t="n">
        <f aca="false">LEN(C137)+LEN(D137)+LEN(E137)+LEN(F137)+LEN(G137)+LEN(H137)</f>
        <v>16</v>
      </c>
    </row>
    <row r="138" customFormat="false" ht="15" hidden="false" customHeight="false" outlineLevel="0" collapsed="false">
      <c r="A138" s="0" t="s">
        <v>4352</v>
      </c>
      <c r="B138" s="0" t="s">
        <v>4306</v>
      </c>
      <c r="C138" s="0" t="n">
        <v>1915</v>
      </c>
      <c r="D138" s="0" t="s">
        <v>4353</v>
      </c>
      <c r="F138" s="0" t="s">
        <v>881</v>
      </c>
      <c r="G138" s="0" t="s">
        <v>3936</v>
      </c>
      <c r="H138" s="0" t="s">
        <v>4306</v>
      </c>
      <c r="I138" s="0" t="s">
        <v>152</v>
      </c>
      <c r="J138" s="0" t="s">
        <v>29</v>
      </c>
      <c r="K138" s="0" t="s">
        <v>69</v>
      </c>
      <c r="L138" s="0" t="s">
        <v>29</v>
      </c>
      <c r="Q138" s="0" t="n">
        <v>2</v>
      </c>
      <c r="R138" s="0" t="n">
        <f aca="false">LEN(C138)+LEN(D138)+LEN(E138)+LEN(F138)+LEN(G138)+LEN(H138)</f>
        <v>19</v>
      </c>
    </row>
    <row r="139" customFormat="false" ht="15" hidden="false" customHeight="false" outlineLevel="0" collapsed="false">
      <c r="A139" s="0" t="s">
        <v>4354</v>
      </c>
      <c r="B139" s="0" t="s">
        <v>4306</v>
      </c>
      <c r="C139" s="0" t="n">
        <v>1906</v>
      </c>
      <c r="D139" s="0" t="s">
        <v>3115</v>
      </c>
      <c r="E139" s="0" t="s">
        <v>4355</v>
      </c>
      <c r="F139" s="0" t="s">
        <v>1635</v>
      </c>
      <c r="G139" s="0" t="s">
        <v>3936</v>
      </c>
      <c r="H139" s="0" t="s">
        <v>4306</v>
      </c>
      <c r="I139" s="0" t="s">
        <v>4356</v>
      </c>
      <c r="J139" s="0" t="s">
        <v>29</v>
      </c>
      <c r="R139" s="0" t="n">
        <f aca="false">LEN(C139)+LEN(D139)+LEN(E139)+LEN(F139)+LEN(G139)+LEN(H139)</f>
        <v>28</v>
      </c>
    </row>
    <row r="140" customFormat="false" ht="15" hidden="false" customHeight="false" outlineLevel="0" collapsed="false">
      <c r="A140" s="0" t="s">
        <v>4357</v>
      </c>
      <c r="B140" s="0" t="s">
        <v>4306</v>
      </c>
      <c r="C140" s="0" t="n">
        <v>1903</v>
      </c>
      <c r="D140" s="0" t="s">
        <v>4358</v>
      </c>
      <c r="E140" s="0" t="s">
        <v>2712</v>
      </c>
      <c r="F140" s="0" t="s">
        <v>880</v>
      </c>
      <c r="G140" s="0" t="s">
        <v>3936</v>
      </c>
      <c r="H140" s="0" t="s">
        <v>4306</v>
      </c>
      <c r="I140" s="0" t="s">
        <v>4359</v>
      </c>
      <c r="R140" s="0" t="n">
        <f aca="false">LEN(C140)+LEN(D140)+LEN(E140)+LEN(F140)+LEN(G140)+LEN(H140)</f>
        <v>29</v>
      </c>
    </row>
    <row r="141" customFormat="false" ht="15" hidden="false" customHeight="false" outlineLevel="0" collapsed="false">
      <c r="A141" s="0" t="s">
        <v>4360</v>
      </c>
      <c r="B141" s="0" t="s">
        <v>4306</v>
      </c>
      <c r="C141" s="0" t="n">
        <v>1868</v>
      </c>
      <c r="D141" s="0" t="s">
        <v>4361</v>
      </c>
      <c r="E141" s="0" t="s">
        <v>394</v>
      </c>
      <c r="F141" s="0" t="s">
        <v>1671</v>
      </c>
      <c r="G141" s="0" t="s">
        <v>3936</v>
      </c>
      <c r="H141" s="0" t="s">
        <v>4306</v>
      </c>
      <c r="I141" s="0" t="s">
        <v>4362</v>
      </c>
      <c r="R141" s="0" t="n">
        <f aca="false">LEN(C141)+LEN(D141)+LEN(E141)+LEN(F141)+LEN(G141)+LEN(H141)</f>
        <v>23</v>
      </c>
    </row>
    <row r="142" customFormat="false" ht="15" hidden="false" customHeight="false" outlineLevel="0" collapsed="false">
      <c r="A142" s="0" t="s">
        <v>4363</v>
      </c>
      <c r="B142" s="0" t="s">
        <v>4306</v>
      </c>
      <c r="C142" s="0" t="n">
        <v>1915</v>
      </c>
      <c r="D142" s="0" t="s">
        <v>4364</v>
      </c>
      <c r="F142" s="0" t="s">
        <v>394</v>
      </c>
      <c r="G142" s="0" t="s">
        <v>3936</v>
      </c>
      <c r="H142" s="0" t="s">
        <v>4306</v>
      </c>
      <c r="I142" s="0" t="s">
        <v>152</v>
      </c>
      <c r="J142" s="0" t="s">
        <v>29</v>
      </c>
      <c r="K142" s="0" t="s">
        <v>69</v>
      </c>
      <c r="L142" s="0" t="s">
        <v>29</v>
      </c>
      <c r="Q142" s="0" t="n">
        <v>2</v>
      </c>
      <c r="R142" s="0" t="n">
        <f aca="false">LEN(C142)+LEN(D142)+LEN(E142)+LEN(F142)+LEN(G142)+LEN(H142)</f>
        <v>22</v>
      </c>
    </row>
    <row r="143" customFormat="false" ht="15" hidden="false" customHeight="false" outlineLevel="0" collapsed="false">
      <c r="A143" s="0" t="s">
        <v>4365</v>
      </c>
      <c r="B143" s="0" t="s">
        <v>4306</v>
      </c>
      <c r="C143" s="0" t="n">
        <v>1915</v>
      </c>
      <c r="D143" s="0" t="s">
        <v>4366</v>
      </c>
      <c r="F143" s="0" t="s">
        <v>394</v>
      </c>
      <c r="G143" s="0" t="s">
        <v>3936</v>
      </c>
      <c r="H143" s="0" t="s">
        <v>4306</v>
      </c>
      <c r="I143" s="0" t="s">
        <v>152</v>
      </c>
      <c r="J143" s="0" t="s">
        <v>29</v>
      </c>
      <c r="K143" s="0" t="s">
        <v>69</v>
      </c>
      <c r="L143" s="0" t="s">
        <v>29</v>
      </c>
      <c r="Q143" s="0" t="n">
        <v>1</v>
      </c>
      <c r="R143" s="0" t="n">
        <f aca="false">LEN(C143)+LEN(D143)+LEN(E143)+LEN(F143)+LEN(G143)+LEN(H143)</f>
        <v>21</v>
      </c>
    </row>
    <row r="144" customFormat="false" ht="15" hidden="false" customHeight="false" outlineLevel="0" collapsed="false">
      <c r="A144" s="0" t="s">
        <v>4367</v>
      </c>
      <c r="B144" s="0" t="s">
        <v>4306</v>
      </c>
      <c r="C144" s="0" t="n">
        <v>1906</v>
      </c>
      <c r="D144" s="0" t="s">
        <v>3940</v>
      </c>
      <c r="E144" s="0" t="s">
        <v>3142</v>
      </c>
      <c r="F144" s="0" t="s">
        <v>962</v>
      </c>
      <c r="G144" s="0" t="s">
        <v>3936</v>
      </c>
      <c r="H144" s="0" t="s">
        <v>4306</v>
      </c>
      <c r="I144" s="0" t="s">
        <v>4329</v>
      </c>
      <c r="J144" s="0" t="s">
        <v>29</v>
      </c>
      <c r="R144" s="0" t="n">
        <f aca="false">LEN(C144)+LEN(D144)+LEN(E144)+LEN(F144)+LEN(G144)+LEN(H144)</f>
        <v>26</v>
      </c>
    </row>
    <row r="145" customFormat="false" ht="15" hidden="false" customHeight="false" outlineLevel="0" collapsed="false">
      <c r="A145" s="0" t="s">
        <v>4368</v>
      </c>
      <c r="B145" s="0" t="s">
        <v>4306</v>
      </c>
      <c r="C145" s="0" t="n">
        <v>1897</v>
      </c>
      <c r="D145" s="0" t="s">
        <v>4369</v>
      </c>
      <c r="E145" s="0" t="s">
        <v>324</v>
      </c>
      <c r="F145" s="0" t="s">
        <v>880</v>
      </c>
      <c r="G145" s="0" t="s">
        <v>3936</v>
      </c>
      <c r="H145" s="0" t="s">
        <v>4306</v>
      </c>
      <c r="I145" s="0" t="s">
        <v>4370</v>
      </c>
      <c r="R145" s="0" t="n">
        <f aca="false">LEN(C145)+LEN(D145)+LEN(E145)+LEN(F145)+LEN(G145)+LEN(H145)</f>
        <v>29</v>
      </c>
    </row>
    <row r="146" customFormat="false" ht="15" hidden="false" customHeight="false" outlineLevel="0" collapsed="false">
      <c r="A146" s="0" t="s">
        <v>4371</v>
      </c>
      <c r="B146" s="0" t="s">
        <v>4306</v>
      </c>
      <c r="C146" s="0" t="n">
        <v>1895</v>
      </c>
      <c r="D146" s="0" t="s">
        <v>3655</v>
      </c>
      <c r="E146" s="0" t="s">
        <v>4372</v>
      </c>
      <c r="G146" s="0" t="s">
        <v>3936</v>
      </c>
      <c r="H146" s="0" t="s">
        <v>4306</v>
      </c>
      <c r="I146" s="0" t="s">
        <v>4373</v>
      </c>
      <c r="R146" s="0" t="n">
        <f aca="false">LEN(C146)+LEN(D146)+LEN(E146)+LEN(F146)+LEN(G146)+LEN(H146)</f>
        <v>28</v>
      </c>
    </row>
    <row r="147" customFormat="false" ht="15" hidden="false" customHeight="false" outlineLevel="0" collapsed="false">
      <c r="A147" s="0" t="s">
        <v>4374</v>
      </c>
      <c r="B147" s="0" t="s">
        <v>4306</v>
      </c>
      <c r="C147" s="0" t="n">
        <v>1890</v>
      </c>
      <c r="D147" s="0" t="s">
        <v>4375</v>
      </c>
      <c r="E147" s="0" t="s">
        <v>4376</v>
      </c>
      <c r="F147" s="0" t="s">
        <v>2329</v>
      </c>
      <c r="G147" s="0" t="s">
        <v>3936</v>
      </c>
      <c r="H147" s="0" t="s">
        <v>4306</v>
      </c>
      <c r="I147" s="0" t="s">
        <v>4317</v>
      </c>
      <c r="R147" s="0" t="n">
        <f aca="false">LEN(C147)+LEN(D147)+LEN(E147)+LEN(F147)+LEN(G147)+LEN(H147)</f>
        <v>26</v>
      </c>
    </row>
    <row r="148" customFormat="false" ht="15" hidden="false" customHeight="false" outlineLevel="0" collapsed="false">
      <c r="A148" s="0" t="s">
        <v>4377</v>
      </c>
      <c r="B148" s="0" t="s">
        <v>4306</v>
      </c>
      <c r="C148" s="0" t="n">
        <v>1907</v>
      </c>
      <c r="D148" s="0" t="s">
        <v>4378</v>
      </c>
      <c r="E148" s="0" t="s">
        <v>386</v>
      </c>
      <c r="F148" s="0" t="s">
        <v>1267</v>
      </c>
      <c r="G148" s="0" t="s">
        <v>3936</v>
      </c>
      <c r="H148" s="0" t="s">
        <v>4306</v>
      </c>
      <c r="I148" s="0" t="s">
        <v>4317</v>
      </c>
      <c r="R148" s="0" t="n">
        <f aca="false">LEN(C148)+LEN(D148)+LEN(E148)+LEN(F148)+LEN(G148)+LEN(H148)</f>
        <v>28</v>
      </c>
    </row>
    <row r="149" customFormat="false" ht="15" hidden="false" customHeight="false" outlineLevel="0" collapsed="false">
      <c r="A149" s="0" t="s">
        <v>4379</v>
      </c>
      <c r="B149" s="0" t="s">
        <v>4306</v>
      </c>
      <c r="C149" s="0" t="n">
        <v>1908</v>
      </c>
      <c r="D149" s="0" t="s">
        <v>4380</v>
      </c>
      <c r="E149" s="0" t="s">
        <v>323</v>
      </c>
      <c r="F149" s="0" t="s">
        <v>69</v>
      </c>
      <c r="G149" s="0" t="s">
        <v>3936</v>
      </c>
      <c r="H149" s="0" t="s">
        <v>4306</v>
      </c>
      <c r="I149" s="0" t="s">
        <v>4317</v>
      </c>
      <c r="R149" s="0" t="n">
        <f aca="false">LEN(C149)+LEN(D149)+LEN(E149)+LEN(F149)+LEN(G149)+LEN(H149)</f>
        <v>26</v>
      </c>
    </row>
    <row r="150" customFormat="false" ht="15" hidden="false" customHeight="false" outlineLevel="0" collapsed="false">
      <c r="A150" s="0" t="s">
        <v>4381</v>
      </c>
      <c r="B150" s="0" t="s">
        <v>4306</v>
      </c>
      <c r="C150" s="0" t="n">
        <v>1915</v>
      </c>
      <c r="D150" s="0" t="s">
        <v>493</v>
      </c>
      <c r="E150" s="0" t="s">
        <v>1635</v>
      </c>
      <c r="F150" s="0" t="s">
        <v>393</v>
      </c>
      <c r="G150" s="0" t="s">
        <v>3936</v>
      </c>
      <c r="H150" s="0" t="s">
        <v>4306</v>
      </c>
      <c r="I150" s="0" t="s">
        <v>152</v>
      </c>
      <c r="J150" s="0" t="s">
        <v>29</v>
      </c>
      <c r="R150" s="0" t="n">
        <f aca="false">LEN(C150)+LEN(D150)+LEN(E150)+LEN(F150)+LEN(G150)+LEN(H150)</f>
        <v>21</v>
      </c>
    </row>
    <row r="151" customFormat="false" ht="15" hidden="false" customHeight="false" outlineLevel="0" collapsed="false">
      <c r="A151" s="0" t="s">
        <v>4382</v>
      </c>
      <c r="B151" s="0" t="s">
        <v>4306</v>
      </c>
      <c r="C151" s="0" t="n">
        <v>1915</v>
      </c>
      <c r="D151" s="0" t="s">
        <v>4383</v>
      </c>
      <c r="E151" s="0" t="s">
        <v>4384</v>
      </c>
      <c r="F151" s="0" t="s">
        <v>4313</v>
      </c>
      <c r="G151" s="0" t="s">
        <v>3936</v>
      </c>
      <c r="H151" s="0" t="s">
        <v>4306</v>
      </c>
      <c r="I151" s="0" t="s">
        <v>152</v>
      </c>
      <c r="J151" s="0" t="s">
        <v>29</v>
      </c>
      <c r="M151" s="0" t="s">
        <v>29</v>
      </c>
      <c r="R151" s="0" t="n">
        <f aca="false">LEN(C151)+LEN(D151)+LEN(E151)+LEN(F151)+LEN(G151)+LEN(H151)</f>
        <v>24</v>
      </c>
    </row>
    <row r="152" customFormat="false" ht="15" hidden="false" customHeight="false" outlineLevel="0" collapsed="false">
      <c r="A152" s="0" t="s">
        <v>4385</v>
      </c>
      <c r="B152" s="0" t="s">
        <v>4306</v>
      </c>
      <c r="C152" s="0" t="n">
        <v>1906</v>
      </c>
      <c r="D152" s="0" t="s">
        <v>4386</v>
      </c>
      <c r="E152" s="0" t="s">
        <v>4387</v>
      </c>
      <c r="F152" s="0" t="s">
        <v>2202</v>
      </c>
      <c r="G152" s="0" t="s">
        <v>3936</v>
      </c>
      <c r="H152" s="0" t="s">
        <v>4306</v>
      </c>
      <c r="I152" s="0" t="s">
        <v>4388</v>
      </c>
      <c r="M152" s="0" t="s">
        <v>29</v>
      </c>
      <c r="R152" s="0" t="n">
        <f aca="false">LEN(C152)+LEN(D152)+LEN(E152)+LEN(F152)+LEN(G152)+LEN(H152)</f>
        <v>27</v>
      </c>
    </row>
    <row r="153" customFormat="false" ht="15" hidden="false" customHeight="false" outlineLevel="0" collapsed="false">
      <c r="A153" s="0" t="s">
        <v>4389</v>
      </c>
      <c r="B153" s="0" t="s">
        <v>4306</v>
      </c>
      <c r="C153" s="0" t="n">
        <v>1874</v>
      </c>
      <c r="D153" s="0" t="s">
        <v>3875</v>
      </c>
      <c r="E153" s="0" t="s">
        <v>386</v>
      </c>
      <c r="F153" s="0" t="s">
        <v>24</v>
      </c>
      <c r="G153" s="0" t="s">
        <v>3936</v>
      </c>
      <c r="H153" s="0" t="s">
        <v>4306</v>
      </c>
      <c r="I153" s="0" t="s">
        <v>4390</v>
      </c>
      <c r="R153" s="0" t="n">
        <f aca="false">LEN(C153)+LEN(D153)+LEN(E153)+LEN(F153)+LEN(G153)+LEN(H153)</f>
        <v>27</v>
      </c>
    </row>
    <row r="154" s="3" customFormat="true" ht="15" hidden="false" customHeight="false" outlineLevel="0" collapsed="false">
      <c r="A154" s="3" t="s">
        <v>4391</v>
      </c>
      <c r="B154" s="3" t="s">
        <v>4306</v>
      </c>
      <c r="C154" s="3" t="n">
        <v>1915</v>
      </c>
      <c r="D154" s="3" t="s">
        <v>4392</v>
      </c>
      <c r="F154" s="3" t="s">
        <v>2202</v>
      </c>
      <c r="G154" s="3" t="s">
        <v>3936</v>
      </c>
      <c r="H154" s="3" t="s">
        <v>4306</v>
      </c>
      <c r="I154" s="3" t="s">
        <v>152</v>
      </c>
      <c r="R154" s="3" t="n">
        <f aca="false">LEN(C154)+LEN(D154)+LEN(E154)+LEN(F154)+LEN(G154)+LEN(H154)</f>
        <v>17</v>
      </c>
    </row>
    <row r="155" customFormat="false" ht="15" hidden="false" customHeight="false" outlineLevel="0" collapsed="false">
      <c r="A155" s="0" t="s">
        <v>4393</v>
      </c>
      <c r="B155" s="0" t="s">
        <v>4306</v>
      </c>
      <c r="C155" s="0" t="n">
        <v>1890</v>
      </c>
      <c r="D155" s="0" t="s">
        <v>4394</v>
      </c>
      <c r="E155" s="0" t="s">
        <v>1734</v>
      </c>
      <c r="F155" s="0" t="s">
        <v>394</v>
      </c>
      <c r="G155" s="0" t="s">
        <v>3936</v>
      </c>
      <c r="H155" s="0" t="s">
        <v>4306</v>
      </c>
      <c r="I155" s="0" t="s">
        <v>4395</v>
      </c>
      <c r="R155" s="0" t="n">
        <f aca="false">LEN(C155)+LEN(D155)+LEN(E155)+LEN(F155)+LEN(G155)+LEN(H155)</f>
        <v>25</v>
      </c>
    </row>
    <row r="156" customFormat="false" ht="15" hidden="false" customHeight="false" outlineLevel="0" collapsed="false">
      <c r="A156" s="0" t="s">
        <v>4396</v>
      </c>
      <c r="B156" s="0" t="s">
        <v>4306</v>
      </c>
      <c r="C156" s="0" t="n">
        <v>1908</v>
      </c>
      <c r="D156" s="0" t="s">
        <v>4394</v>
      </c>
      <c r="E156" s="0" t="s">
        <v>565</v>
      </c>
      <c r="F156" s="0" t="s">
        <v>1267</v>
      </c>
      <c r="G156" s="0" t="s">
        <v>3936</v>
      </c>
      <c r="H156" s="0" t="s">
        <v>4306</v>
      </c>
      <c r="I156" s="0" t="s">
        <v>4397</v>
      </c>
      <c r="L156" s="0" t="s">
        <v>29</v>
      </c>
      <c r="R156" s="0" t="n">
        <f aca="false">LEN(C156)+LEN(D156)+LEN(E156)+LEN(F156)+LEN(G156)+LEN(H156)</f>
        <v>24</v>
      </c>
    </row>
    <row r="157" customFormat="false" ht="15" hidden="false" customHeight="false" outlineLevel="0" collapsed="false">
      <c r="A157" s="0" t="s">
        <v>4398</v>
      </c>
      <c r="B157" s="0" t="s">
        <v>4306</v>
      </c>
      <c r="C157" s="3" t="n">
        <v>1915</v>
      </c>
      <c r="D157" s="0" t="s">
        <v>4399</v>
      </c>
      <c r="E157" s="0" t="s">
        <v>4400</v>
      </c>
      <c r="H157" s="0" t="s">
        <v>4401</v>
      </c>
      <c r="I157" s="0" t="s">
        <v>152</v>
      </c>
      <c r="O157" s="0" t="s">
        <v>29</v>
      </c>
      <c r="R157" s="0" t="n">
        <f aca="false">LEN(C157)+LEN(D157)+LEN(E157)+LEN(F157)+LEN(G157)+LEN(H157)</f>
        <v>31</v>
      </c>
    </row>
    <row r="158" customFormat="false" ht="15" hidden="false" customHeight="false" outlineLevel="0" collapsed="false">
      <c r="A158" s="0" t="s">
        <v>4402</v>
      </c>
      <c r="B158" s="0" t="s">
        <v>4306</v>
      </c>
      <c r="C158" s="3" t="n">
        <v>1915</v>
      </c>
      <c r="D158" s="0" t="s">
        <v>4403</v>
      </c>
      <c r="E158" s="0" t="s">
        <v>3951</v>
      </c>
      <c r="G158" s="0" t="s">
        <v>4404</v>
      </c>
      <c r="I158" s="0" t="s">
        <v>152</v>
      </c>
      <c r="M158" s="0" t="s">
        <v>29</v>
      </c>
      <c r="R158" s="0" t="n">
        <f aca="false">LEN(C158)+LEN(D158)+LEN(E158)+LEN(F158)+LEN(G158)+LEN(H158)</f>
        <v>27</v>
      </c>
    </row>
    <row r="159" customFormat="false" ht="15" hidden="false" customHeight="false" outlineLevel="0" collapsed="false">
      <c r="A159" s="0" t="s">
        <v>4405</v>
      </c>
      <c r="B159" s="0" t="s">
        <v>4306</v>
      </c>
      <c r="C159" s="3" t="n">
        <v>1915</v>
      </c>
      <c r="D159" s="0" t="s">
        <v>4406</v>
      </c>
      <c r="E159" s="0" t="s">
        <v>4407</v>
      </c>
      <c r="I159" s="0" t="s">
        <v>152</v>
      </c>
      <c r="M159" s="0" t="s">
        <v>29</v>
      </c>
      <c r="R159" s="0" t="n">
        <f aca="false">LEN(C159)+LEN(D159)+LEN(E159)+LEN(F159)+LEN(G159)+LEN(H159)</f>
        <v>14</v>
      </c>
    </row>
    <row r="160" customFormat="false" ht="15" hidden="false" customHeight="false" outlineLevel="0" collapsed="false">
      <c r="A160" s="0" t="s">
        <v>4408</v>
      </c>
      <c r="B160" s="0" t="s">
        <v>4306</v>
      </c>
      <c r="C160" s="3" t="n">
        <v>1915</v>
      </c>
      <c r="D160" s="0" t="s">
        <v>4409</v>
      </c>
      <c r="E160" s="0" t="s">
        <v>385</v>
      </c>
      <c r="F160" s="0" t="s">
        <v>964</v>
      </c>
      <c r="G160" s="0" t="s">
        <v>4410</v>
      </c>
      <c r="I160" s="0" t="s">
        <v>152</v>
      </c>
      <c r="N160" s="0" t="s">
        <v>29</v>
      </c>
      <c r="R160" s="0" t="n">
        <f aca="false">LEN(C160)+LEN(D160)+LEN(E160)+LEN(F160)+LEN(G160)+LEN(H160)</f>
        <v>21</v>
      </c>
    </row>
    <row r="161" customFormat="false" ht="15" hidden="false" customHeight="false" outlineLevel="0" collapsed="false">
      <c r="A161" s="0" t="s">
        <v>4411</v>
      </c>
      <c r="B161" s="0" t="s">
        <v>4306</v>
      </c>
      <c r="C161" s="3" t="n">
        <v>1915</v>
      </c>
      <c r="D161" s="0" t="s">
        <v>4412</v>
      </c>
      <c r="E161" s="0" t="s">
        <v>4413</v>
      </c>
      <c r="I161" s="0" t="s">
        <v>152</v>
      </c>
      <c r="L161" s="0" t="s">
        <v>29</v>
      </c>
      <c r="M161" s="0" t="s">
        <v>29</v>
      </c>
      <c r="R161" s="0" t="n">
        <f aca="false">LEN(C161)+LEN(D161)+LEN(E161)+LEN(F161)+LEN(G161)+LEN(H161)</f>
        <v>14</v>
      </c>
    </row>
    <row r="162" customFormat="false" ht="15" hidden="false" customHeight="false" outlineLevel="0" collapsed="false">
      <c r="A162" s="0" t="s">
        <v>4414</v>
      </c>
      <c r="B162" s="0" t="s">
        <v>4306</v>
      </c>
      <c r="C162" s="3" t="n">
        <v>1915</v>
      </c>
      <c r="D162" s="0" t="s">
        <v>4415</v>
      </c>
      <c r="E162" s="0" t="s">
        <v>3801</v>
      </c>
      <c r="F162" s="0" t="s">
        <v>24</v>
      </c>
      <c r="I162" s="0" t="s">
        <v>152</v>
      </c>
      <c r="M162" s="0" t="s">
        <v>29</v>
      </c>
      <c r="R162" s="0" t="n">
        <f aca="false">LEN(C162)+LEN(D162)+LEN(E162)+LEN(F162)+LEN(G162)+LEN(H162)</f>
        <v>20</v>
      </c>
    </row>
    <row r="163" customFormat="false" ht="15" hidden="false" customHeight="false" outlineLevel="0" collapsed="false">
      <c r="A163" s="0" t="s">
        <v>4416</v>
      </c>
      <c r="B163" s="0" t="s">
        <v>4306</v>
      </c>
      <c r="C163" s="3" t="n">
        <v>1915</v>
      </c>
      <c r="D163" s="0" t="s">
        <v>4417</v>
      </c>
      <c r="E163" s="0" t="s">
        <v>563</v>
      </c>
      <c r="I163" s="0" t="s">
        <v>152</v>
      </c>
      <c r="M163" s="0" t="s">
        <v>29</v>
      </c>
      <c r="R163" s="0" t="n">
        <f aca="false">LEN(C163)+LEN(D163)+LEN(E163)+LEN(F163)+LEN(G163)+LEN(H163)</f>
        <v>14</v>
      </c>
    </row>
    <row r="164" customFormat="false" ht="15" hidden="false" customHeight="false" outlineLevel="0" collapsed="false">
      <c r="A164" s="0" t="s">
        <v>4418</v>
      </c>
      <c r="B164" s="0" t="s">
        <v>4306</v>
      </c>
      <c r="C164" s="3" t="n">
        <v>1915</v>
      </c>
      <c r="D164" s="0" t="s">
        <v>4419</v>
      </c>
      <c r="E164" s="0" t="s">
        <v>4420</v>
      </c>
      <c r="I164" s="0" t="s">
        <v>152</v>
      </c>
      <c r="M164" s="0" t="s">
        <v>29</v>
      </c>
      <c r="N164" s="0" t="s">
        <v>29</v>
      </c>
      <c r="R164" s="0" t="n">
        <f aca="false">LEN(C164)+LEN(D164)+LEN(E164)+LEN(F164)+LEN(G164)+LEN(H164)</f>
        <v>15</v>
      </c>
    </row>
    <row r="165" customFormat="false" ht="15" hidden="false" customHeight="false" outlineLevel="0" collapsed="false">
      <c r="A165" s="0" t="s">
        <v>4421</v>
      </c>
      <c r="B165" s="0" t="s">
        <v>4306</v>
      </c>
      <c r="C165" s="3" t="n">
        <v>1915</v>
      </c>
      <c r="D165" s="0" t="s">
        <v>4422</v>
      </c>
      <c r="E165" s="0" t="s">
        <v>323</v>
      </c>
      <c r="I165" s="0" t="s">
        <v>152</v>
      </c>
      <c r="M165" s="0" t="s">
        <v>29</v>
      </c>
      <c r="R165" s="0" t="n">
        <f aca="false">LEN(C165)+LEN(D165)+LEN(E165)+LEN(F165)+LEN(G165)+LEN(H165)</f>
        <v>19</v>
      </c>
    </row>
    <row r="166" customFormat="false" ht="15" hidden="false" customHeight="false" outlineLevel="0" collapsed="false">
      <c r="A166" s="0" t="s">
        <v>4423</v>
      </c>
      <c r="B166" s="0" t="s">
        <v>4306</v>
      </c>
      <c r="C166" s="3" t="n">
        <v>1915</v>
      </c>
      <c r="D166" s="0" t="s">
        <v>2216</v>
      </c>
      <c r="E166" s="0" t="s">
        <v>4424</v>
      </c>
      <c r="F166" s="0" t="s">
        <v>29</v>
      </c>
      <c r="G166" s="0" t="s">
        <v>1357</v>
      </c>
      <c r="I166" s="0" t="s">
        <v>152</v>
      </c>
      <c r="M166" s="0" t="s">
        <v>29</v>
      </c>
      <c r="R166" s="0" t="n">
        <f aca="false">LEN(C166)+LEN(D166)+LEN(E166)+LEN(F166)+LEN(G166)+LEN(H166)</f>
        <v>29</v>
      </c>
    </row>
    <row r="167" customFormat="false" ht="15" hidden="false" customHeight="false" outlineLevel="0" collapsed="false">
      <c r="A167" s="0" t="s">
        <v>4425</v>
      </c>
      <c r="B167" s="0" t="s">
        <v>4306</v>
      </c>
      <c r="C167" s="3" t="n">
        <v>1915</v>
      </c>
      <c r="D167" s="0" t="s">
        <v>4426</v>
      </c>
      <c r="E167" s="0" t="s">
        <v>4427</v>
      </c>
      <c r="F167" s="0" t="s">
        <v>2202</v>
      </c>
      <c r="G167" s="0" t="s">
        <v>4428</v>
      </c>
      <c r="I167" s="0" t="s">
        <v>152</v>
      </c>
      <c r="M167" s="0" t="s">
        <v>29</v>
      </c>
      <c r="R167" s="0" t="n">
        <f aca="false">LEN(C167)+LEN(D167)+LEN(E167)+LEN(F167)+LEN(G167)+LEN(H167)</f>
        <v>27</v>
      </c>
    </row>
    <row r="168" customFormat="false" ht="15" hidden="false" customHeight="false" outlineLevel="0" collapsed="false">
      <c r="A168" s="0" t="s">
        <v>4429</v>
      </c>
      <c r="B168" s="0" t="s">
        <v>4306</v>
      </c>
      <c r="C168" s="3" t="n">
        <v>1915</v>
      </c>
      <c r="D168" s="0" t="s">
        <v>4430</v>
      </c>
      <c r="E168" s="0" t="s">
        <v>1734</v>
      </c>
      <c r="I168" s="0" t="s">
        <v>152</v>
      </c>
      <c r="M168" s="0" t="s">
        <v>29</v>
      </c>
      <c r="R168" s="0" t="n">
        <f aca="false">LEN(C168)+LEN(D168)+LEN(E168)+LEN(F168)+LEN(G168)+LEN(H168)</f>
        <v>17</v>
      </c>
    </row>
    <row r="169" customFormat="false" ht="15" hidden="false" customHeight="false" outlineLevel="0" collapsed="false">
      <c r="A169" s="0" t="s">
        <v>4431</v>
      </c>
      <c r="B169" s="0" t="s">
        <v>4306</v>
      </c>
      <c r="C169" s="3" t="n">
        <v>1915</v>
      </c>
      <c r="D169" s="0" t="s">
        <v>4432</v>
      </c>
      <c r="E169" s="0" t="s">
        <v>4433</v>
      </c>
      <c r="G169" s="0" t="s">
        <v>4434</v>
      </c>
      <c r="I169" s="0" t="s">
        <v>152</v>
      </c>
      <c r="M169" s="0" t="s">
        <v>29</v>
      </c>
      <c r="R169" s="0" t="n">
        <f aca="false">LEN(C169)+LEN(D169)+LEN(E169)+LEN(F169)+LEN(G169)+LEN(H169)</f>
        <v>22</v>
      </c>
    </row>
    <row r="170" customFormat="false" ht="15" hidden="false" customHeight="false" outlineLevel="0" collapsed="false">
      <c r="A170" s="0" t="s">
        <v>4435</v>
      </c>
      <c r="B170" s="0" t="s">
        <v>4306</v>
      </c>
      <c r="C170" s="3" t="n">
        <v>1915</v>
      </c>
      <c r="D170" s="0" t="s">
        <v>4436</v>
      </c>
      <c r="E170" s="0" t="s">
        <v>212</v>
      </c>
      <c r="F170" s="0" t="s">
        <v>962</v>
      </c>
      <c r="G170" s="0" t="s">
        <v>4428</v>
      </c>
      <c r="I170" s="0" t="s">
        <v>152</v>
      </c>
      <c r="M170" s="0" t="s">
        <v>29</v>
      </c>
      <c r="R170" s="0" t="n">
        <f aca="false">LEN(C170)+LEN(D170)+LEN(E170)+LEN(F170)+LEN(G170)+LEN(H170)</f>
        <v>32</v>
      </c>
    </row>
    <row r="171" customFormat="false" ht="15" hidden="false" customHeight="false" outlineLevel="0" collapsed="false">
      <c r="A171" s="0" t="s">
        <v>4437</v>
      </c>
      <c r="B171" s="0" t="s">
        <v>4306</v>
      </c>
      <c r="C171" s="3" t="n">
        <v>1915</v>
      </c>
      <c r="D171" s="0" t="s">
        <v>4438</v>
      </c>
      <c r="E171" s="0" t="s">
        <v>4439</v>
      </c>
      <c r="F171" s="0" t="s">
        <v>1635</v>
      </c>
      <c r="G171" s="0" t="s">
        <v>2948</v>
      </c>
      <c r="I171" s="0" t="s">
        <v>152</v>
      </c>
      <c r="O171" s="0" t="s">
        <v>29</v>
      </c>
      <c r="R171" s="0" t="n">
        <f aca="false">LEN(C171)+LEN(D171)+LEN(E171)+LEN(F171)+LEN(G171)+LEN(H171)</f>
        <v>24</v>
      </c>
    </row>
    <row r="172" customFormat="false" ht="15" hidden="false" customHeight="false" outlineLevel="0" collapsed="false">
      <c r="A172" s="0" t="s">
        <v>4440</v>
      </c>
      <c r="B172" s="0" t="s">
        <v>4306</v>
      </c>
      <c r="C172" s="3" t="n">
        <v>1915</v>
      </c>
      <c r="D172" s="0" t="s">
        <v>4441</v>
      </c>
      <c r="E172" s="0" t="s">
        <v>4442</v>
      </c>
      <c r="I172" s="0" t="s">
        <v>152</v>
      </c>
      <c r="M172" s="0" t="s">
        <v>29</v>
      </c>
      <c r="R172" s="0" t="n">
        <f aca="false">LEN(C172)+LEN(D172)+LEN(E172)+LEN(F172)+LEN(G172)+LEN(H172)</f>
        <v>16</v>
      </c>
    </row>
    <row r="173" customFormat="false" ht="15" hidden="false" customHeight="false" outlineLevel="0" collapsed="false">
      <c r="A173" s="0" t="s">
        <v>4443</v>
      </c>
      <c r="B173" s="0" t="s">
        <v>4306</v>
      </c>
      <c r="C173" s="3" t="n">
        <v>1915</v>
      </c>
      <c r="D173" s="0" t="s">
        <v>3950</v>
      </c>
      <c r="E173" s="0" t="s">
        <v>1728</v>
      </c>
      <c r="I173" s="0" t="s">
        <v>152</v>
      </c>
      <c r="M173" s="0" t="s">
        <v>29</v>
      </c>
      <c r="R173" s="0" t="n">
        <f aca="false">LEN(C173)+LEN(D173)+LEN(E173)+LEN(F173)+LEN(G173)+LEN(H173)</f>
        <v>13</v>
      </c>
    </row>
    <row r="174" customFormat="false" ht="15" hidden="false" customHeight="false" outlineLevel="0" collapsed="false">
      <c r="A174" s="0" t="s">
        <v>4444</v>
      </c>
      <c r="B174" s="0" t="s">
        <v>4306</v>
      </c>
      <c r="C174" s="3" t="n">
        <v>1915</v>
      </c>
      <c r="D174" s="0" t="s">
        <v>4445</v>
      </c>
      <c r="E174" s="0" t="s">
        <v>2217</v>
      </c>
      <c r="I174" s="0" t="s">
        <v>152</v>
      </c>
      <c r="M174" s="0" t="s">
        <v>29</v>
      </c>
      <c r="R174" s="0" t="n">
        <f aca="false">LEN(C174)+LEN(D174)+LEN(E174)+LEN(F174)+LEN(G174)+LEN(H174)</f>
        <v>16</v>
      </c>
    </row>
    <row r="175" customFormat="false" ht="15" hidden="false" customHeight="false" outlineLevel="0" collapsed="false">
      <c r="A175" s="0" t="s">
        <v>4446</v>
      </c>
      <c r="B175" s="0" t="s">
        <v>4306</v>
      </c>
      <c r="C175" s="3" t="n">
        <v>1915</v>
      </c>
      <c r="D175" s="0" t="s">
        <v>4447</v>
      </c>
      <c r="E175" s="0" t="s">
        <v>500</v>
      </c>
      <c r="G175" s="0" t="s">
        <v>4448</v>
      </c>
      <c r="H175" s="0" t="s">
        <v>4449</v>
      </c>
      <c r="I175" s="0" t="s">
        <v>152</v>
      </c>
      <c r="M175" s="0" t="s">
        <v>29</v>
      </c>
      <c r="O175" s="0" t="s">
        <v>29</v>
      </c>
      <c r="R175" s="0" t="n">
        <f aca="false">LEN(C175)+LEN(D175)+LEN(E175)+LEN(F175)+LEN(G175)+LEN(H175)</f>
        <v>53</v>
      </c>
    </row>
    <row r="176" customFormat="false" ht="15" hidden="false" customHeight="false" outlineLevel="0" collapsed="false">
      <c r="A176" s="0" t="s">
        <v>4450</v>
      </c>
      <c r="B176" s="0" t="s">
        <v>4306</v>
      </c>
      <c r="C176" s="3" t="n">
        <v>1915</v>
      </c>
      <c r="D176" s="0" t="s">
        <v>3335</v>
      </c>
      <c r="E176" s="0" t="s">
        <v>563</v>
      </c>
      <c r="I176" s="0" t="s">
        <v>152</v>
      </c>
      <c r="M176" s="0" t="s">
        <v>29</v>
      </c>
      <c r="R176" s="0" t="n">
        <f aca="false">LEN(C176)+LEN(D176)+LEN(E176)+LEN(F176)+LEN(G176)+LEN(H176)</f>
        <v>15</v>
      </c>
    </row>
    <row r="177" customFormat="false" ht="15" hidden="false" customHeight="false" outlineLevel="0" collapsed="false">
      <c r="A177" s="0" t="s">
        <v>4451</v>
      </c>
      <c r="B177" s="0" t="s">
        <v>4306</v>
      </c>
      <c r="C177" s="3" t="n">
        <v>1915</v>
      </c>
      <c r="D177" s="0" t="s">
        <v>1177</v>
      </c>
      <c r="E177" s="0" t="s">
        <v>2217</v>
      </c>
      <c r="F177" s="0" t="s">
        <v>1267</v>
      </c>
      <c r="I177" s="0" t="s">
        <v>152</v>
      </c>
      <c r="M177" s="0" t="s">
        <v>29</v>
      </c>
      <c r="R177" s="0" t="n">
        <f aca="false">LEN(C177)+LEN(D177)+LEN(E177)+LEN(F177)+LEN(G177)+LEN(H177)</f>
        <v>16</v>
      </c>
    </row>
    <row r="178" customFormat="false" ht="15" hidden="false" customHeight="false" outlineLevel="0" collapsed="false">
      <c r="A178" s="0" t="s">
        <v>4452</v>
      </c>
      <c r="B178" s="0" t="s">
        <v>4306</v>
      </c>
      <c r="C178" s="3" t="n">
        <v>1915</v>
      </c>
      <c r="D178" s="0" t="s">
        <v>4453</v>
      </c>
      <c r="E178" s="0" t="s">
        <v>4454</v>
      </c>
      <c r="F178" s="0" t="s">
        <v>962</v>
      </c>
      <c r="I178" s="0" t="s">
        <v>152</v>
      </c>
      <c r="M178" s="0" t="s">
        <v>29</v>
      </c>
      <c r="R178" s="0" t="n">
        <f aca="false">LEN(C178)+LEN(D178)+LEN(E178)+LEN(F178)+LEN(G178)+LEN(H178)</f>
        <v>14</v>
      </c>
    </row>
    <row r="179" customFormat="false" ht="15" hidden="false" customHeight="false" outlineLevel="0" collapsed="false">
      <c r="A179" s="0" t="s">
        <v>4455</v>
      </c>
      <c r="B179" s="0" t="s">
        <v>4306</v>
      </c>
      <c r="C179" s="3" t="n">
        <v>1915</v>
      </c>
      <c r="D179" s="0" t="s">
        <v>4456</v>
      </c>
      <c r="E179" s="0" t="s">
        <v>1728</v>
      </c>
      <c r="F179" s="0" t="s">
        <v>2202</v>
      </c>
      <c r="G179" s="0" t="s">
        <v>1357</v>
      </c>
      <c r="H179" s="0" t="s">
        <v>4457</v>
      </c>
      <c r="I179" s="0" t="s">
        <v>152</v>
      </c>
      <c r="M179" s="0" t="s">
        <v>29</v>
      </c>
      <c r="N179" s="0" t="s">
        <v>29</v>
      </c>
      <c r="O179" s="0" t="s">
        <v>29</v>
      </c>
      <c r="R179" s="0" t="n">
        <f aca="false">LEN(C179)+LEN(D179)+LEN(E179)+LEN(F179)+LEN(G179)+LEN(H179)</f>
        <v>47</v>
      </c>
    </row>
    <row r="180" customFormat="false" ht="15" hidden="false" customHeight="false" outlineLevel="0" collapsed="false">
      <c r="A180" s="0" t="s">
        <v>4458</v>
      </c>
      <c r="B180" s="0" t="s">
        <v>4306</v>
      </c>
      <c r="C180" s="3" t="n">
        <v>1915</v>
      </c>
      <c r="D180" s="0" t="s">
        <v>4459</v>
      </c>
      <c r="E180" s="0" t="s">
        <v>1564</v>
      </c>
      <c r="G180" s="0" t="s">
        <v>1357</v>
      </c>
      <c r="H180" s="0" t="s">
        <v>4460</v>
      </c>
      <c r="I180" s="0" t="s">
        <v>152</v>
      </c>
      <c r="M180" s="0" t="s">
        <v>29</v>
      </c>
      <c r="R180" s="0" t="n">
        <f aca="false">LEN(C180)+LEN(D180)+LEN(E180)+LEN(F180)+LEN(G180)+LEN(H180)</f>
        <v>57</v>
      </c>
    </row>
    <row r="181" customFormat="false" ht="15" hidden="false" customHeight="false" outlineLevel="0" collapsed="false">
      <c r="A181" s="0" t="s">
        <v>4461</v>
      </c>
      <c r="B181" s="0" t="s">
        <v>4306</v>
      </c>
      <c r="C181" s="3" t="n">
        <v>1915</v>
      </c>
      <c r="D181" s="0" t="s">
        <v>4417</v>
      </c>
      <c r="E181" s="0" t="s">
        <v>385</v>
      </c>
      <c r="G181" s="0" t="s">
        <v>3199</v>
      </c>
      <c r="H181" s="0" t="s">
        <v>4462</v>
      </c>
      <c r="I181" s="0" t="s">
        <v>152</v>
      </c>
      <c r="N181" s="0" t="s">
        <v>29</v>
      </c>
      <c r="O181" s="0" t="s">
        <v>29</v>
      </c>
      <c r="R181" s="0" t="n">
        <f aca="false">LEN(C181)+LEN(D181)+LEN(E181)+LEN(F181)+LEN(G181)+LEN(H181)</f>
        <v>42</v>
      </c>
    </row>
    <row r="182" customFormat="false" ht="15" hidden="false" customHeight="false" outlineLevel="0" collapsed="false">
      <c r="A182" s="0" t="s">
        <v>4463</v>
      </c>
      <c r="B182" s="0" t="s">
        <v>4306</v>
      </c>
      <c r="C182" s="3" t="n">
        <v>1915</v>
      </c>
      <c r="D182" s="0" t="s">
        <v>631</v>
      </c>
      <c r="E182" s="0" t="s">
        <v>1734</v>
      </c>
      <c r="F182" s="0" t="s">
        <v>1635</v>
      </c>
      <c r="I182" s="0" t="s">
        <v>152</v>
      </c>
      <c r="M182" s="0" t="s">
        <v>29</v>
      </c>
      <c r="R182" s="0" t="n">
        <f aca="false">LEN(C182)+LEN(D182)+LEN(E182)+LEN(F182)+LEN(G182)+LEN(H182)</f>
        <v>15</v>
      </c>
    </row>
    <row r="183" customFormat="false" ht="15" hidden="false" customHeight="false" outlineLevel="0" collapsed="false">
      <c r="A183" s="0" t="s">
        <v>4464</v>
      </c>
      <c r="B183" s="0" t="s">
        <v>4306</v>
      </c>
      <c r="C183" s="3" t="n">
        <v>1915</v>
      </c>
      <c r="D183" s="0" t="s">
        <v>4465</v>
      </c>
      <c r="E183" s="0" t="s">
        <v>4466</v>
      </c>
      <c r="I183" s="0" t="s">
        <v>152</v>
      </c>
      <c r="R183" s="0" t="n">
        <f aca="false">LEN(C183)+LEN(D183)+LEN(E183)+LEN(F183)+LEN(G183)+LEN(H183)</f>
        <v>20</v>
      </c>
    </row>
    <row r="184" customFormat="false" ht="15" hidden="false" customHeight="false" outlineLevel="0" collapsed="false">
      <c r="A184" s="0" t="s">
        <v>4467</v>
      </c>
      <c r="B184" s="0" t="s">
        <v>4306</v>
      </c>
      <c r="C184" s="3" t="n">
        <v>1915</v>
      </c>
      <c r="D184" s="0" t="s">
        <v>317</v>
      </c>
      <c r="E184" s="0" t="s">
        <v>1600</v>
      </c>
      <c r="I184" s="0" t="s">
        <v>152</v>
      </c>
      <c r="R184" s="0" t="n">
        <f aca="false">LEN(C184)+LEN(D184)+LEN(E184)+LEN(F184)+LEN(G184)+LEN(H184)</f>
        <v>21</v>
      </c>
    </row>
    <row r="185" customFormat="false" ht="15" hidden="false" customHeight="false" outlineLevel="0" collapsed="false">
      <c r="A185" s="0" t="s">
        <v>4468</v>
      </c>
      <c r="B185" s="0" t="s">
        <v>4306</v>
      </c>
      <c r="C185" s="3" t="n">
        <v>1915</v>
      </c>
      <c r="D185" s="0" t="s">
        <v>4469</v>
      </c>
      <c r="E185" s="0" t="s">
        <v>2421</v>
      </c>
      <c r="I185" s="0" t="s">
        <v>152</v>
      </c>
      <c r="R185" s="0" t="n">
        <f aca="false">LEN(C185)+LEN(D185)+LEN(E185)+LEN(F185)+LEN(G185)+LEN(H185)</f>
        <v>19</v>
      </c>
    </row>
    <row r="186" customFormat="false" ht="15" hidden="false" customHeight="false" outlineLevel="0" collapsed="false">
      <c r="A186" s="0" t="s">
        <v>4470</v>
      </c>
      <c r="B186" s="0" t="s">
        <v>4306</v>
      </c>
      <c r="C186" s="3" t="n">
        <v>1915</v>
      </c>
      <c r="D186" s="0" t="s">
        <v>4471</v>
      </c>
      <c r="E186" s="0" t="s">
        <v>385</v>
      </c>
      <c r="G186" s="0" t="s">
        <v>4472</v>
      </c>
      <c r="H186" s="0" t="s">
        <v>4473</v>
      </c>
      <c r="I186" s="0" t="s">
        <v>152</v>
      </c>
      <c r="M186" s="0" t="s">
        <v>29</v>
      </c>
      <c r="O186" s="0" t="s">
        <v>29</v>
      </c>
      <c r="R186" s="0" t="n">
        <f aca="false">LEN(C186)+LEN(D186)+LEN(E186)+LEN(F186)+LEN(G186)+LEN(H186)</f>
        <v>52</v>
      </c>
    </row>
    <row r="187" customFormat="false" ht="15" hidden="false" customHeight="false" outlineLevel="0" collapsed="false">
      <c r="A187" s="0" t="s">
        <v>4474</v>
      </c>
      <c r="B187" s="0" t="s">
        <v>4306</v>
      </c>
      <c r="C187" s="3" t="n">
        <v>1915</v>
      </c>
      <c r="D187" s="0" t="s">
        <v>4475</v>
      </c>
      <c r="E187" s="0" t="s">
        <v>4476</v>
      </c>
      <c r="I187" s="0" t="s">
        <v>152</v>
      </c>
      <c r="M187" s="0" t="s">
        <v>29</v>
      </c>
      <c r="R187" s="0" t="n">
        <f aca="false">LEN(C187)+LEN(D187)+LEN(E187)+LEN(F187)+LEN(G187)+LEN(H187)</f>
        <v>16</v>
      </c>
    </row>
    <row r="188" customFormat="false" ht="15" hidden="false" customHeight="false" outlineLevel="0" collapsed="false">
      <c r="A188" s="0" t="s">
        <v>4477</v>
      </c>
      <c r="B188" s="0" t="s">
        <v>4306</v>
      </c>
      <c r="C188" s="3" t="n">
        <v>1915</v>
      </c>
      <c r="D188" s="0" t="s">
        <v>4478</v>
      </c>
      <c r="E188" s="0" t="s">
        <v>386</v>
      </c>
      <c r="I188" s="0" t="s">
        <v>152</v>
      </c>
      <c r="M188" s="0" t="s">
        <v>29</v>
      </c>
      <c r="R188" s="0" t="n">
        <f aca="false">LEN(C188)+LEN(D188)+LEN(E188)+LEN(F188)+LEN(G188)+LEN(H188)</f>
        <v>16</v>
      </c>
    </row>
    <row r="189" customFormat="false" ht="15" hidden="false" customHeight="false" outlineLevel="0" collapsed="false">
      <c r="A189" s="0" t="s">
        <v>4479</v>
      </c>
      <c r="B189" s="0" t="s">
        <v>4306</v>
      </c>
      <c r="C189" s="3" t="n">
        <v>1915</v>
      </c>
      <c r="D189" s="0" t="s">
        <v>4480</v>
      </c>
      <c r="E189" s="0" t="s">
        <v>386</v>
      </c>
      <c r="I189" s="0" t="s">
        <v>152</v>
      </c>
      <c r="R189" s="0" t="n">
        <f aca="false">LEN(C189)+LEN(D189)+LEN(E189)+LEN(F189)+LEN(G189)+LEN(H189)</f>
        <v>17</v>
      </c>
    </row>
    <row r="190" customFormat="false" ht="15" hidden="false" customHeight="false" outlineLevel="0" collapsed="false">
      <c r="A190" s="0" t="s">
        <v>4481</v>
      </c>
      <c r="B190" s="0" t="s">
        <v>4306</v>
      </c>
      <c r="C190" s="3" t="n">
        <v>1915</v>
      </c>
      <c r="D190" s="0" t="s">
        <v>4482</v>
      </c>
      <c r="E190" s="0" t="s">
        <v>4183</v>
      </c>
      <c r="I190" s="0" t="s">
        <v>152</v>
      </c>
      <c r="M190" s="0" t="s">
        <v>29</v>
      </c>
      <c r="R190" s="0" t="n">
        <f aca="false">LEN(C190)+LEN(D190)+LEN(E190)+LEN(F190)+LEN(G190)+LEN(H190)</f>
        <v>17</v>
      </c>
    </row>
    <row r="191" customFormat="false" ht="15" hidden="false" customHeight="false" outlineLevel="0" collapsed="false">
      <c r="A191" s="0" t="s">
        <v>4483</v>
      </c>
      <c r="B191" s="0" t="s">
        <v>4306</v>
      </c>
      <c r="C191" s="3" t="n">
        <v>1915</v>
      </c>
      <c r="D191" s="0" t="s">
        <v>4484</v>
      </c>
      <c r="E191" s="0" t="s">
        <v>4485</v>
      </c>
      <c r="I191" s="0" t="s">
        <v>152</v>
      </c>
      <c r="M191" s="0" t="s">
        <v>29</v>
      </c>
      <c r="R191" s="0" t="n">
        <f aca="false">LEN(C191)+LEN(D191)+LEN(E191)+LEN(F191)+LEN(G191)+LEN(H191)</f>
        <v>17</v>
      </c>
    </row>
    <row r="192" customFormat="false" ht="15" hidden="false" customHeight="false" outlineLevel="0" collapsed="false">
      <c r="A192" s="0" t="s">
        <v>4486</v>
      </c>
      <c r="B192" s="0" t="s">
        <v>4306</v>
      </c>
      <c r="C192" s="3" t="n">
        <v>1915</v>
      </c>
      <c r="D192" s="0" t="s">
        <v>4487</v>
      </c>
      <c r="E192" s="0" t="s">
        <v>385</v>
      </c>
      <c r="F192" s="0" t="s">
        <v>24</v>
      </c>
      <c r="I192" s="0" t="s">
        <v>152</v>
      </c>
      <c r="R192" s="0" t="n">
        <f aca="false">LEN(C192)+LEN(D192)+LEN(E192)+LEN(F192)+LEN(G192)+LEN(H192)</f>
        <v>14</v>
      </c>
    </row>
    <row r="193" customFormat="false" ht="15" hidden="false" customHeight="false" outlineLevel="0" collapsed="false">
      <c r="A193" s="0" t="s">
        <v>4488</v>
      </c>
      <c r="B193" s="0" t="s">
        <v>4306</v>
      </c>
      <c r="C193" s="3" t="n">
        <v>1915</v>
      </c>
      <c r="D193" s="0" t="s">
        <v>4489</v>
      </c>
      <c r="E193" s="0" t="s">
        <v>1600</v>
      </c>
      <c r="I193" s="0" t="s">
        <v>152</v>
      </c>
      <c r="M193" s="0" t="s">
        <v>29</v>
      </c>
      <c r="R193" s="0" t="n">
        <f aca="false">LEN(C193)+LEN(D193)+LEN(E193)+LEN(F193)+LEN(G193)+LEN(H193)</f>
        <v>18</v>
      </c>
    </row>
    <row r="194" customFormat="false" ht="15" hidden="false" customHeight="false" outlineLevel="0" collapsed="false">
      <c r="A194" s="0" t="s">
        <v>4490</v>
      </c>
      <c r="B194" s="0" t="s">
        <v>4306</v>
      </c>
      <c r="C194" s="3" t="n">
        <v>1915</v>
      </c>
      <c r="D194" s="0" t="s">
        <v>4491</v>
      </c>
      <c r="E194" s="0" t="s">
        <v>4492</v>
      </c>
      <c r="I194" s="0" t="s">
        <v>152</v>
      </c>
      <c r="M194" s="0" t="s">
        <v>29</v>
      </c>
      <c r="R194" s="0" t="n">
        <f aca="false">LEN(C194)+LEN(D194)+LEN(E194)+LEN(F194)+LEN(G194)+LEN(H194)</f>
        <v>19</v>
      </c>
    </row>
    <row r="195" customFormat="false" ht="15" hidden="false" customHeight="false" outlineLevel="0" collapsed="false">
      <c r="A195" s="0" t="s">
        <v>4493</v>
      </c>
      <c r="B195" s="0" t="s">
        <v>4306</v>
      </c>
      <c r="C195" s="3" t="n">
        <v>1915</v>
      </c>
      <c r="D195" s="0" t="s">
        <v>4494</v>
      </c>
      <c r="E195" s="0" t="s">
        <v>1728</v>
      </c>
      <c r="F195" s="0" t="s">
        <v>29</v>
      </c>
      <c r="I195" s="0" t="s">
        <v>152</v>
      </c>
      <c r="M195" s="0" t="s">
        <v>29</v>
      </c>
      <c r="R195" s="0" t="n">
        <f aca="false">LEN(C195)+LEN(D195)+LEN(E195)+LEN(F195)+LEN(G195)+LEN(H195)</f>
        <v>16</v>
      </c>
    </row>
    <row r="196" customFormat="false" ht="15" hidden="false" customHeight="false" outlineLevel="0" collapsed="false">
      <c r="A196" s="0" t="s">
        <v>4495</v>
      </c>
      <c r="B196" s="0" t="s">
        <v>4306</v>
      </c>
      <c r="C196" s="3" t="n">
        <v>1915</v>
      </c>
      <c r="D196" s="0" t="s">
        <v>4496</v>
      </c>
      <c r="E196" s="0" t="s">
        <v>4497</v>
      </c>
      <c r="I196" s="0" t="s">
        <v>152</v>
      </c>
      <c r="R196" s="0" t="n">
        <f aca="false">LEN(C196)+LEN(D196)+LEN(E196)+LEN(F196)+LEN(G196)+LEN(H196)</f>
        <v>17</v>
      </c>
    </row>
    <row r="197" customFormat="false" ht="15" hidden="false" customHeight="false" outlineLevel="0" collapsed="false">
      <c r="A197" s="0" t="s">
        <v>4498</v>
      </c>
      <c r="B197" s="0" t="s">
        <v>4306</v>
      </c>
      <c r="C197" s="3" t="n">
        <v>1915</v>
      </c>
      <c r="D197" s="0" t="s">
        <v>4499</v>
      </c>
      <c r="E197" s="0" t="s">
        <v>962</v>
      </c>
      <c r="I197" s="0" t="s">
        <v>152</v>
      </c>
      <c r="M197" s="0" t="s">
        <v>29</v>
      </c>
      <c r="R197" s="0" t="n">
        <f aca="false">LEN(C197)+LEN(D197)+LEN(E197)+LEN(F197)+LEN(G197)+LEN(H197)</f>
        <v>12</v>
      </c>
    </row>
    <row r="198" customFormat="false" ht="15" hidden="false" customHeight="false" outlineLevel="0" collapsed="false">
      <c r="A198" s="0" t="s">
        <v>4500</v>
      </c>
      <c r="B198" s="0" t="s">
        <v>4306</v>
      </c>
      <c r="C198" s="3" t="n">
        <v>1915</v>
      </c>
      <c r="D198" s="0" t="s">
        <v>4501</v>
      </c>
      <c r="E198" s="0" t="s">
        <v>1564</v>
      </c>
      <c r="F198" s="0" t="s">
        <v>881</v>
      </c>
      <c r="I198" s="0" t="s">
        <v>152</v>
      </c>
      <c r="M198" s="0" t="s">
        <v>29</v>
      </c>
      <c r="R198" s="0" t="n">
        <f aca="false">LEN(C198)+LEN(D198)+LEN(E198)+LEN(F198)+LEN(G198)+LEN(H198)</f>
        <v>16</v>
      </c>
    </row>
    <row r="199" customFormat="false" ht="15" hidden="false" customHeight="false" outlineLevel="0" collapsed="false">
      <c r="A199" s="0" t="s">
        <v>4502</v>
      </c>
      <c r="B199" s="0" t="s">
        <v>4306</v>
      </c>
      <c r="C199" s="3" t="n">
        <v>1915</v>
      </c>
      <c r="D199" s="0" t="s">
        <v>4503</v>
      </c>
      <c r="E199" s="0" t="s">
        <v>4355</v>
      </c>
      <c r="I199" s="0" t="s">
        <v>152</v>
      </c>
      <c r="M199" s="0" t="s">
        <v>29</v>
      </c>
      <c r="R199" s="0" t="n">
        <f aca="false">LEN(C199)+LEN(D199)+LEN(E199)+LEN(F199)+LEN(G199)+LEN(H199)</f>
        <v>19</v>
      </c>
    </row>
    <row r="200" customFormat="false" ht="15" hidden="false" customHeight="false" outlineLevel="0" collapsed="false">
      <c r="A200" s="0" t="s">
        <v>4504</v>
      </c>
      <c r="B200" s="0" t="s">
        <v>4306</v>
      </c>
      <c r="C200" s="3" t="n">
        <v>1915</v>
      </c>
      <c r="D200" s="0" t="s">
        <v>4505</v>
      </c>
      <c r="E200" s="0" t="s">
        <v>324</v>
      </c>
      <c r="I200" s="0" t="s">
        <v>152</v>
      </c>
      <c r="M200" s="0" t="s">
        <v>29</v>
      </c>
      <c r="R200" s="0" t="n">
        <f aca="false">LEN(C200)+LEN(D200)+LEN(E200)+LEN(F200)+LEN(G200)+LEN(H200)</f>
        <v>18</v>
      </c>
    </row>
    <row r="201" customFormat="false" ht="15" hidden="false" customHeight="false" outlineLevel="0" collapsed="false">
      <c r="A201" s="0" t="s">
        <v>4506</v>
      </c>
      <c r="B201" s="0" t="s">
        <v>4306</v>
      </c>
      <c r="C201" s="3" t="n">
        <v>1915</v>
      </c>
      <c r="D201" s="0" t="s">
        <v>4507</v>
      </c>
      <c r="E201" s="0" t="s">
        <v>1728</v>
      </c>
      <c r="I201" s="0" t="s">
        <v>152</v>
      </c>
      <c r="M201" s="0" t="s">
        <v>29</v>
      </c>
      <c r="N201" s="0" t="s">
        <v>29</v>
      </c>
      <c r="O201" s="0" t="s">
        <v>29</v>
      </c>
      <c r="R201" s="0" t="n">
        <f aca="false">LEN(C201)+LEN(D201)+LEN(E201)+LEN(F201)+LEN(G201)+LEN(H201)</f>
        <v>16</v>
      </c>
    </row>
    <row r="202" customFormat="false" ht="15" hidden="false" customHeight="false" outlineLevel="0" collapsed="false">
      <c r="A202" s="0" t="s">
        <v>4508</v>
      </c>
      <c r="B202" s="0" t="s">
        <v>4306</v>
      </c>
      <c r="C202" s="3" t="n">
        <v>1915</v>
      </c>
      <c r="D202" s="0" t="s">
        <v>4509</v>
      </c>
      <c r="E202" s="0" t="s">
        <v>4320</v>
      </c>
      <c r="F202" s="0" t="s">
        <v>1635</v>
      </c>
      <c r="I202" s="0" t="s">
        <v>152</v>
      </c>
      <c r="M202" s="0" t="s">
        <v>29</v>
      </c>
      <c r="R202" s="0" t="n">
        <f aca="false">LEN(C202)+LEN(D202)+LEN(E202)+LEN(F202)+LEN(G202)+LEN(H202)</f>
        <v>21</v>
      </c>
    </row>
    <row r="203" customFormat="false" ht="15" hidden="false" customHeight="false" outlineLevel="0" collapsed="false">
      <c r="A203" s="0" t="s">
        <v>4510</v>
      </c>
      <c r="B203" s="0" t="s">
        <v>4306</v>
      </c>
      <c r="C203" s="3" t="n">
        <v>1915</v>
      </c>
      <c r="D203" s="0" t="s">
        <v>4511</v>
      </c>
      <c r="E203" s="0" t="s">
        <v>3520</v>
      </c>
      <c r="I203" s="0" t="s">
        <v>152</v>
      </c>
      <c r="R203" s="0" t="n">
        <f aca="false">LEN(C203)+LEN(D203)+LEN(E203)+LEN(F203)+LEN(G203)+LEN(H203)</f>
        <v>16</v>
      </c>
    </row>
    <row r="204" customFormat="false" ht="15" hidden="false" customHeight="false" outlineLevel="0" collapsed="false">
      <c r="A204" s="0" t="s">
        <v>4512</v>
      </c>
      <c r="B204" s="0" t="s">
        <v>4306</v>
      </c>
      <c r="C204" s="3" t="n">
        <v>1915</v>
      </c>
      <c r="D204" s="0" t="s">
        <v>4513</v>
      </c>
      <c r="E204" s="0" t="s">
        <v>4298</v>
      </c>
      <c r="I204" s="0" t="s">
        <v>152</v>
      </c>
      <c r="M204" s="0" t="s">
        <v>29</v>
      </c>
      <c r="R204" s="0" t="n">
        <f aca="false">LEN(C204)+LEN(D204)+LEN(E204)+LEN(F204)+LEN(G204)+LEN(H204)</f>
        <v>15</v>
      </c>
    </row>
    <row r="205" customFormat="false" ht="15" hidden="false" customHeight="false" outlineLevel="0" collapsed="false">
      <c r="A205" s="0" t="s">
        <v>4514</v>
      </c>
      <c r="B205" s="0" t="s">
        <v>4306</v>
      </c>
      <c r="C205" s="3" t="n">
        <v>1915</v>
      </c>
      <c r="D205" s="0" t="s">
        <v>4515</v>
      </c>
      <c r="E205" s="0" t="s">
        <v>1600</v>
      </c>
      <c r="I205" s="0" t="s">
        <v>152</v>
      </c>
      <c r="M205" s="0" t="s">
        <v>29</v>
      </c>
      <c r="R205" s="0" t="n">
        <f aca="false">LEN(C205)+LEN(D205)+LEN(E205)+LEN(F205)+LEN(G205)+LEN(H205)</f>
        <v>16</v>
      </c>
    </row>
    <row r="206" customFormat="false" ht="15" hidden="false" customHeight="false" outlineLevel="0" collapsed="false">
      <c r="A206" s="0" t="s">
        <v>4516</v>
      </c>
      <c r="B206" s="0" t="s">
        <v>4306</v>
      </c>
      <c r="C206" s="3" t="n">
        <v>1915</v>
      </c>
      <c r="D206" s="0" t="s">
        <v>4517</v>
      </c>
      <c r="E206" s="0" t="s">
        <v>2334</v>
      </c>
      <c r="I206" s="0" t="s">
        <v>152</v>
      </c>
      <c r="M206" s="0" t="s">
        <v>29</v>
      </c>
      <c r="R206" s="0" t="n">
        <f aca="false">LEN(C206)+LEN(D206)+LEN(E206)+LEN(F206)+LEN(G206)+LEN(H206)</f>
        <v>19</v>
      </c>
    </row>
    <row r="207" customFormat="false" ht="15" hidden="false" customHeight="false" outlineLevel="0" collapsed="false">
      <c r="A207" s="0" t="s">
        <v>4518</v>
      </c>
      <c r="B207" s="0" t="s">
        <v>4306</v>
      </c>
      <c r="C207" s="3" t="n">
        <v>1915</v>
      </c>
      <c r="D207" s="0" t="s">
        <v>2416</v>
      </c>
      <c r="E207" s="0" t="s">
        <v>563</v>
      </c>
      <c r="I207" s="0" t="s">
        <v>152</v>
      </c>
      <c r="M207" s="0" t="s">
        <v>29</v>
      </c>
      <c r="R207" s="0" t="n">
        <f aca="false">LEN(C207)+LEN(D207)+LEN(E207)+LEN(F207)+LEN(G207)+LEN(H207)</f>
        <v>15</v>
      </c>
    </row>
    <row r="208" customFormat="false" ht="15" hidden="false" customHeight="false" outlineLevel="0" collapsed="false">
      <c r="A208" s="0" t="s">
        <v>4519</v>
      </c>
      <c r="B208" s="0" t="s">
        <v>4306</v>
      </c>
      <c r="C208" s="3" t="n">
        <v>1915</v>
      </c>
      <c r="D208" s="0" t="s">
        <v>4520</v>
      </c>
      <c r="E208" s="0" t="s">
        <v>326</v>
      </c>
      <c r="I208" s="0" t="s">
        <v>152</v>
      </c>
      <c r="M208" s="0" t="s">
        <v>29</v>
      </c>
      <c r="R208" s="0" t="n">
        <f aca="false">LEN(C208)+LEN(D208)+LEN(E208)+LEN(F208)+LEN(G208)+LEN(H208)</f>
        <v>17</v>
      </c>
    </row>
    <row r="209" customFormat="false" ht="15" hidden="false" customHeight="false" outlineLevel="0" collapsed="false">
      <c r="A209" s="0" t="s">
        <v>4521</v>
      </c>
      <c r="B209" s="0" t="s">
        <v>4306</v>
      </c>
      <c r="C209" s="3" t="n">
        <v>1915</v>
      </c>
      <c r="D209" s="0" t="s">
        <v>4522</v>
      </c>
      <c r="E209" s="0" t="s">
        <v>4320</v>
      </c>
      <c r="I209" s="0" t="s">
        <v>152</v>
      </c>
      <c r="M209" s="0" t="s">
        <v>29</v>
      </c>
      <c r="R209" s="0" t="n">
        <f aca="false">LEN(C209)+LEN(D209)+LEN(E209)+LEN(F209)+LEN(G209)+LEN(H209)</f>
        <v>18</v>
      </c>
    </row>
    <row r="210" customFormat="false" ht="15" hidden="false" customHeight="false" outlineLevel="0" collapsed="false">
      <c r="A210" s="0" t="s">
        <v>4523</v>
      </c>
      <c r="B210" s="0" t="s">
        <v>4306</v>
      </c>
      <c r="C210" s="3" t="n">
        <v>1915</v>
      </c>
      <c r="D210" s="0" t="s">
        <v>4524</v>
      </c>
      <c r="E210" s="0" t="s">
        <v>563</v>
      </c>
      <c r="F210" s="0" t="s">
        <v>69</v>
      </c>
      <c r="I210" s="0" t="s">
        <v>152</v>
      </c>
      <c r="M210" s="0" t="s">
        <v>29</v>
      </c>
      <c r="R210" s="0" t="n">
        <f aca="false">LEN(C210)+LEN(D210)+LEN(E210)+LEN(F210)+LEN(G210)+LEN(H210)</f>
        <v>15</v>
      </c>
    </row>
    <row r="211" customFormat="false" ht="15" hidden="false" customHeight="false" outlineLevel="0" collapsed="false">
      <c r="A211" s="0" t="s">
        <v>4525</v>
      </c>
      <c r="B211" s="0" t="s">
        <v>4306</v>
      </c>
      <c r="C211" s="3" t="n">
        <v>1915</v>
      </c>
      <c r="D211" s="0" t="s">
        <v>4526</v>
      </c>
      <c r="E211" s="0" t="s">
        <v>1600</v>
      </c>
      <c r="G211" s="0" t="s">
        <v>4527</v>
      </c>
      <c r="H211" s="0" t="s">
        <v>4528</v>
      </c>
      <c r="I211" s="0" t="s">
        <v>152</v>
      </c>
      <c r="M211" s="0" t="s">
        <v>29</v>
      </c>
      <c r="R211" s="0" t="n">
        <f aca="false">LEN(C211)+LEN(D211)+LEN(E211)+LEN(F211)+LEN(G211)+LEN(H211)</f>
        <v>58</v>
      </c>
    </row>
    <row r="212" customFormat="false" ht="15" hidden="false" customHeight="false" outlineLevel="0" collapsed="false">
      <c r="A212" s="0" t="s">
        <v>4529</v>
      </c>
      <c r="B212" s="0" t="s">
        <v>4306</v>
      </c>
      <c r="C212" s="3" t="n">
        <v>1915</v>
      </c>
      <c r="D212" s="0" t="s">
        <v>4530</v>
      </c>
      <c r="E212" s="0" t="s">
        <v>4531</v>
      </c>
      <c r="F212" s="0" t="s">
        <v>2202</v>
      </c>
      <c r="G212" s="0" t="s">
        <v>4448</v>
      </c>
      <c r="H212" s="0" t="s">
        <v>4532</v>
      </c>
      <c r="I212" s="0" t="s">
        <v>152</v>
      </c>
      <c r="O212" s="0" t="s">
        <v>29</v>
      </c>
      <c r="R212" s="0" t="n">
        <f aca="false">LEN(C212)+LEN(D212)+LEN(E212)+LEN(F212)+LEN(G212)+LEN(H212)</f>
        <v>52</v>
      </c>
    </row>
    <row r="213" customFormat="false" ht="15" hidden="false" customHeight="false" outlineLevel="0" collapsed="false">
      <c r="A213" s="0" t="s">
        <v>4533</v>
      </c>
      <c r="B213" s="0" t="s">
        <v>4306</v>
      </c>
      <c r="C213" s="3" t="n">
        <v>1915</v>
      </c>
      <c r="D213" s="10" t="b">
        <f aca="false">TRUE()</f>
        <v>1</v>
      </c>
      <c r="E213" s="0" t="s">
        <v>4534</v>
      </c>
      <c r="F213" s="0" t="s">
        <v>1267</v>
      </c>
      <c r="G213" s="0" t="s">
        <v>4535</v>
      </c>
      <c r="H213" s="0" t="s">
        <v>4536</v>
      </c>
      <c r="I213" s="0" t="s">
        <v>152</v>
      </c>
      <c r="R213" s="0" t="n">
        <f aca="false">LEN(C213)+LEN(D213)+LEN(E213)+LEN(F213)+LEN(G213)+LEN(H213)</f>
        <v>49</v>
      </c>
    </row>
    <row r="214" customFormat="false" ht="15" hidden="false" customHeight="false" outlineLevel="0" collapsed="false">
      <c r="A214" s="0" t="s">
        <v>4537</v>
      </c>
      <c r="B214" s="0" t="s">
        <v>4306</v>
      </c>
      <c r="C214" s="3" t="n">
        <v>1915</v>
      </c>
      <c r="D214" s="0" t="s">
        <v>4538</v>
      </c>
      <c r="E214" s="0" t="s">
        <v>4539</v>
      </c>
      <c r="F214" s="0" t="s">
        <v>881</v>
      </c>
      <c r="G214" s="0" t="s">
        <v>3199</v>
      </c>
      <c r="H214" s="0" t="s">
        <v>4540</v>
      </c>
      <c r="I214" s="0" t="s">
        <v>152</v>
      </c>
      <c r="M214" s="0" t="s">
        <v>29</v>
      </c>
      <c r="O214" s="0" t="s">
        <v>29</v>
      </c>
      <c r="R214" s="0" t="n">
        <f aca="false">LEN(C214)+LEN(D214)+LEN(E214)+LEN(F214)+LEN(G214)+LEN(H214)</f>
        <v>45</v>
      </c>
    </row>
    <row r="215" customFormat="false" ht="15" hidden="false" customHeight="false" outlineLevel="0" collapsed="false">
      <c r="A215" s="0" t="s">
        <v>4541</v>
      </c>
      <c r="B215" s="0" t="s">
        <v>4306</v>
      </c>
      <c r="C215" s="3" t="n">
        <v>1915</v>
      </c>
      <c r="D215" s="0" t="s">
        <v>4542</v>
      </c>
      <c r="E215" s="0" t="s">
        <v>4420</v>
      </c>
      <c r="G215" s="0" t="s">
        <v>2948</v>
      </c>
      <c r="H215" s="0" t="s">
        <v>4543</v>
      </c>
      <c r="I215" s="0" t="s">
        <v>152</v>
      </c>
      <c r="M215" s="0" t="s">
        <v>29</v>
      </c>
      <c r="N215" s="0" t="s">
        <v>29</v>
      </c>
      <c r="O215" s="0" t="s">
        <v>29</v>
      </c>
      <c r="R215" s="0" t="n">
        <f aca="false">LEN(C215)+LEN(D215)+LEN(E215)+LEN(F215)+LEN(G215)+LEN(H215)</f>
        <v>61</v>
      </c>
    </row>
    <row r="216" customFormat="false" ht="15" hidden="false" customHeight="false" outlineLevel="0" collapsed="false">
      <c r="A216" s="0" t="s">
        <v>4544</v>
      </c>
      <c r="B216" s="0" t="s">
        <v>4306</v>
      </c>
      <c r="C216" s="3" t="n">
        <v>1915</v>
      </c>
      <c r="D216" s="0" t="s">
        <v>4545</v>
      </c>
      <c r="E216" s="0" t="s">
        <v>4420</v>
      </c>
      <c r="F216" s="0" t="s">
        <v>881</v>
      </c>
      <c r="G216" s="0" t="s">
        <v>882</v>
      </c>
      <c r="H216" s="0" t="s">
        <v>4546</v>
      </c>
      <c r="I216" s="0" t="s">
        <v>152</v>
      </c>
      <c r="M216" s="0" t="s">
        <v>29</v>
      </c>
      <c r="R216" s="0" t="n">
        <f aca="false">LEN(C216)+LEN(D216)+LEN(E216)+LEN(F216)+LEN(G216)+LEN(H216)</f>
        <v>46</v>
      </c>
    </row>
    <row r="217" customFormat="false" ht="15" hidden="false" customHeight="false" outlineLevel="0" collapsed="false">
      <c r="A217" s="0" t="s">
        <v>4547</v>
      </c>
      <c r="B217" s="0" t="s">
        <v>4306</v>
      </c>
      <c r="C217" s="3" t="n">
        <v>1915</v>
      </c>
      <c r="D217" s="0" t="s">
        <v>4548</v>
      </c>
      <c r="E217" s="0" t="s">
        <v>1682</v>
      </c>
      <c r="G217" s="0" t="s">
        <v>882</v>
      </c>
      <c r="H217" s="0" t="s">
        <v>4549</v>
      </c>
      <c r="I217" s="0" t="s">
        <v>152</v>
      </c>
      <c r="M217" s="0" t="s">
        <v>29</v>
      </c>
      <c r="O217" s="0" t="s">
        <v>69</v>
      </c>
      <c r="Q217" s="0" t="n">
        <v>1</v>
      </c>
      <c r="R217" s="0" t="n">
        <f aca="false">LEN(C217)+LEN(D217)+LEN(E217)+LEN(F217)+LEN(G217)+LEN(H217)</f>
        <v>48</v>
      </c>
    </row>
    <row r="218" customFormat="false" ht="15" hidden="false" customHeight="false" outlineLevel="0" collapsed="false">
      <c r="A218" s="0" t="s">
        <v>4550</v>
      </c>
      <c r="B218" s="0" t="s">
        <v>4306</v>
      </c>
      <c r="C218" s="3" t="n">
        <v>1915</v>
      </c>
      <c r="D218" s="0" t="s">
        <v>572</v>
      </c>
      <c r="E218" s="0" t="s">
        <v>565</v>
      </c>
      <c r="H218" s="0" t="s">
        <v>4551</v>
      </c>
      <c r="I218" s="0" t="s">
        <v>152</v>
      </c>
      <c r="M218" s="0" t="s">
        <v>29</v>
      </c>
      <c r="N218" s="0" t="s">
        <v>29</v>
      </c>
      <c r="O218" s="0" t="s">
        <v>29</v>
      </c>
      <c r="R218" s="0" t="n">
        <f aca="false">LEN(C218)+LEN(D218)+LEN(E218)+LEN(F218)+LEN(G218)+LEN(H218)</f>
        <v>45</v>
      </c>
    </row>
    <row r="219" customFormat="false" ht="15" hidden="false" customHeight="false" outlineLevel="0" collapsed="false">
      <c r="A219" s="0" t="s">
        <v>4552</v>
      </c>
      <c r="B219" s="0" t="s">
        <v>4306</v>
      </c>
      <c r="C219" s="3" t="n">
        <v>1915</v>
      </c>
      <c r="D219" s="0" t="s">
        <v>4553</v>
      </c>
      <c r="E219" s="0" t="s">
        <v>386</v>
      </c>
      <c r="F219" s="0" t="s">
        <v>1635</v>
      </c>
      <c r="G219" s="0" t="s">
        <v>4554</v>
      </c>
      <c r="H219" s="0" t="s">
        <v>4555</v>
      </c>
      <c r="I219" s="0" t="s">
        <v>152</v>
      </c>
      <c r="R219" s="0" t="n">
        <f aca="false">LEN(C219)+LEN(D219)+LEN(E219)+LEN(F219)+LEN(G219)+LEN(H219)</f>
        <v>54</v>
      </c>
    </row>
    <row r="220" customFormat="false" ht="15" hidden="false" customHeight="false" outlineLevel="0" collapsed="false">
      <c r="A220" s="0" t="s">
        <v>4556</v>
      </c>
      <c r="B220" s="0" t="s">
        <v>4306</v>
      </c>
      <c r="C220" s="3" t="n">
        <v>1915</v>
      </c>
      <c r="D220" s="0" t="s">
        <v>4557</v>
      </c>
      <c r="E220" s="0" t="s">
        <v>386</v>
      </c>
      <c r="F220" s="0" t="s">
        <v>881</v>
      </c>
      <c r="H220" s="0" t="s">
        <v>4558</v>
      </c>
      <c r="I220" s="0" t="s">
        <v>152</v>
      </c>
      <c r="M220" s="0" t="s">
        <v>29</v>
      </c>
      <c r="O220" s="0" t="s">
        <v>29</v>
      </c>
      <c r="R220" s="0" t="n">
        <f aca="false">LEN(C220)+LEN(D220)+LEN(E220)+LEN(F220)+LEN(G220)+LEN(H220)</f>
        <v>39</v>
      </c>
    </row>
    <row r="221" customFormat="false" ht="15" hidden="false" customHeight="false" outlineLevel="0" collapsed="false">
      <c r="A221" s="0" t="s">
        <v>4559</v>
      </c>
      <c r="B221" s="0" t="s">
        <v>4306</v>
      </c>
      <c r="C221" s="3" t="n">
        <v>1915</v>
      </c>
      <c r="D221" s="0" t="s">
        <v>4560</v>
      </c>
      <c r="E221" s="0" t="s">
        <v>3795</v>
      </c>
      <c r="F221" s="0" t="s">
        <v>1671</v>
      </c>
      <c r="H221" s="0" t="s">
        <v>4561</v>
      </c>
      <c r="I221" s="0" t="s">
        <v>152</v>
      </c>
      <c r="M221" s="0" t="s">
        <v>29</v>
      </c>
      <c r="R221" s="0" t="n">
        <f aca="false">LEN(C221)+LEN(D221)+LEN(E221)+LEN(F221)+LEN(G221)+LEN(H221)</f>
        <v>45</v>
      </c>
    </row>
    <row r="222" customFormat="false" ht="15" hidden="false" customHeight="false" outlineLevel="0" collapsed="false">
      <c r="A222" s="0" t="s">
        <v>4562</v>
      </c>
      <c r="B222" s="0" t="s">
        <v>4306</v>
      </c>
      <c r="C222" s="3" t="n">
        <v>1915</v>
      </c>
      <c r="D222" s="0" t="s">
        <v>4563</v>
      </c>
      <c r="E222" s="0" t="s">
        <v>385</v>
      </c>
      <c r="F222" s="0" t="s">
        <v>962</v>
      </c>
      <c r="G222" s="0" t="s">
        <v>1357</v>
      </c>
      <c r="H222" s="0" t="s">
        <v>4564</v>
      </c>
      <c r="I222" s="0" t="s">
        <v>152</v>
      </c>
      <c r="M222" s="0" t="s">
        <v>29</v>
      </c>
      <c r="O222" s="0" t="s">
        <v>29</v>
      </c>
      <c r="R222" s="0" t="n">
        <f aca="false">LEN(C222)+LEN(D222)+LEN(E222)+LEN(F222)+LEN(G222)+LEN(H222)</f>
        <v>52</v>
      </c>
    </row>
    <row r="223" customFormat="false" ht="15" hidden="false" customHeight="false" outlineLevel="0" collapsed="false">
      <c r="A223" s="0" t="s">
        <v>4565</v>
      </c>
      <c r="B223" s="0" t="s">
        <v>4306</v>
      </c>
      <c r="C223" s="3" t="n">
        <v>1915</v>
      </c>
      <c r="D223" s="0" t="s">
        <v>4566</v>
      </c>
      <c r="E223" s="0" t="s">
        <v>3951</v>
      </c>
      <c r="F223" s="0" t="s">
        <v>1635</v>
      </c>
      <c r="G223" s="0" t="s">
        <v>1357</v>
      </c>
      <c r="H223" s="0" t="s">
        <v>4567</v>
      </c>
      <c r="I223" s="0" t="s">
        <v>152</v>
      </c>
      <c r="M223" s="0" t="s">
        <v>29</v>
      </c>
      <c r="O223" s="0" t="s">
        <v>29</v>
      </c>
      <c r="R223" s="0" t="n">
        <f aca="false">LEN(C223)+LEN(D223)+LEN(E223)+LEN(F223)+LEN(G223)+LEN(H223)</f>
        <v>56</v>
      </c>
    </row>
    <row r="224" customFormat="false" ht="15" hidden="false" customHeight="false" outlineLevel="0" collapsed="false">
      <c r="A224" s="0" t="s">
        <v>4568</v>
      </c>
      <c r="B224" s="0" t="s">
        <v>4306</v>
      </c>
      <c r="C224" s="3" t="n">
        <v>1915</v>
      </c>
      <c r="D224" s="0" t="s">
        <v>4569</v>
      </c>
      <c r="E224" s="0" t="s">
        <v>4456</v>
      </c>
      <c r="G224" s="0" t="s">
        <v>1357</v>
      </c>
      <c r="H224" s="0" t="s">
        <v>4570</v>
      </c>
      <c r="I224" s="0" t="s">
        <v>152</v>
      </c>
      <c r="M224" s="0" t="s">
        <v>29</v>
      </c>
      <c r="O224" s="0" t="s">
        <v>29</v>
      </c>
      <c r="R224" s="0" t="n">
        <f aca="false">LEN(C224)+LEN(D224)+LEN(E224)+LEN(F224)+LEN(G224)+LEN(H224)</f>
        <v>57</v>
      </c>
    </row>
    <row r="225" customFormat="false" ht="15" hidden="false" customHeight="false" outlineLevel="0" collapsed="false">
      <c r="A225" s="0" t="s">
        <v>4571</v>
      </c>
      <c r="B225" s="0" t="s">
        <v>4306</v>
      </c>
      <c r="C225" s="3" t="n">
        <v>1915</v>
      </c>
      <c r="D225" s="0" t="s">
        <v>4572</v>
      </c>
      <c r="E225" s="0" t="s">
        <v>4573</v>
      </c>
      <c r="F225" s="0" t="s">
        <v>1407</v>
      </c>
      <c r="G225" s="0" t="s">
        <v>1357</v>
      </c>
      <c r="H225" s="0" t="s">
        <v>4574</v>
      </c>
      <c r="I225" s="0" t="s">
        <v>152</v>
      </c>
      <c r="O225" s="0" t="s">
        <v>29</v>
      </c>
      <c r="R225" s="0" t="n">
        <f aca="false">LEN(C225)+LEN(D225)+LEN(E225)+LEN(F225)+LEN(G225)+LEN(H225)</f>
        <v>51</v>
      </c>
    </row>
    <row r="226" customFormat="false" ht="15" hidden="false" customHeight="false" outlineLevel="0" collapsed="false">
      <c r="A226" s="0" t="s">
        <v>4575</v>
      </c>
      <c r="B226" s="0" t="s">
        <v>4306</v>
      </c>
      <c r="C226" s="3" t="n">
        <v>1915</v>
      </c>
      <c r="D226" s="0" t="s">
        <v>4576</v>
      </c>
      <c r="E226" s="0" t="s">
        <v>1734</v>
      </c>
      <c r="G226" s="0" t="s">
        <v>4577</v>
      </c>
      <c r="H226" s="0" t="s">
        <v>4578</v>
      </c>
      <c r="I226" s="0" t="s">
        <v>152</v>
      </c>
      <c r="M226" s="0" t="s">
        <v>29</v>
      </c>
      <c r="O226" s="0" t="s">
        <v>29</v>
      </c>
      <c r="R226" s="0" t="n">
        <f aca="false">LEN(C226)+LEN(D226)+LEN(E226)+LEN(F226)+LEN(G226)+LEN(H226)</f>
        <v>57</v>
      </c>
    </row>
    <row r="227" customFormat="false" ht="15" hidden="false" customHeight="false" outlineLevel="0" collapsed="false">
      <c r="A227" s="0" t="s">
        <v>4579</v>
      </c>
      <c r="B227" s="0" t="s">
        <v>4306</v>
      </c>
      <c r="C227" s="3" t="n">
        <v>1915</v>
      </c>
      <c r="D227" s="0" t="s">
        <v>4580</v>
      </c>
      <c r="E227" s="0" t="s">
        <v>1262</v>
      </c>
      <c r="F227" s="0" t="s">
        <v>29</v>
      </c>
      <c r="G227" s="0" t="s">
        <v>4448</v>
      </c>
      <c r="H227" s="0" t="s">
        <v>4581</v>
      </c>
      <c r="I227" s="0" t="s">
        <v>152</v>
      </c>
      <c r="M227" s="0" t="s">
        <v>29</v>
      </c>
      <c r="N227" s="9" t="s">
        <v>29</v>
      </c>
      <c r="O227" s="9" t="s">
        <v>29</v>
      </c>
      <c r="P227" s="9"/>
      <c r="R227" s="0" t="n">
        <f aca="false">LEN(C227)+LEN(D227)+LEN(E227)+LEN(F227)+LEN(G227)+LEN(H227)</f>
        <v>44</v>
      </c>
    </row>
    <row r="228" customFormat="false" ht="15" hidden="false" customHeight="false" outlineLevel="0" collapsed="false">
      <c r="A228" s="0" t="s">
        <v>4582</v>
      </c>
      <c r="B228" s="0" t="s">
        <v>4306</v>
      </c>
      <c r="C228" s="3" t="n">
        <v>1915</v>
      </c>
      <c r="D228" s="0" t="s">
        <v>3890</v>
      </c>
      <c r="E228" s="0" t="s">
        <v>4355</v>
      </c>
      <c r="F228" s="0" t="s">
        <v>69</v>
      </c>
      <c r="G228" s="0" t="s">
        <v>931</v>
      </c>
      <c r="H228" s="0" t="s">
        <v>4583</v>
      </c>
      <c r="I228" s="0" t="s">
        <v>152</v>
      </c>
      <c r="N228" s="9" t="s">
        <v>29</v>
      </c>
      <c r="O228" s="9" t="s">
        <v>29</v>
      </c>
      <c r="P228" s="9"/>
      <c r="R228" s="0" t="n">
        <f aca="false">LEN(C228)+LEN(D228)+LEN(E228)+LEN(F228)+LEN(G228)+LEN(H228)</f>
        <v>54</v>
      </c>
    </row>
    <row r="229" customFormat="false" ht="15" hidden="false" customHeight="false" outlineLevel="0" collapsed="false">
      <c r="A229" s="0" t="s">
        <v>4584</v>
      </c>
      <c r="B229" s="0" t="s">
        <v>4306</v>
      </c>
      <c r="C229" s="3" t="n">
        <v>1915</v>
      </c>
      <c r="D229" s="0" t="s">
        <v>4585</v>
      </c>
      <c r="E229" s="0" t="s">
        <v>1600</v>
      </c>
      <c r="G229" s="0" t="s">
        <v>4448</v>
      </c>
      <c r="H229" s="0" t="s">
        <v>4586</v>
      </c>
      <c r="I229" s="0" t="s">
        <v>152</v>
      </c>
      <c r="M229" s="0" t="s">
        <v>29</v>
      </c>
      <c r="N229" s="9" t="s">
        <v>29</v>
      </c>
      <c r="R229" s="0" t="n">
        <f aca="false">LEN(C229)+LEN(D229)+LEN(E229)+LEN(F229)+LEN(G229)+LEN(H229)</f>
        <v>44</v>
      </c>
    </row>
    <row r="230" customFormat="false" ht="15" hidden="false" customHeight="false" outlineLevel="0" collapsed="false">
      <c r="A230" s="0" t="s">
        <v>4587</v>
      </c>
      <c r="B230" s="0" t="s">
        <v>4306</v>
      </c>
      <c r="C230" s="3" t="n">
        <v>1915</v>
      </c>
      <c r="D230" s="0" t="s">
        <v>4588</v>
      </c>
      <c r="E230" s="0" t="s">
        <v>2689</v>
      </c>
      <c r="H230" s="0" t="s">
        <v>4589</v>
      </c>
      <c r="I230" s="0" t="s">
        <v>152</v>
      </c>
      <c r="M230" s="0" t="s">
        <v>29</v>
      </c>
      <c r="N230" s="0" t="s">
        <v>29</v>
      </c>
      <c r="O230" s="0" t="s">
        <v>29</v>
      </c>
      <c r="R230" s="0" t="n">
        <f aca="false">LEN(C230)+LEN(D230)+LEN(E230)+LEN(F230)+LEN(G230)+LEN(H230)</f>
        <v>39</v>
      </c>
    </row>
    <row r="231" customFormat="false" ht="15" hidden="false" customHeight="false" outlineLevel="0" collapsed="false">
      <c r="A231" s="0" t="s">
        <v>4590</v>
      </c>
      <c r="B231" s="0" t="s">
        <v>4306</v>
      </c>
      <c r="C231" s="3" t="n">
        <v>1915</v>
      </c>
      <c r="D231" s="0" t="s">
        <v>4591</v>
      </c>
      <c r="E231" s="0" t="s">
        <v>4592</v>
      </c>
      <c r="H231" s="0" t="s">
        <v>4593</v>
      </c>
      <c r="I231" s="0" t="s">
        <v>152</v>
      </c>
      <c r="M231" s="0" t="s">
        <v>29</v>
      </c>
      <c r="N231" s="0" t="s">
        <v>29</v>
      </c>
      <c r="O231" s="0" t="s">
        <v>29</v>
      </c>
      <c r="R231" s="0" t="n">
        <f aca="false">LEN(C231)+LEN(D231)+LEN(E231)+LEN(F231)+LEN(G231)+LEN(H231)</f>
        <v>41</v>
      </c>
    </row>
    <row r="232" customFormat="false" ht="15" hidden="false" customHeight="false" outlineLevel="0" collapsed="false">
      <c r="A232" s="0" t="s">
        <v>4594</v>
      </c>
      <c r="B232" s="0" t="s">
        <v>4306</v>
      </c>
      <c r="C232" s="3" t="n">
        <v>1915</v>
      </c>
      <c r="D232" s="0" t="s">
        <v>4595</v>
      </c>
      <c r="E232" s="0" t="s">
        <v>3520</v>
      </c>
      <c r="F232" s="0" t="s">
        <v>393</v>
      </c>
      <c r="H232" s="0" t="s">
        <v>4596</v>
      </c>
      <c r="I232" s="0" t="s">
        <v>152</v>
      </c>
      <c r="R232" s="0" t="n">
        <f aca="false">LEN(C232)+LEN(D232)+LEN(E232)+LEN(F232)+LEN(G232)+LEN(H232)</f>
        <v>45</v>
      </c>
    </row>
    <row r="233" customFormat="false" ht="15" hidden="false" customHeight="false" outlineLevel="0" collapsed="false">
      <c r="A233" s="0" t="s">
        <v>4597</v>
      </c>
      <c r="B233" s="0" t="s">
        <v>4306</v>
      </c>
      <c r="C233" s="3" t="n">
        <v>1915</v>
      </c>
      <c r="D233" s="0" t="s">
        <v>4598</v>
      </c>
      <c r="E233" s="0" t="s">
        <v>4599</v>
      </c>
      <c r="F233" s="0" t="s">
        <v>69</v>
      </c>
      <c r="G233" s="0" t="s">
        <v>882</v>
      </c>
      <c r="H233" s="0" t="s">
        <v>4600</v>
      </c>
      <c r="I233" s="0" t="s">
        <v>152</v>
      </c>
      <c r="M233" s="0" t="s">
        <v>29</v>
      </c>
      <c r="N233" s="9" t="s">
        <v>29</v>
      </c>
      <c r="O233" s="0" t="s">
        <v>29</v>
      </c>
      <c r="R233" s="0" t="n">
        <f aca="false">LEN(C233)+LEN(D233)+LEN(E233)+LEN(F233)+LEN(G233)+LEN(H233)</f>
        <v>53</v>
      </c>
    </row>
    <row r="234" customFormat="false" ht="15" hidden="false" customHeight="false" outlineLevel="0" collapsed="false">
      <c r="A234" s="0" t="s">
        <v>4601</v>
      </c>
      <c r="B234" s="0" t="s">
        <v>4306</v>
      </c>
      <c r="C234" s="3" t="n">
        <v>1915</v>
      </c>
      <c r="D234" s="0" t="s">
        <v>4209</v>
      </c>
      <c r="E234" s="0" t="s">
        <v>4439</v>
      </c>
      <c r="G234" s="0" t="s">
        <v>1357</v>
      </c>
      <c r="H234" s="0" t="s">
        <v>4602</v>
      </c>
      <c r="I234" s="0" t="s">
        <v>152</v>
      </c>
      <c r="M234" s="0" t="s">
        <v>29</v>
      </c>
      <c r="O234" s="9" t="s">
        <v>29</v>
      </c>
      <c r="P234" s="9"/>
      <c r="R234" s="0" t="n">
        <f aca="false">LEN(C234)+LEN(D234)+LEN(E234)+LEN(F234)+LEN(G234)+LEN(H234)</f>
        <v>45</v>
      </c>
    </row>
    <row r="235" customFormat="false" ht="15" hidden="false" customHeight="false" outlineLevel="0" collapsed="false">
      <c r="A235" s="0" t="s">
        <v>4603</v>
      </c>
      <c r="B235" s="0" t="s">
        <v>4306</v>
      </c>
      <c r="C235" s="3" t="n">
        <v>1915</v>
      </c>
      <c r="D235" s="0" t="s">
        <v>4604</v>
      </c>
      <c r="E235" s="0" t="s">
        <v>386</v>
      </c>
      <c r="G235" s="0" t="s">
        <v>1357</v>
      </c>
      <c r="H235" s="0" t="s">
        <v>4605</v>
      </c>
      <c r="I235" s="0" t="s">
        <v>152</v>
      </c>
      <c r="M235" s="0" t="s">
        <v>29</v>
      </c>
      <c r="O235" s="0" t="s">
        <v>29</v>
      </c>
      <c r="R235" s="0" t="n">
        <f aca="false">LEN(C235)+LEN(D235)+LEN(E235)+LEN(F235)+LEN(G235)+LEN(H235)</f>
        <v>42</v>
      </c>
    </row>
    <row r="236" customFormat="false" ht="15" hidden="false" customHeight="false" outlineLevel="0" collapsed="false">
      <c r="A236" s="0" t="s">
        <v>4606</v>
      </c>
      <c r="B236" s="0" t="s">
        <v>4306</v>
      </c>
      <c r="C236" s="3" t="n">
        <v>1915</v>
      </c>
      <c r="D236" s="0" t="s">
        <v>4607</v>
      </c>
      <c r="E236" s="0" t="s">
        <v>4608</v>
      </c>
      <c r="H236" s="0" t="s">
        <v>4609</v>
      </c>
      <c r="I236" s="0" t="s">
        <v>152</v>
      </c>
      <c r="M236" s="0" t="s">
        <v>29</v>
      </c>
      <c r="N236" s="0" t="s">
        <v>29</v>
      </c>
      <c r="O236" s="0" t="s">
        <v>134</v>
      </c>
      <c r="R236" s="0" t="n">
        <f aca="false">LEN(C236)+LEN(D236)+LEN(E236)+LEN(F236)+LEN(G236)+LEN(H236)</f>
        <v>29</v>
      </c>
    </row>
    <row r="237" customFormat="false" ht="15" hidden="false" customHeight="false" outlineLevel="0" collapsed="false">
      <c r="A237" s="0" t="s">
        <v>4610</v>
      </c>
      <c r="B237" s="0" t="s">
        <v>4306</v>
      </c>
      <c r="C237" s="3" t="n">
        <v>1915</v>
      </c>
      <c r="D237" s="0" t="s">
        <v>4611</v>
      </c>
      <c r="E237" s="0" t="s">
        <v>1682</v>
      </c>
      <c r="G237" s="0" t="s">
        <v>1357</v>
      </c>
      <c r="H237" s="0" t="s">
        <v>4612</v>
      </c>
      <c r="I237" s="0" t="s">
        <v>152</v>
      </c>
      <c r="M237" s="0" t="s">
        <v>29</v>
      </c>
      <c r="O237" s="0" t="s">
        <v>29</v>
      </c>
      <c r="R237" s="0" t="n">
        <f aca="false">LEN(C237)+LEN(D237)+LEN(E237)+LEN(F237)+LEN(G237)+LEN(H237)</f>
        <v>43</v>
      </c>
    </row>
    <row r="238" customFormat="false" ht="15" hidden="false" customHeight="false" outlineLevel="0" collapsed="false">
      <c r="A238" s="0" t="s">
        <v>4613</v>
      </c>
      <c r="B238" s="0" t="s">
        <v>4306</v>
      </c>
      <c r="C238" s="3" t="n">
        <v>1915</v>
      </c>
      <c r="D238" s="0" t="s">
        <v>4614</v>
      </c>
      <c r="E238" s="0" t="s">
        <v>1682</v>
      </c>
      <c r="G238" s="0" t="s">
        <v>931</v>
      </c>
      <c r="H238" s="0" t="s">
        <v>4615</v>
      </c>
      <c r="I238" s="0" t="s">
        <v>152</v>
      </c>
      <c r="M238" s="0" t="s">
        <v>29</v>
      </c>
      <c r="O238" s="9" t="s">
        <v>29</v>
      </c>
      <c r="P238" s="9"/>
      <c r="R238" s="0" t="n">
        <f aca="false">LEN(C238)+LEN(D238)+LEN(E238)+LEN(F238)+LEN(G238)+LEN(H238)</f>
        <v>49</v>
      </c>
    </row>
    <row r="239" customFormat="false" ht="15" hidden="false" customHeight="false" outlineLevel="0" collapsed="false">
      <c r="A239" s="0" t="s">
        <v>4616</v>
      </c>
      <c r="B239" s="0" t="s">
        <v>4306</v>
      </c>
      <c r="C239" s="3" t="n">
        <v>1915</v>
      </c>
      <c r="D239" s="0" t="s">
        <v>4617</v>
      </c>
      <c r="E239" s="0" t="s">
        <v>1728</v>
      </c>
      <c r="F239" s="0" t="s">
        <v>2202</v>
      </c>
      <c r="G239" s="0" t="s">
        <v>1357</v>
      </c>
      <c r="H239" s="0" t="s">
        <v>4618</v>
      </c>
      <c r="I239" s="0" t="s">
        <v>152</v>
      </c>
      <c r="M239" s="0" t="s">
        <v>29</v>
      </c>
      <c r="O239" s="9" t="s">
        <v>29</v>
      </c>
      <c r="P239" s="9"/>
      <c r="R239" s="0" t="n">
        <f aca="false">LEN(C239)+LEN(D239)+LEN(E239)+LEN(F239)+LEN(G239)+LEN(H239)</f>
        <v>47</v>
      </c>
    </row>
    <row r="240" customFormat="false" ht="15" hidden="false" customHeight="false" outlineLevel="0" collapsed="false">
      <c r="A240" s="0" t="s">
        <v>4619</v>
      </c>
      <c r="B240" s="0" t="s">
        <v>4306</v>
      </c>
      <c r="C240" s="3" t="n">
        <v>1915</v>
      </c>
      <c r="D240" s="0" t="s">
        <v>4620</v>
      </c>
      <c r="E240" s="0" t="s">
        <v>4621</v>
      </c>
      <c r="G240" s="0" t="s">
        <v>4622</v>
      </c>
      <c r="H240" s="0" t="s">
        <v>4623</v>
      </c>
      <c r="I240" s="0" t="s">
        <v>152</v>
      </c>
      <c r="M240" s="0" t="s">
        <v>29</v>
      </c>
      <c r="O240" s="0" t="s">
        <v>29</v>
      </c>
      <c r="R240" s="0" t="n">
        <f aca="false">LEN(C240)+LEN(D240)+LEN(E240)+LEN(F240)+LEN(G240)+LEN(H240)</f>
        <v>52</v>
      </c>
    </row>
    <row r="241" customFormat="false" ht="15" hidden="false" customHeight="false" outlineLevel="0" collapsed="false">
      <c r="A241" s="0" t="s">
        <v>4624</v>
      </c>
      <c r="B241" s="0" t="s">
        <v>4306</v>
      </c>
      <c r="C241" s="3" t="n">
        <v>1915</v>
      </c>
      <c r="D241" s="0" t="s">
        <v>4625</v>
      </c>
      <c r="E241" s="0" t="s">
        <v>1734</v>
      </c>
      <c r="G241" s="0" t="s">
        <v>931</v>
      </c>
      <c r="H241" s="0" t="s">
        <v>4626</v>
      </c>
      <c r="I241" s="0" t="s">
        <v>152</v>
      </c>
      <c r="M241" s="0" t="s">
        <v>29</v>
      </c>
      <c r="O241" s="9" t="s">
        <v>29</v>
      </c>
      <c r="P241" s="9"/>
      <c r="R241" s="0" t="n">
        <f aca="false">LEN(C241)+LEN(D241)+LEN(E241)+LEN(F241)+LEN(G241)+LEN(H241)</f>
        <v>54</v>
      </c>
    </row>
    <row r="242" customFormat="false" ht="15" hidden="false" customHeight="false" outlineLevel="0" collapsed="false">
      <c r="A242" s="0" t="s">
        <v>4627</v>
      </c>
      <c r="B242" s="0" t="s">
        <v>4306</v>
      </c>
      <c r="C242" s="3" t="n">
        <v>1915</v>
      </c>
      <c r="D242" s="0" t="s">
        <v>4628</v>
      </c>
      <c r="E242" s="0" t="s">
        <v>2689</v>
      </c>
      <c r="G242" s="0" t="s">
        <v>4448</v>
      </c>
      <c r="H242" s="0" t="s">
        <v>4532</v>
      </c>
      <c r="I242" s="0" t="s">
        <v>152</v>
      </c>
      <c r="N242" s="9" t="s">
        <v>29</v>
      </c>
      <c r="O242" s="0" t="s">
        <v>29</v>
      </c>
      <c r="R242" s="0" t="n">
        <f aca="false">LEN(C242)+LEN(D242)+LEN(E242)+LEN(F242)+LEN(G242)+LEN(H242)</f>
        <v>52</v>
      </c>
    </row>
    <row r="243" customFormat="false" ht="15" hidden="false" customHeight="false" outlineLevel="0" collapsed="false">
      <c r="A243" s="0" t="s">
        <v>4629</v>
      </c>
      <c r="B243" s="0" t="s">
        <v>4306</v>
      </c>
      <c r="C243" s="3" t="n">
        <v>1915</v>
      </c>
      <c r="D243" s="0" t="s">
        <v>4630</v>
      </c>
      <c r="E243" s="0" t="s">
        <v>2689</v>
      </c>
      <c r="F243" s="0" t="s">
        <v>29</v>
      </c>
      <c r="G243" s="0" t="s">
        <v>4622</v>
      </c>
      <c r="H243" s="0" t="s">
        <v>4631</v>
      </c>
      <c r="I243" s="0" t="s">
        <v>152</v>
      </c>
      <c r="O243" s="0" t="s">
        <v>29</v>
      </c>
      <c r="R243" s="0" t="n">
        <f aca="false">LEN(C243)+LEN(D243)+LEN(E243)+LEN(F243)+LEN(G243)+LEN(H243)</f>
        <v>54</v>
      </c>
    </row>
    <row r="244" customFormat="false" ht="15" hidden="false" customHeight="false" outlineLevel="0" collapsed="false">
      <c r="A244" s="0" t="s">
        <v>4632</v>
      </c>
      <c r="B244" s="0" t="s">
        <v>4306</v>
      </c>
      <c r="C244" s="3" t="n">
        <v>1915</v>
      </c>
      <c r="D244" s="0" t="s">
        <v>4633</v>
      </c>
      <c r="E244" s="0" t="s">
        <v>4634</v>
      </c>
      <c r="F244" s="0" t="s">
        <v>526</v>
      </c>
      <c r="G244" s="0" t="s">
        <v>4448</v>
      </c>
      <c r="H244" s="0" t="s">
        <v>4635</v>
      </c>
      <c r="I244" s="0" t="s">
        <v>152</v>
      </c>
      <c r="N244" s="9" t="s">
        <v>29</v>
      </c>
      <c r="O244" s="0" t="s">
        <v>29</v>
      </c>
      <c r="R244" s="0" t="n">
        <f aca="false">LEN(C244)+LEN(D244)+LEN(E244)+LEN(F244)+LEN(G244)+LEN(H244)</f>
        <v>57</v>
      </c>
    </row>
    <row r="245" customFormat="false" ht="15" hidden="false" customHeight="false" outlineLevel="0" collapsed="false">
      <c r="A245" s="0" t="s">
        <v>4636</v>
      </c>
      <c r="B245" s="0" t="s">
        <v>4306</v>
      </c>
      <c r="C245" s="3" t="n">
        <v>1915</v>
      </c>
      <c r="D245" s="0" t="s">
        <v>4637</v>
      </c>
      <c r="E245" s="0" t="s">
        <v>248</v>
      </c>
      <c r="F245" s="0" t="s">
        <v>394</v>
      </c>
      <c r="G245" s="0" t="s">
        <v>1357</v>
      </c>
      <c r="H245" s="0" t="s">
        <v>4638</v>
      </c>
      <c r="I245" s="0" t="s">
        <v>152</v>
      </c>
      <c r="O245" s="0" t="s">
        <v>29</v>
      </c>
      <c r="R245" s="0" t="n">
        <f aca="false">LEN(C245)+LEN(D245)+LEN(E245)+LEN(F245)+LEN(G245)+LEN(H245)</f>
        <v>54</v>
      </c>
    </row>
    <row r="246" customFormat="false" ht="15" hidden="false" customHeight="false" outlineLevel="0" collapsed="false">
      <c r="A246" s="0" t="s">
        <v>4639</v>
      </c>
      <c r="B246" s="0" t="s">
        <v>4306</v>
      </c>
      <c r="C246" s="3" t="n">
        <v>1915</v>
      </c>
      <c r="D246" s="0" t="s">
        <v>4640</v>
      </c>
      <c r="E246" s="0" t="s">
        <v>385</v>
      </c>
      <c r="G246" s="0" t="s">
        <v>1392</v>
      </c>
      <c r="H246" s="0" t="s">
        <v>4641</v>
      </c>
      <c r="I246" s="0" t="s">
        <v>152</v>
      </c>
      <c r="M246" s="0" t="s">
        <v>29</v>
      </c>
      <c r="O246" s="9" t="s">
        <v>29</v>
      </c>
      <c r="P246" s="9"/>
      <c r="R246" s="0" t="n">
        <f aca="false">LEN(C246)+LEN(D246)+LEN(E246)+LEN(F246)+LEN(G246)+LEN(H246)</f>
        <v>47</v>
      </c>
    </row>
    <row r="247" customFormat="false" ht="15" hidden="false" customHeight="false" outlineLevel="0" collapsed="false">
      <c r="A247" s="0" t="s">
        <v>4642</v>
      </c>
      <c r="B247" s="0" t="s">
        <v>4306</v>
      </c>
      <c r="C247" s="3" t="n">
        <v>1915</v>
      </c>
      <c r="D247" s="0" t="s">
        <v>4643</v>
      </c>
      <c r="E247" s="0" t="s">
        <v>323</v>
      </c>
      <c r="F247" s="0" t="s">
        <v>964</v>
      </c>
      <c r="H247" s="0" t="s">
        <v>4644</v>
      </c>
      <c r="I247" s="0" t="s">
        <v>152</v>
      </c>
      <c r="R247" s="0" t="n">
        <f aca="false">LEN(C247)+LEN(D247)+LEN(E247)+LEN(F247)+LEN(G247)+LEN(H247)</f>
        <v>39</v>
      </c>
    </row>
    <row r="248" customFormat="false" ht="15" hidden="false" customHeight="false" outlineLevel="0" collapsed="false">
      <c r="A248" s="0" t="s">
        <v>4645</v>
      </c>
      <c r="B248" s="0" t="s">
        <v>4306</v>
      </c>
      <c r="C248" s="3" t="n">
        <v>1915</v>
      </c>
      <c r="D248" s="0" t="s">
        <v>4646</v>
      </c>
      <c r="E248" s="0" t="s">
        <v>1600</v>
      </c>
      <c r="F248" s="0" t="s">
        <v>394</v>
      </c>
      <c r="H248" s="0" t="s">
        <v>4647</v>
      </c>
      <c r="I248" s="0" t="s">
        <v>152</v>
      </c>
      <c r="R248" s="0" t="n">
        <f aca="false">LEN(C248)+LEN(D248)+LEN(E248)+LEN(F248)+LEN(G248)+LEN(H248)</f>
        <v>43</v>
      </c>
    </row>
    <row r="249" customFormat="false" ht="15" hidden="false" customHeight="false" outlineLevel="0" collapsed="false">
      <c r="A249" s="0" t="s">
        <v>4648</v>
      </c>
      <c r="B249" s="0" t="s">
        <v>4306</v>
      </c>
      <c r="C249" s="3" t="n">
        <v>1915</v>
      </c>
      <c r="D249" s="0" t="s">
        <v>4649</v>
      </c>
      <c r="E249" s="0" t="s">
        <v>4650</v>
      </c>
      <c r="F249" s="0" t="s">
        <v>2202</v>
      </c>
      <c r="G249" s="0" t="s">
        <v>4428</v>
      </c>
      <c r="I249" s="0" t="s">
        <v>152</v>
      </c>
      <c r="M249" s="0" t="s">
        <v>29</v>
      </c>
      <c r="R249" s="0" t="n">
        <f aca="false">LEN(C249)+LEN(D249)+LEN(E249)+LEN(F249)+LEN(G249)+LEN(H249)</f>
        <v>28</v>
      </c>
    </row>
    <row r="250" customFormat="false" ht="15" hidden="false" customHeight="false" outlineLevel="0" collapsed="false">
      <c r="A250" s="0" t="s">
        <v>4651</v>
      </c>
      <c r="B250" s="0" t="s">
        <v>4306</v>
      </c>
      <c r="C250" s="3" t="n">
        <v>1915</v>
      </c>
      <c r="D250" s="0" t="s">
        <v>4652</v>
      </c>
      <c r="E250" s="0" t="s">
        <v>385</v>
      </c>
      <c r="G250" s="0" t="s">
        <v>1357</v>
      </c>
      <c r="I250" s="0" t="s">
        <v>152</v>
      </c>
      <c r="M250" s="0" t="s">
        <v>29</v>
      </c>
      <c r="O250" s="0" t="s">
        <v>29</v>
      </c>
      <c r="R250" s="0" t="n">
        <f aca="false">LEN(C250)+LEN(D250)+LEN(E250)+LEN(F250)+LEN(G250)+LEN(H250)</f>
        <v>20</v>
      </c>
    </row>
    <row r="251" customFormat="false" ht="15" hidden="false" customHeight="false" outlineLevel="0" collapsed="false">
      <c r="A251" s="0" t="s">
        <v>4653</v>
      </c>
      <c r="B251" s="0" t="s">
        <v>4306</v>
      </c>
      <c r="C251" s="3" t="n">
        <v>1915</v>
      </c>
      <c r="D251" s="0" t="s">
        <v>4496</v>
      </c>
      <c r="E251" s="0" t="s">
        <v>4420</v>
      </c>
      <c r="H251" s="0" t="s">
        <v>4654</v>
      </c>
      <c r="I251" s="0" t="s">
        <v>152</v>
      </c>
      <c r="M251" s="0" t="s">
        <v>29</v>
      </c>
      <c r="O251" s="0" t="s">
        <v>29</v>
      </c>
      <c r="R251" s="0" t="n">
        <f aca="false">LEN(C251)+LEN(D251)+LEN(E251)+LEN(F251)+LEN(G251)+LEN(H251)</f>
        <v>35</v>
      </c>
    </row>
    <row r="252" customFormat="false" ht="15" hidden="false" customHeight="false" outlineLevel="0" collapsed="false">
      <c r="A252" s="0" t="s">
        <v>4655</v>
      </c>
      <c r="B252" s="0" t="s">
        <v>4306</v>
      </c>
      <c r="C252" s="3" t="n">
        <v>1915</v>
      </c>
      <c r="D252" s="0" t="s">
        <v>3875</v>
      </c>
      <c r="E252" s="0" t="s">
        <v>1734</v>
      </c>
      <c r="F252" s="0" t="s">
        <v>3928</v>
      </c>
      <c r="I252" s="0" t="s">
        <v>152</v>
      </c>
      <c r="O252" s="0" t="s">
        <v>29</v>
      </c>
      <c r="R252" s="0" t="n">
        <f aca="false">LEN(C252)+LEN(D252)+LEN(E252)+LEN(F252)+LEN(G252)+LEN(H252)</f>
        <v>16</v>
      </c>
    </row>
    <row r="253" customFormat="false" ht="15" hidden="false" customHeight="false" outlineLevel="0" collapsed="false">
      <c r="A253" s="0" t="s">
        <v>4656</v>
      </c>
      <c r="B253" s="0" t="s">
        <v>4306</v>
      </c>
      <c r="C253" s="3" t="n">
        <v>1915</v>
      </c>
      <c r="D253" s="0" t="s">
        <v>4657</v>
      </c>
      <c r="E253" s="0" t="s">
        <v>1734</v>
      </c>
      <c r="I253" s="0" t="s">
        <v>152</v>
      </c>
      <c r="M253" s="0" t="s">
        <v>29</v>
      </c>
      <c r="R253" s="0" t="n">
        <f aca="false">LEN(C253)+LEN(D253)+LEN(E253)+LEN(F253)+LEN(G253)+LEN(H253)</f>
        <v>17</v>
      </c>
    </row>
    <row r="254" customFormat="false" ht="15" hidden="false" customHeight="false" outlineLevel="0" collapsed="false">
      <c r="A254" s="0" t="s">
        <v>4658</v>
      </c>
      <c r="B254" s="0" t="s">
        <v>4306</v>
      </c>
      <c r="C254" s="3" t="n">
        <v>1915</v>
      </c>
      <c r="D254" s="0" t="s">
        <v>4659</v>
      </c>
      <c r="E254" s="0" t="s">
        <v>386</v>
      </c>
      <c r="F254" s="0" t="s">
        <v>1635</v>
      </c>
      <c r="G254" s="0" t="s">
        <v>4448</v>
      </c>
      <c r="I254" s="0" t="s">
        <v>152</v>
      </c>
      <c r="O254" s="0" t="s">
        <v>29</v>
      </c>
      <c r="R254" s="0" t="n">
        <f aca="false">LEN(C254)+LEN(D254)+LEN(E254)+LEN(F254)+LEN(G254)+LEN(H254)</f>
        <v>31</v>
      </c>
    </row>
    <row r="255" customFormat="false" ht="15" hidden="false" customHeight="false" outlineLevel="0" collapsed="false">
      <c r="A255" s="0" t="s">
        <v>4660</v>
      </c>
      <c r="B255" s="0" t="s">
        <v>4306</v>
      </c>
      <c r="C255" s="3" t="n">
        <v>1915</v>
      </c>
      <c r="D255" s="0" t="s">
        <v>4661</v>
      </c>
      <c r="E255" s="0" t="s">
        <v>324</v>
      </c>
      <c r="I255" s="0" t="s">
        <v>152</v>
      </c>
      <c r="M255" s="0" t="s">
        <v>29</v>
      </c>
      <c r="N255" s="0" t="s">
        <v>29</v>
      </c>
      <c r="R255" s="0" t="n">
        <f aca="false">LEN(C255)+LEN(D255)+LEN(E255)+LEN(F255)+LEN(G255)+LEN(H255)</f>
        <v>15</v>
      </c>
    </row>
    <row r="256" customFormat="false" ht="15" hidden="false" customHeight="false" outlineLevel="0" collapsed="false">
      <c r="A256" s="0" t="s">
        <v>4662</v>
      </c>
      <c r="B256" s="0" t="s">
        <v>4306</v>
      </c>
      <c r="C256" s="3" t="n">
        <v>1915</v>
      </c>
      <c r="D256" s="0" t="s">
        <v>4663</v>
      </c>
      <c r="E256" s="0" t="s">
        <v>385</v>
      </c>
      <c r="F256" s="0" t="s">
        <v>880</v>
      </c>
      <c r="I256" s="0" t="s">
        <v>152</v>
      </c>
      <c r="R256" s="0" t="n">
        <f aca="false">LEN(C256)+LEN(D256)+LEN(E256)+LEN(F256)+LEN(G256)+LEN(H256)</f>
        <v>18</v>
      </c>
    </row>
    <row r="257" customFormat="false" ht="15" hidden="false" customHeight="false" outlineLevel="0" collapsed="false">
      <c r="A257" s="0" t="s">
        <v>4664</v>
      </c>
      <c r="B257" s="0" t="s">
        <v>4306</v>
      </c>
      <c r="C257" s="3" t="n">
        <v>1915</v>
      </c>
      <c r="D257" s="0" t="s">
        <v>561</v>
      </c>
      <c r="E257" s="0" t="s">
        <v>4665</v>
      </c>
      <c r="F257" s="0" t="s">
        <v>24</v>
      </c>
      <c r="G257" s="0" t="s">
        <v>1357</v>
      </c>
      <c r="I257" s="0" t="s">
        <v>152</v>
      </c>
      <c r="M257" s="0" t="s">
        <v>29</v>
      </c>
      <c r="R257" s="0" t="n">
        <f aca="false">LEN(C257)+LEN(D257)+LEN(E257)+LEN(F257)+LEN(G257)+LEN(H257)</f>
        <v>28</v>
      </c>
    </row>
    <row r="258" customFormat="false" ht="15" hidden="false" customHeight="false" outlineLevel="0" collapsed="false">
      <c r="A258" s="0" t="s">
        <v>4666</v>
      </c>
      <c r="B258" s="0" t="s">
        <v>4306</v>
      </c>
      <c r="C258" s="3" t="n">
        <v>1915</v>
      </c>
      <c r="D258" s="0" t="s">
        <v>4667</v>
      </c>
      <c r="E258" s="0" t="s">
        <v>4557</v>
      </c>
      <c r="G258" s="0" t="s">
        <v>2948</v>
      </c>
      <c r="I258" s="0" t="s">
        <v>152</v>
      </c>
      <c r="M258" s="0" t="s">
        <v>29</v>
      </c>
      <c r="N258" s="0" t="s">
        <v>29</v>
      </c>
      <c r="O258" s="0" t="s">
        <v>29</v>
      </c>
      <c r="R258" s="0" t="n">
        <f aca="false">LEN(C258)+LEN(D258)+LEN(E258)+LEN(F258)+LEN(G258)+LEN(H258)</f>
        <v>26</v>
      </c>
    </row>
    <row r="259" customFormat="false" ht="15" hidden="false" customHeight="false" outlineLevel="0" collapsed="false">
      <c r="A259" s="0" t="s">
        <v>4668</v>
      </c>
      <c r="B259" s="0" t="s">
        <v>4306</v>
      </c>
      <c r="C259" s="3" t="n">
        <v>1915</v>
      </c>
      <c r="D259" s="0" t="s">
        <v>4669</v>
      </c>
      <c r="E259" s="0" t="s">
        <v>563</v>
      </c>
      <c r="F259" s="0" t="s">
        <v>394</v>
      </c>
      <c r="G259" s="0" t="s">
        <v>1357</v>
      </c>
      <c r="I259" s="0" t="s">
        <v>152</v>
      </c>
      <c r="R259" s="0" t="n">
        <f aca="false">LEN(C259)+LEN(D259)+LEN(E259)+LEN(F259)+LEN(G259)+LEN(H259)</f>
        <v>26</v>
      </c>
    </row>
    <row r="260" customFormat="false" ht="15" hidden="false" customHeight="false" outlineLevel="0" collapsed="false">
      <c r="A260" s="0" t="s">
        <v>4670</v>
      </c>
      <c r="B260" s="0" t="s">
        <v>4306</v>
      </c>
      <c r="C260" s="3" t="n">
        <v>1915</v>
      </c>
      <c r="D260" s="0" t="s">
        <v>4671</v>
      </c>
      <c r="E260" s="0" t="s">
        <v>3951</v>
      </c>
      <c r="I260" s="0" t="s">
        <v>152</v>
      </c>
      <c r="M260" s="0" t="s">
        <v>29</v>
      </c>
      <c r="R260" s="0" t="n">
        <f aca="false">LEN(C260)+LEN(D260)+LEN(E260)+LEN(F260)+LEN(G260)+LEN(H260)</f>
        <v>14</v>
      </c>
    </row>
    <row r="261" customFormat="false" ht="15" hidden="false" customHeight="false" outlineLevel="0" collapsed="false">
      <c r="A261" s="0" t="s">
        <v>4672</v>
      </c>
      <c r="B261" s="0" t="s">
        <v>4306</v>
      </c>
      <c r="C261" s="3" t="n">
        <v>1915</v>
      </c>
      <c r="D261" s="0" t="s">
        <v>3875</v>
      </c>
      <c r="E261" s="0" t="s">
        <v>954</v>
      </c>
      <c r="I261" s="0" t="s">
        <v>152</v>
      </c>
      <c r="M261" s="0" t="s">
        <v>29</v>
      </c>
      <c r="R261" s="0" t="n">
        <f aca="false">LEN(C261)+LEN(D261)+LEN(E261)+LEN(F261)+LEN(G261)+LEN(H261)</f>
        <v>15</v>
      </c>
    </row>
    <row r="262" customFormat="false" ht="15" hidden="false" customHeight="false" outlineLevel="0" collapsed="false">
      <c r="A262" s="0" t="s">
        <v>4673</v>
      </c>
      <c r="B262" s="0" t="s">
        <v>4306</v>
      </c>
      <c r="C262" s="3" t="n">
        <v>1915</v>
      </c>
      <c r="D262" s="0" t="s">
        <v>3875</v>
      </c>
      <c r="E262" s="0" t="s">
        <v>386</v>
      </c>
      <c r="F262" s="0" t="s">
        <v>24</v>
      </c>
      <c r="I262" s="0" t="s">
        <v>152</v>
      </c>
      <c r="N262" s="0" t="s">
        <v>29</v>
      </c>
      <c r="R262" s="0" t="n">
        <f aca="false">LEN(C262)+LEN(D262)+LEN(E262)+LEN(F262)+LEN(G262)+LEN(H262)</f>
        <v>17</v>
      </c>
    </row>
    <row r="263" customFormat="false" ht="15" hidden="false" customHeight="false" outlineLevel="0" collapsed="false">
      <c r="A263" s="0" t="s">
        <v>4674</v>
      </c>
      <c r="B263" s="0" t="s">
        <v>4306</v>
      </c>
      <c r="C263" s="3" t="n">
        <v>1915</v>
      </c>
      <c r="D263" s="0" t="s">
        <v>4675</v>
      </c>
      <c r="E263" s="0" t="s">
        <v>385</v>
      </c>
      <c r="I263" s="0" t="s">
        <v>152</v>
      </c>
      <c r="M263" s="0" t="s">
        <v>29</v>
      </c>
      <c r="R263" s="0" t="n">
        <f aca="false">LEN(C263)+LEN(D263)+LEN(E263)+LEN(F263)+LEN(G263)+LEN(H263)</f>
        <v>12</v>
      </c>
    </row>
    <row r="264" customFormat="false" ht="15" hidden="false" customHeight="false" outlineLevel="0" collapsed="false">
      <c r="A264" s="0" t="s">
        <v>4676</v>
      </c>
      <c r="B264" s="0" t="s">
        <v>4306</v>
      </c>
      <c r="C264" s="3" t="n">
        <v>1915</v>
      </c>
      <c r="D264" s="0" t="s">
        <v>4677</v>
      </c>
      <c r="E264" s="0" t="s">
        <v>4678</v>
      </c>
      <c r="I264" s="0" t="s">
        <v>152</v>
      </c>
      <c r="M264" s="0" t="s">
        <v>29</v>
      </c>
      <c r="R264" s="0" t="n">
        <f aca="false">LEN(C264)+LEN(D264)+LEN(E264)+LEN(F264)+LEN(G264)+LEN(H264)</f>
        <v>14</v>
      </c>
    </row>
    <row r="265" customFormat="false" ht="15" hidden="false" customHeight="false" outlineLevel="0" collapsed="false">
      <c r="A265" s="0" t="s">
        <v>4679</v>
      </c>
      <c r="B265" s="0" t="s">
        <v>4306</v>
      </c>
      <c r="C265" s="3" t="n">
        <v>1915</v>
      </c>
      <c r="D265" s="0" t="s">
        <v>4680</v>
      </c>
      <c r="E265" s="0" t="s">
        <v>4413</v>
      </c>
      <c r="I265" s="0" t="s">
        <v>152</v>
      </c>
      <c r="L265" s="0" t="s">
        <v>29</v>
      </c>
      <c r="R265" s="0" t="n">
        <f aca="false">LEN(C265)+LEN(D265)+LEN(E265)+LEN(F265)+LEN(G265)+LEN(H265)</f>
        <v>14</v>
      </c>
    </row>
    <row r="266" customFormat="false" ht="15" hidden="false" customHeight="false" outlineLevel="0" collapsed="false">
      <c r="A266" s="0" t="s">
        <v>4681</v>
      </c>
      <c r="B266" s="0" t="s">
        <v>4306</v>
      </c>
      <c r="C266" s="3" t="n">
        <v>1915</v>
      </c>
      <c r="D266" s="0" t="s">
        <v>4682</v>
      </c>
      <c r="E266" s="0" t="s">
        <v>4683</v>
      </c>
      <c r="G266" s="0" t="s">
        <v>4428</v>
      </c>
      <c r="I266" s="0" t="s">
        <v>152</v>
      </c>
      <c r="M266" s="0" t="s">
        <v>29</v>
      </c>
      <c r="R266" s="0" t="n">
        <f aca="false">LEN(C266)+LEN(D266)+LEN(E266)+LEN(F266)+LEN(G266)+LEN(H266)</f>
        <v>24</v>
      </c>
    </row>
    <row r="267" customFormat="false" ht="15" hidden="false" customHeight="false" outlineLevel="0" collapsed="false">
      <c r="A267" s="0" t="s">
        <v>4684</v>
      </c>
      <c r="B267" s="0" t="s">
        <v>4306</v>
      </c>
      <c r="C267" s="3" t="n">
        <v>1915</v>
      </c>
      <c r="D267" s="0" t="s">
        <v>4685</v>
      </c>
      <c r="E267" s="0" t="s">
        <v>2622</v>
      </c>
      <c r="G267" s="0" t="s">
        <v>4428</v>
      </c>
      <c r="I267" s="0" t="s">
        <v>152</v>
      </c>
      <c r="M267" s="0" t="s">
        <v>29</v>
      </c>
      <c r="O267" s="0" t="s">
        <v>29</v>
      </c>
      <c r="R267" s="0" t="n">
        <f aca="false">LEN(C267)+LEN(D267)+LEN(E267)+LEN(F267)+LEN(G267)+LEN(H267)</f>
        <v>24</v>
      </c>
    </row>
    <row r="268" customFormat="false" ht="15" hidden="false" customHeight="false" outlineLevel="0" collapsed="false">
      <c r="A268" s="0" t="s">
        <v>4686</v>
      </c>
      <c r="B268" s="0" t="s">
        <v>4306</v>
      </c>
      <c r="C268" s="3" t="n">
        <v>1915</v>
      </c>
      <c r="D268" s="0" t="s">
        <v>4687</v>
      </c>
      <c r="E268" s="0" t="s">
        <v>4688</v>
      </c>
      <c r="I268" s="0" t="s">
        <v>152</v>
      </c>
      <c r="L268" s="0" t="s">
        <v>69</v>
      </c>
      <c r="M268" s="0" t="s">
        <v>29</v>
      </c>
      <c r="Q268" s="0" t="n">
        <v>3</v>
      </c>
      <c r="R268" s="0" t="n">
        <f aca="false">LEN(C268)+LEN(D268)+LEN(E268)+LEN(F268)+LEN(G268)+LEN(H268)</f>
        <v>19</v>
      </c>
    </row>
    <row r="269" customFormat="false" ht="15" hidden="false" customHeight="false" outlineLevel="0" collapsed="false">
      <c r="A269" s="0" t="s">
        <v>4689</v>
      </c>
      <c r="B269" s="0" t="s">
        <v>4306</v>
      </c>
      <c r="C269" s="3" t="n">
        <v>1915</v>
      </c>
      <c r="D269" s="0" t="s">
        <v>4690</v>
      </c>
      <c r="E269" s="0" t="s">
        <v>4691</v>
      </c>
      <c r="F269" s="0" t="s">
        <v>881</v>
      </c>
      <c r="I269" s="0" t="s">
        <v>152</v>
      </c>
      <c r="R269" s="0" t="n">
        <f aca="false">LEN(C269)+LEN(D269)+LEN(E269)+LEN(F269)+LEN(G269)+LEN(H269)</f>
        <v>20</v>
      </c>
    </row>
    <row r="270" customFormat="false" ht="15" hidden="false" customHeight="false" outlineLevel="0" collapsed="false">
      <c r="A270" s="0" t="s">
        <v>4692</v>
      </c>
      <c r="B270" s="0" t="s">
        <v>4306</v>
      </c>
      <c r="C270" s="3" t="n">
        <v>1915</v>
      </c>
      <c r="D270" s="0" t="s">
        <v>4693</v>
      </c>
      <c r="E270" s="0" t="s">
        <v>385</v>
      </c>
      <c r="I270" s="0" t="s">
        <v>152</v>
      </c>
      <c r="M270" s="0" t="s">
        <v>29</v>
      </c>
      <c r="R270" s="0" t="n">
        <f aca="false">LEN(C270)+LEN(D270)+LEN(E270)+LEN(F270)+LEN(G270)+LEN(H270)</f>
        <v>13</v>
      </c>
    </row>
    <row r="271" customFormat="false" ht="15" hidden="false" customHeight="false" outlineLevel="0" collapsed="false">
      <c r="A271" s="0" t="s">
        <v>4694</v>
      </c>
      <c r="B271" s="0" t="s">
        <v>4306</v>
      </c>
      <c r="C271" s="3" t="n">
        <v>1915</v>
      </c>
      <c r="D271" s="0" t="s">
        <v>4695</v>
      </c>
      <c r="E271" s="0" t="s">
        <v>4696</v>
      </c>
      <c r="I271" s="0" t="s">
        <v>152</v>
      </c>
      <c r="R271" s="0" t="n">
        <f aca="false">LEN(C271)+LEN(D271)+LEN(E271)+LEN(F271)+LEN(G271)+LEN(H271)</f>
        <v>16</v>
      </c>
    </row>
    <row r="272" customFormat="false" ht="15" hidden="false" customHeight="false" outlineLevel="0" collapsed="false">
      <c r="A272" s="0" t="s">
        <v>4697</v>
      </c>
      <c r="B272" s="0" t="s">
        <v>4306</v>
      </c>
      <c r="C272" s="3" t="n">
        <v>1915</v>
      </c>
      <c r="D272" s="0" t="s">
        <v>4698</v>
      </c>
      <c r="E272" s="0" t="s">
        <v>1564</v>
      </c>
      <c r="F272" s="0" t="s">
        <v>880</v>
      </c>
      <c r="G272" s="0" t="s">
        <v>4699</v>
      </c>
      <c r="I272" s="0" t="s">
        <v>152</v>
      </c>
      <c r="M272" s="0" t="s">
        <v>29</v>
      </c>
      <c r="N272" s="0" t="s">
        <v>29</v>
      </c>
      <c r="R272" s="0" t="n">
        <f aca="false">LEN(C272)+LEN(D272)+LEN(E272)+LEN(F272)+LEN(G272)+LEN(H272)</f>
        <v>22</v>
      </c>
    </row>
    <row r="273" customFormat="false" ht="15" hidden="false" customHeight="false" outlineLevel="0" collapsed="false">
      <c r="A273" s="0" t="s">
        <v>4700</v>
      </c>
      <c r="B273" s="0" t="s">
        <v>4701</v>
      </c>
      <c r="C273" s="0" t="n">
        <v>1926</v>
      </c>
      <c r="D273" s="0" t="s">
        <v>4659</v>
      </c>
      <c r="E273" s="0" t="s">
        <v>964</v>
      </c>
      <c r="F273" s="0" t="s">
        <v>23</v>
      </c>
      <c r="G273" s="0" t="s">
        <v>4702</v>
      </c>
      <c r="H273" s="0" t="s">
        <v>4703</v>
      </c>
      <c r="I273" s="0" t="s">
        <v>4704</v>
      </c>
      <c r="J273" s="0" t="s">
        <v>29</v>
      </c>
      <c r="R273" s="0" t="n">
        <f aca="false">LEN(C273)+LEN(D273)+LEN(E273)+LEN(F273)+LEN(G273)+LEN(H273)</f>
        <v>51</v>
      </c>
    </row>
    <row r="274" customFormat="false" ht="15" hidden="false" customHeight="false" outlineLevel="0" collapsed="false">
      <c r="A274" s="0" t="s">
        <v>4705</v>
      </c>
      <c r="B274" s="0" t="s">
        <v>4701</v>
      </c>
      <c r="C274" s="0" t="n">
        <v>1912</v>
      </c>
      <c r="D274" s="0" t="s">
        <v>4706</v>
      </c>
      <c r="E274" s="0" t="s">
        <v>69</v>
      </c>
      <c r="F274" s="0" t="s">
        <v>24</v>
      </c>
      <c r="G274" s="0" t="s">
        <v>3936</v>
      </c>
      <c r="H274" s="0" t="s">
        <v>4707</v>
      </c>
      <c r="I274" s="0" t="s">
        <v>4704</v>
      </c>
      <c r="N274" s="0" t="s">
        <v>29</v>
      </c>
      <c r="O274" s="0" t="s">
        <v>29</v>
      </c>
      <c r="R274" s="0" t="n">
        <f aca="false">LEN(C274)+LEN(D274)+LEN(E274)+LEN(F274)+LEN(G274)+LEN(H274)</f>
        <v>43</v>
      </c>
    </row>
    <row r="275" customFormat="false" ht="15" hidden="false" customHeight="false" outlineLevel="0" collapsed="false">
      <c r="A275" s="0" t="s">
        <v>4708</v>
      </c>
      <c r="B275" s="0" t="s">
        <v>4701</v>
      </c>
      <c r="C275" s="0" t="n">
        <v>1926</v>
      </c>
      <c r="D275" s="0" t="s">
        <v>4669</v>
      </c>
      <c r="E275" s="0" t="s">
        <v>962</v>
      </c>
      <c r="F275" s="0" t="s">
        <v>1267</v>
      </c>
      <c r="I275" s="0" t="s">
        <v>4709</v>
      </c>
      <c r="J275" s="0" t="s">
        <v>29</v>
      </c>
      <c r="R275" s="0" t="n">
        <f aca="false">LEN(C275)+LEN(D275)+LEN(E275)+LEN(F275)+LEN(G275)+LEN(H275)</f>
        <v>13</v>
      </c>
    </row>
    <row r="276" customFormat="false" ht="15" hidden="false" customHeight="false" outlineLevel="0" collapsed="false">
      <c r="A276" s="0" t="s">
        <v>4710</v>
      </c>
      <c r="B276" s="0" t="s">
        <v>4701</v>
      </c>
      <c r="C276" s="0" t="n">
        <v>1910</v>
      </c>
      <c r="D276" s="0" t="s">
        <v>4711</v>
      </c>
      <c r="E276" s="0" t="s">
        <v>1267</v>
      </c>
      <c r="G276" s="0" t="s">
        <v>3936</v>
      </c>
      <c r="H276" s="0" t="s">
        <v>4707</v>
      </c>
      <c r="I276" s="0" t="s">
        <v>4704</v>
      </c>
      <c r="N276" s="0" t="s">
        <v>29</v>
      </c>
      <c r="O276" s="0" t="s">
        <v>29</v>
      </c>
      <c r="R276" s="0" t="n">
        <f aca="false">LEN(C276)+LEN(D276)+LEN(E276)+LEN(F276)+LEN(G276)+LEN(H276)</f>
        <v>41</v>
      </c>
    </row>
    <row r="277" customFormat="false" ht="15" hidden="false" customHeight="false" outlineLevel="0" collapsed="false">
      <c r="A277" s="0" t="s">
        <v>4712</v>
      </c>
      <c r="B277" s="0" t="s">
        <v>4713</v>
      </c>
      <c r="C277" s="0" t="n">
        <v>1915</v>
      </c>
      <c r="D277" s="0" t="s">
        <v>4714</v>
      </c>
      <c r="E277" s="0" t="s">
        <v>526</v>
      </c>
      <c r="F277" s="0" t="s">
        <v>29</v>
      </c>
      <c r="G277" s="0" t="s">
        <v>3936</v>
      </c>
      <c r="H277" s="0" t="s">
        <v>4713</v>
      </c>
      <c r="I277" s="0" t="s">
        <v>4715</v>
      </c>
      <c r="N277" s="0" t="s">
        <v>29</v>
      </c>
      <c r="O277" s="0" t="s">
        <v>29</v>
      </c>
      <c r="R277" s="0" t="n">
        <f aca="false">LEN(C277)+LEN(D277)+LEN(E277)+LEN(F277)+LEN(G277)+LEN(H277)</f>
        <v>26</v>
      </c>
    </row>
    <row r="278" customFormat="false" ht="15" hidden="false" customHeight="false" outlineLevel="0" collapsed="false">
      <c r="A278" s="0" t="s">
        <v>4716</v>
      </c>
      <c r="B278" s="0" t="s">
        <v>4713</v>
      </c>
      <c r="C278" s="0" t="n">
        <v>1892</v>
      </c>
      <c r="D278" s="0" t="s">
        <v>4717</v>
      </c>
      <c r="E278" s="0" t="s">
        <v>881</v>
      </c>
      <c r="G278" s="0" t="s">
        <v>3936</v>
      </c>
      <c r="H278" s="0" t="s">
        <v>4713</v>
      </c>
      <c r="I278" s="0" t="s">
        <v>4715</v>
      </c>
      <c r="M278" s="0" t="s">
        <v>29</v>
      </c>
      <c r="R278" s="0" t="n">
        <f aca="false">LEN(C278)+LEN(D278)+LEN(E278)+LEN(F278)+LEN(G278)+LEN(H278)</f>
        <v>31</v>
      </c>
    </row>
    <row r="279" s="3" customFormat="true" ht="15" hidden="false" customHeight="false" outlineLevel="0" collapsed="false">
      <c r="A279" s="3" t="s">
        <v>4718</v>
      </c>
      <c r="B279" s="3" t="s">
        <v>4719</v>
      </c>
      <c r="C279" s="3" t="n">
        <v>1874</v>
      </c>
      <c r="D279" s="3" t="s">
        <v>4720</v>
      </c>
      <c r="E279" s="3" t="s">
        <v>4721</v>
      </c>
      <c r="F279" s="3" t="s">
        <v>4722</v>
      </c>
      <c r="G279" s="3" t="s">
        <v>4723</v>
      </c>
      <c r="H279" s="3" t="s">
        <v>4724</v>
      </c>
      <c r="I279" s="3" t="s">
        <v>4725</v>
      </c>
      <c r="R279" s="3" t="n">
        <f aca="false">LEN(C279)+LEN(D279)+LEN(E279)+LEN(F279)+LEN(G279)+LEN(H279)</f>
        <v>47</v>
      </c>
    </row>
    <row r="280" customFormat="false" ht="15" hidden="false" customHeight="false" outlineLevel="0" collapsed="false">
      <c r="A280" s="0" t="s">
        <v>4726</v>
      </c>
      <c r="B280" s="0" t="s">
        <v>4719</v>
      </c>
      <c r="C280" s="0" t="n">
        <v>1920</v>
      </c>
      <c r="D280" s="0" t="s">
        <v>4727</v>
      </c>
      <c r="E280" s="0" t="s">
        <v>3642</v>
      </c>
      <c r="F280" s="0" t="s">
        <v>4728</v>
      </c>
      <c r="I280" s="0" t="s">
        <v>4729</v>
      </c>
      <c r="J280" s="0" t="s">
        <v>29</v>
      </c>
      <c r="R280" s="0" t="n">
        <f aca="false">LEN(C280)+LEN(D280)+LEN(E280)+LEN(F280)+LEN(G280)+LEN(H280)</f>
        <v>22</v>
      </c>
    </row>
    <row r="281" customFormat="false" ht="15" hidden="false" customHeight="false" outlineLevel="0" collapsed="false">
      <c r="A281" s="0" t="s">
        <v>4730</v>
      </c>
      <c r="B281" s="0" t="s">
        <v>4719</v>
      </c>
      <c r="C281" s="0" t="n">
        <v>1854</v>
      </c>
      <c r="D281" s="0" t="s">
        <v>4731</v>
      </c>
      <c r="E281" s="0" t="s">
        <v>4732</v>
      </c>
      <c r="F281" s="0" t="s">
        <v>385</v>
      </c>
      <c r="H281" s="0" t="s">
        <v>4733</v>
      </c>
      <c r="I281" s="0" t="s">
        <v>32</v>
      </c>
      <c r="M281" s="0" t="s">
        <v>29</v>
      </c>
      <c r="R281" s="0" t="n">
        <f aca="false">LEN(C281)+LEN(D281)+LEN(E281)+LEN(F281)+LEN(G281)+LEN(H281)</f>
        <v>44</v>
      </c>
    </row>
    <row r="282" customFormat="false" ht="15" hidden="false" customHeight="false" outlineLevel="0" collapsed="false">
      <c r="A282" s="0" t="s">
        <v>4734</v>
      </c>
      <c r="B282" s="0" t="s">
        <v>4719</v>
      </c>
      <c r="C282" s="0" t="n">
        <v>1889</v>
      </c>
      <c r="D282" s="0" t="s">
        <v>4735</v>
      </c>
      <c r="E282" s="0" t="s">
        <v>2622</v>
      </c>
      <c r="F282" s="0" t="s">
        <v>1635</v>
      </c>
      <c r="H282" s="0" t="s">
        <v>4733</v>
      </c>
      <c r="I282" s="0" t="s">
        <v>32</v>
      </c>
      <c r="M282" s="0" t="s">
        <v>29</v>
      </c>
      <c r="R282" s="0" t="n">
        <f aca="false">LEN(C282)+LEN(D282)+LEN(E282)+LEN(F282)+LEN(G282)+LEN(H282)</f>
        <v>36</v>
      </c>
    </row>
    <row r="283" customFormat="false" ht="15" hidden="false" customHeight="false" outlineLevel="0" collapsed="false">
      <c r="A283" s="0" t="s">
        <v>4736</v>
      </c>
      <c r="B283" s="0" t="s">
        <v>4719</v>
      </c>
      <c r="C283" s="0" t="n">
        <v>1896</v>
      </c>
      <c r="D283" s="0" t="s">
        <v>4737</v>
      </c>
      <c r="E283" s="0" t="s">
        <v>212</v>
      </c>
      <c r="F283" s="0" t="s">
        <v>1635</v>
      </c>
      <c r="G283" s="0" t="s">
        <v>4738</v>
      </c>
      <c r="H283" s="0" t="s">
        <v>4739</v>
      </c>
      <c r="I283" s="0" t="s">
        <v>4740</v>
      </c>
      <c r="J283" s="0" t="s">
        <v>29</v>
      </c>
      <c r="O283" s="0" t="s">
        <v>29</v>
      </c>
      <c r="R283" s="0" t="n">
        <f aca="false">LEN(C283)+LEN(D283)+LEN(E283)+LEN(F283)+LEN(G283)+LEN(H283)</f>
        <v>51</v>
      </c>
    </row>
    <row r="284" s="3" customFormat="true" ht="15" hidden="false" customHeight="false" outlineLevel="0" collapsed="false">
      <c r="A284" s="3" t="s">
        <v>4741</v>
      </c>
      <c r="B284" s="3" t="s">
        <v>4719</v>
      </c>
      <c r="C284" s="3" t="n">
        <v>1895</v>
      </c>
      <c r="D284" s="3" t="s">
        <v>4742</v>
      </c>
      <c r="E284" s="3" t="s">
        <v>4743</v>
      </c>
      <c r="G284" s="3" t="s">
        <v>4744</v>
      </c>
      <c r="H284" s="3" t="s">
        <v>4745</v>
      </c>
      <c r="I284" s="3" t="s">
        <v>4745</v>
      </c>
      <c r="R284" s="3" t="n">
        <f aca="false">LEN(C284)+LEN(D284)+LEN(E284)+LEN(F284)+LEN(G284)+LEN(H284)</f>
        <v>25</v>
      </c>
    </row>
    <row r="285" customFormat="false" ht="15" hidden="false" customHeight="false" outlineLevel="0" collapsed="false">
      <c r="A285" s="0" t="s">
        <v>4746</v>
      </c>
      <c r="B285" s="0" t="s">
        <v>4719</v>
      </c>
      <c r="C285" s="0" t="n">
        <v>1910</v>
      </c>
      <c r="D285" s="0" t="s">
        <v>4747</v>
      </c>
      <c r="E285" s="0" t="s">
        <v>2712</v>
      </c>
      <c r="F285" s="0" t="s">
        <v>3928</v>
      </c>
      <c r="H285" s="0" t="s">
        <v>4733</v>
      </c>
      <c r="I285" s="0" t="s">
        <v>32</v>
      </c>
      <c r="K285" s="0" t="s">
        <v>69</v>
      </c>
      <c r="M285" s="0" t="s">
        <v>29</v>
      </c>
      <c r="N285" s="0" t="s">
        <v>29</v>
      </c>
      <c r="Q285" s="0" t="n">
        <v>1</v>
      </c>
      <c r="R285" s="0" t="n">
        <f aca="false">LEN(C285)+LEN(D285)+LEN(E285)+LEN(F285)+LEN(G285)+LEN(H285)</f>
        <v>41</v>
      </c>
    </row>
    <row r="286" s="3" customFormat="true" ht="15" hidden="false" customHeight="false" outlineLevel="0" collapsed="false">
      <c r="A286" s="3" t="s">
        <v>4748</v>
      </c>
      <c r="B286" s="3" t="s">
        <v>4719</v>
      </c>
      <c r="C286" s="3" t="n">
        <v>1907</v>
      </c>
      <c r="D286" s="3" t="s">
        <v>4749</v>
      </c>
      <c r="E286" s="3" t="s">
        <v>4742</v>
      </c>
      <c r="G286" s="3" t="s">
        <v>1357</v>
      </c>
      <c r="H286" s="3" t="s">
        <v>4750</v>
      </c>
      <c r="I286" s="3" t="s">
        <v>4751</v>
      </c>
      <c r="R286" s="3" t="n">
        <f aca="false">LEN(C286)+LEN(D286)+LEN(E286)+LEN(F286)+LEN(G286)+LEN(H286)</f>
        <v>29</v>
      </c>
    </row>
    <row r="287" customFormat="false" ht="15" hidden="false" customHeight="false" outlineLevel="0" collapsed="false">
      <c r="A287" s="0" t="s">
        <v>4752</v>
      </c>
      <c r="B287" s="0" t="s">
        <v>4719</v>
      </c>
      <c r="C287" s="0" t="n">
        <v>1900</v>
      </c>
      <c r="D287" s="0" t="s">
        <v>4753</v>
      </c>
      <c r="E287" s="0" t="s">
        <v>4621</v>
      </c>
      <c r="F287" s="0" t="s">
        <v>4754</v>
      </c>
      <c r="H287" s="0" t="s">
        <v>4733</v>
      </c>
      <c r="I287" s="0" t="s">
        <v>32</v>
      </c>
      <c r="N287" s="0" t="s">
        <v>29</v>
      </c>
      <c r="R287" s="0" t="n">
        <f aca="false">LEN(C287)+LEN(D287)+LEN(E287)+LEN(F287)+LEN(G287)+LEN(H287)</f>
        <v>40</v>
      </c>
    </row>
    <row r="288" customFormat="false" ht="15" hidden="false" customHeight="false" outlineLevel="0" collapsed="false">
      <c r="A288" s="0" t="s">
        <v>4755</v>
      </c>
      <c r="B288" s="0" t="s">
        <v>4719</v>
      </c>
      <c r="C288" s="0" t="n">
        <v>1896</v>
      </c>
      <c r="D288" s="0" t="s">
        <v>4756</v>
      </c>
      <c r="E288" s="0" t="s">
        <v>4757</v>
      </c>
      <c r="F288" s="0" t="s">
        <v>4691</v>
      </c>
      <c r="H288" s="0" t="s">
        <v>4733</v>
      </c>
      <c r="I288" s="0" t="s">
        <v>152</v>
      </c>
      <c r="J288" s="0" t="s">
        <v>29</v>
      </c>
      <c r="K288" s="0" t="s">
        <v>29</v>
      </c>
      <c r="L288" s="0" t="s">
        <v>29</v>
      </c>
      <c r="M288" s="0" t="s">
        <v>29</v>
      </c>
      <c r="N288" s="0" t="s">
        <v>29</v>
      </c>
      <c r="R288" s="0" t="n">
        <f aca="false">LEN(C288)+LEN(D288)+LEN(E288)+LEN(F288)+LEN(G288)+LEN(H288)</f>
        <v>41</v>
      </c>
    </row>
    <row r="289" customFormat="false" ht="15" hidden="false" customHeight="false" outlineLevel="0" collapsed="false">
      <c r="A289" s="0" t="s">
        <v>4758</v>
      </c>
      <c r="B289" s="0" t="s">
        <v>4719</v>
      </c>
      <c r="C289" s="0" t="n">
        <v>1861</v>
      </c>
      <c r="D289" s="0" t="s">
        <v>4759</v>
      </c>
      <c r="E289" s="0" t="s">
        <v>4760</v>
      </c>
      <c r="F289" s="0" t="s">
        <v>1391</v>
      </c>
      <c r="H289" s="0" t="s">
        <v>4733</v>
      </c>
      <c r="I289" s="0" t="s">
        <v>32</v>
      </c>
      <c r="N289" s="0" t="s">
        <v>29</v>
      </c>
      <c r="R289" s="0" t="n">
        <f aca="false">LEN(C289)+LEN(D289)+LEN(E289)+LEN(F289)+LEN(G289)+LEN(H289)</f>
        <v>35</v>
      </c>
    </row>
    <row r="290" customFormat="false" ht="15" hidden="false" customHeight="false" outlineLevel="0" collapsed="false">
      <c r="A290" s="0" t="s">
        <v>4761</v>
      </c>
      <c r="B290" s="0" t="s">
        <v>4719</v>
      </c>
      <c r="C290" s="9" t="n">
        <v>1896</v>
      </c>
      <c r="D290" s="0" t="s">
        <v>4762</v>
      </c>
      <c r="E290" s="0" t="s">
        <v>2416</v>
      </c>
      <c r="F290" s="0" t="s">
        <v>4763</v>
      </c>
      <c r="H290" s="0" t="s">
        <v>4764</v>
      </c>
      <c r="I290" s="0" t="s">
        <v>152</v>
      </c>
      <c r="J290" s="0" t="s">
        <v>29</v>
      </c>
      <c r="K290" s="0" t="s">
        <v>69</v>
      </c>
      <c r="N290" s="0" t="s">
        <v>29</v>
      </c>
      <c r="O290" s="0" t="s">
        <v>29</v>
      </c>
      <c r="Q290" s="0" t="n">
        <v>1</v>
      </c>
      <c r="R290" s="0" t="n">
        <f aca="false">LEN(C290)+LEN(D290)+LEN(E290)+LEN(F290)+LEN(G290)+LEN(H290)</f>
        <v>37</v>
      </c>
    </row>
    <row r="291" customFormat="false" ht="15" hidden="false" customHeight="false" outlineLevel="0" collapsed="false">
      <c r="A291" s="0" t="s">
        <v>4765</v>
      </c>
      <c r="B291" s="0" t="s">
        <v>4719</v>
      </c>
      <c r="C291" s="9" t="n">
        <v>1896</v>
      </c>
      <c r="D291" s="0" t="s">
        <v>4766</v>
      </c>
      <c r="E291" s="0" t="s">
        <v>4760</v>
      </c>
      <c r="F291" s="0" t="s">
        <v>2202</v>
      </c>
      <c r="I291" s="0" t="s">
        <v>152</v>
      </c>
      <c r="J291" s="0" t="s">
        <v>29</v>
      </c>
      <c r="M291" s="0" t="s">
        <v>29</v>
      </c>
      <c r="N291" s="0" t="s">
        <v>29</v>
      </c>
      <c r="O291" s="0" t="s">
        <v>29</v>
      </c>
      <c r="R291" s="0" t="n">
        <f aca="false">LEN(C291)+LEN(D291)+LEN(E291)+LEN(F291)+LEN(G291)+LEN(H291)</f>
        <v>17</v>
      </c>
    </row>
    <row r="292" customFormat="false" ht="15" hidden="false" customHeight="false" outlineLevel="0" collapsed="false">
      <c r="A292" s="0" t="s">
        <v>4767</v>
      </c>
      <c r="B292" s="0" t="s">
        <v>4719</v>
      </c>
      <c r="C292" s="9" t="n">
        <v>1896</v>
      </c>
      <c r="D292" s="0" t="s">
        <v>4768</v>
      </c>
      <c r="E292" s="0" t="s">
        <v>324</v>
      </c>
      <c r="F292" s="0" t="s">
        <v>3849</v>
      </c>
      <c r="G292" s="0" t="s">
        <v>4769</v>
      </c>
      <c r="I292" s="0" t="s">
        <v>141</v>
      </c>
      <c r="J292" s="0" t="s">
        <v>29</v>
      </c>
      <c r="N292" s="0" t="s">
        <v>29</v>
      </c>
      <c r="O292" s="0" t="s">
        <v>29</v>
      </c>
      <c r="R292" s="0" t="n">
        <f aca="false">LEN(C292)+LEN(D292)+LEN(E292)+LEN(F292)+LEN(G292)+LEN(H292)</f>
        <v>31</v>
      </c>
    </row>
    <row r="293" s="3" customFormat="true" ht="15" hidden="false" customHeight="false" outlineLevel="0" collapsed="false">
      <c r="A293" s="3" t="s">
        <v>4770</v>
      </c>
      <c r="B293" s="3" t="s">
        <v>4719</v>
      </c>
      <c r="C293" s="9" t="n">
        <v>1896</v>
      </c>
      <c r="D293" s="3" t="s">
        <v>4771</v>
      </c>
      <c r="E293" s="3" t="s">
        <v>4772</v>
      </c>
      <c r="F293" s="3" t="s">
        <v>4773</v>
      </c>
      <c r="G293" s="3" t="s">
        <v>4774</v>
      </c>
      <c r="I293" s="3" t="s">
        <v>32</v>
      </c>
      <c r="R293" s="3" t="n">
        <f aca="false">LEN(C293)+LEN(D293)+LEN(E293)+LEN(F293)+LEN(G293)+LEN(H293)</f>
        <v>21</v>
      </c>
    </row>
    <row r="294" customFormat="false" ht="15" hidden="false" customHeight="false" outlineLevel="0" collapsed="false">
      <c r="A294" s="0" t="s">
        <v>4775</v>
      </c>
      <c r="B294" s="0" t="s">
        <v>4719</v>
      </c>
      <c r="C294" s="9" t="n">
        <v>1896</v>
      </c>
      <c r="D294" s="0" t="s">
        <v>4776</v>
      </c>
      <c r="E294" s="0" t="s">
        <v>563</v>
      </c>
      <c r="F294" s="0" t="s">
        <v>29</v>
      </c>
      <c r="I294" s="0" t="s">
        <v>4777</v>
      </c>
      <c r="J294" s="0" t="s">
        <v>29</v>
      </c>
      <c r="N294" s="0" t="s">
        <v>29</v>
      </c>
      <c r="O294" s="0" t="s">
        <v>29</v>
      </c>
      <c r="R294" s="0" t="n">
        <f aca="false">LEN(C294)+LEN(D294)+LEN(E294)+LEN(F294)+LEN(G294)+LEN(H294)</f>
        <v>20</v>
      </c>
    </row>
    <row r="295" customFormat="false" ht="15" hidden="false" customHeight="false" outlineLevel="0" collapsed="false">
      <c r="A295" s="0" t="s">
        <v>4778</v>
      </c>
      <c r="B295" s="0" t="s">
        <v>4719</v>
      </c>
      <c r="C295" s="9" t="n">
        <v>1896</v>
      </c>
      <c r="D295" s="0" t="s">
        <v>4779</v>
      </c>
      <c r="E295" s="0" t="s">
        <v>3801</v>
      </c>
      <c r="H295" s="0" t="s">
        <v>4780</v>
      </c>
      <c r="I295" s="0" t="s">
        <v>4745</v>
      </c>
      <c r="J295" s="0" t="s">
        <v>29</v>
      </c>
      <c r="N295" s="0" t="s">
        <v>29</v>
      </c>
      <c r="O295" s="0" t="s">
        <v>29</v>
      </c>
      <c r="R295" s="0" t="n">
        <f aca="false">LEN(C295)+LEN(D295)+LEN(E295)+LEN(F295)+LEN(G295)+LEN(H295)</f>
        <v>44</v>
      </c>
    </row>
    <row r="296" customFormat="false" ht="15" hidden="false" customHeight="false" outlineLevel="0" collapsed="false">
      <c r="A296" s="0" t="s">
        <v>4781</v>
      </c>
      <c r="B296" s="0" t="s">
        <v>4719</v>
      </c>
      <c r="C296" s="9" t="n">
        <v>1896</v>
      </c>
      <c r="D296" s="0" t="s">
        <v>4782</v>
      </c>
      <c r="E296" s="0" t="s">
        <v>4783</v>
      </c>
      <c r="F296" s="0" t="s">
        <v>4784</v>
      </c>
      <c r="G296" s="0" t="s">
        <v>4785</v>
      </c>
      <c r="H296" s="0" t="s">
        <v>4786</v>
      </c>
      <c r="I296" s="0" t="s">
        <v>152</v>
      </c>
      <c r="J296" s="0" t="s">
        <v>29</v>
      </c>
      <c r="K296" s="0" t="s">
        <v>29</v>
      </c>
      <c r="L296" s="0" t="s">
        <v>29</v>
      </c>
      <c r="M296" s="0" t="s">
        <v>29</v>
      </c>
      <c r="N296" s="0" t="s">
        <v>29</v>
      </c>
      <c r="O296" s="0" t="s">
        <v>29</v>
      </c>
      <c r="R296" s="0" t="n">
        <f aca="false">LEN(C296)+LEN(D296)+LEN(E296)+LEN(F296)+LEN(G296)+LEN(H296)</f>
        <v>34</v>
      </c>
    </row>
    <row r="297" customFormat="false" ht="15" hidden="false" customHeight="false" outlineLevel="0" collapsed="false">
      <c r="A297" s="0" t="s">
        <v>4787</v>
      </c>
      <c r="B297" s="0" t="s">
        <v>4719</v>
      </c>
      <c r="C297" s="9" t="n">
        <v>1896</v>
      </c>
      <c r="D297" s="0" t="s">
        <v>4788</v>
      </c>
      <c r="E297" s="0" t="s">
        <v>4420</v>
      </c>
      <c r="F297" s="0" t="s">
        <v>3928</v>
      </c>
      <c r="H297" s="0" t="s">
        <v>4789</v>
      </c>
      <c r="I297" s="0" t="s">
        <v>152</v>
      </c>
      <c r="J297" s="0" t="s">
        <v>29</v>
      </c>
      <c r="M297" s="0" t="s">
        <v>29</v>
      </c>
      <c r="N297" s="0" t="s">
        <v>29</v>
      </c>
      <c r="O297" s="0" t="s">
        <v>29</v>
      </c>
      <c r="R297" s="0" t="n">
        <f aca="false">LEN(C297)+LEN(D297)+LEN(E297)+LEN(F297)+LEN(G297)+LEN(H297)</f>
        <v>27</v>
      </c>
    </row>
    <row r="298" customFormat="false" ht="15" hidden="false" customHeight="false" outlineLevel="0" collapsed="false">
      <c r="A298" s="0" t="s">
        <v>4790</v>
      </c>
      <c r="B298" s="0" t="s">
        <v>4719</v>
      </c>
      <c r="C298" s="9" t="n">
        <v>1896</v>
      </c>
      <c r="D298" s="0" t="s">
        <v>4791</v>
      </c>
      <c r="E298" s="0" t="s">
        <v>1734</v>
      </c>
      <c r="F298" s="0" t="s">
        <v>4183</v>
      </c>
      <c r="I298" s="0" t="s">
        <v>4792</v>
      </c>
      <c r="J298" s="0" t="s">
        <v>29</v>
      </c>
      <c r="K298" s="0" t="s">
        <v>69</v>
      </c>
      <c r="N298" s="0" t="s">
        <v>29</v>
      </c>
      <c r="O298" s="0" t="s">
        <v>29</v>
      </c>
      <c r="Q298" s="0" t="n">
        <v>1</v>
      </c>
      <c r="R298" s="0" t="n">
        <f aca="false">LEN(C298)+LEN(D298)+LEN(E298)+LEN(F298)+LEN(G298)+LEN(H298)</f>
        <v>25</v>
      </c>
    </row>
    <row r="299" customFormat="false" ht="15" hidden="false" customHeight="false" outlineLevel="0" collapsed="false">
      <c r="A299" s="0" t="s">
        <v>4793</v>
      </c>
      <c r="B299" s="0" t="s">
        <v>4719</v>
      </c>
      <c r="C299" s="9" t="n">
        <v>1896</v>
      </c>
      <c r="D299" s="0" t="s">
        <v>4794</v>
      </c>
      <c r="E299" s="0" t="s">
        <v>4795</v>
      </c>
      <c r="F299" s="0" t="s">
        <v>2217</v>
      </c>
      <c r="G299" s="0" t="s">
        <v>4796</v>
      </c>
      <c r="I299" s="0" t="s">
        <v>4797</v>
      </c>
      <c r="J299" s="0" t="s">
        <v>29</v>
      </c>
      <c r="N299" s="0" t="s">
        <v>29</v>
      </c>
      <c r="O299" s="0" t="s">
        <v>29</v>
      </c>
      <c r="R299" s="0" t="n">
        <f aca="false">LEN(C299)+LEN(D299)+LEN(E299)+LEN(F299)+LEN(G299)+LEN(H299)</f>
        <v>27</v>
      </c>
    </row>
    <row r="300" customFormat="false" ht="15" hidden="false" customHeight="false" outlineLevel="0" collapsed="false">
      <c r="A300" s="0" t="s">
        <v>4798</v>
      </c>
      <c r="B300" s="0" t="s">
        <v>4719</v>
      </c>
      <c r="C300" s="9" t="n">
        <v>1896</v>
      </c>
      <c r="D300" s="0" t="s">
        <v>4799</v>
      </c>
      <c r="E300" s="0" t="s">
        <v>3951</v>
      </c>
      <c r="F300" s="0" t="s">
        <v>393</v>
      </c>
      <c r="H300" s="0" t="s">
        <v>4800</v>
      </c>
      <c r="I300" s="0" t="s">
        <v>4801</v>
      </c>
      <c r="J300" s="0" t="s">
        <v>29</v>
      </c>
      <c r="N300" s="0" t="s">
        <v>29</v>
      </c>
      <c r="O300" s="0" t="s">
        <v>29</v>
      </c>
      <c r="R300" s="0" t="n">
        <f aca="false">LEN(C300)+LEN(D300)+LEN(E300)+LEN(F300)+LEN(G300)+LEN(H300)</f>
        <v>22</v>
      </c>
    </row>
    <row r="301" customFormat="false" ht="15" hidden="false" customHeight="false" outlineLevel="0" collapsed="false">
      <c r="A301" s="0" t="s">
        <v>4802</v>
      </c>
      <c r="B301" s="0" t="s">
        <v>4719</v>
      </c>
      <c r="C301" s="0" t="n">
        <v>1889</v>
      </c>
      <c r="D301" s="0" t="s">
        <v>4803</v>
      </c>
      <c r="E301" s="0" t="s">
        <v>1600</v>
      </c>
      <c r="F301" s="0" t="s">
        <v>24</v>
      </c>
      <c r="H301" s="0" t="s">
        <v>4733</v>
      </c>
      <c r="I301" s="0" t="s">
        <v>32</v>
      </c>
      <c r="N301" s="0" t="s">
        <v>29</v>
      </c>
      <c r="R301" s="0" t="n">
        <f aca="false">LEN(C301)+LEN(D301)+LEN(E301)+LEN(F301)+LEN(G301)+LEN(H301)</f>
        <v>39</v>
      </c>
    </row>
    <row r="302" customFormat="false" ht="15" hidden="false" customHeight="false" outlineLevel="0" collapsed="false">
      <c r="A302" s="0" t="s">
        <v>4804</v>
      </c>
      <c r="B302" s="0" t="s">
        <v>4719</v>
      </c>
      <c r="C302" s="0" t="n">
        <v>1851</v>
      </c>
      <c r="D302" s="0" t="s">
        <v>4805</v>
      </c>
      <c r="E302" s="0" t="s">
        <v>1600</v>
      </c>
      <c r="G302" s="0" t="s">
        <v>3936</v>
      </c>
      <c r="H302" s="0" t="s">
        <v>4733</v>
      </c>
      <c r="I302" s="0" t="s">
        <v>32</v>
      </c>
      <c r="R302" s="0" t="n">
        <f aca="false">LEN(C302)+LEN(D302)+LEN(E302)+LEN(F302)+LEN(G302)+LEN(H302)</f>
        <v>46</v>
      </c>
    </row>
    <row r="303" customFormat="false" ht="15" hidden="false" customHeight="false" outlineLevel="0" collapsed="false">
      <c r="A303" s="0" t="s">
        <v>4806</v>
      </c>
      <c r="B303" s="0" t="s">
        <v>4719</v>
      </c>
      <c r="C303" s="0" t="n">
        <v>1886</v>
      </c>
      <c r="D303" s="0" t="s">
        <v>4807</v>
      </c>
      <c r="E303" s="0" t="s">
        <v>4808</v>
      </c>
      <c r="F303" s="0" t="s">
        <v>1671</v>
      </c>
      <c r="H303" s="0" t="s">
        <v>4733</v>
      </c>
      <c r="I303" s="0" t="s">
        <v>32</v>
      </c>
      <c r="N303" s="0" t="s">
        <v>29</v>
      </c>
      <c r="R303" s="0" t="n">
        <f aca="false">LEN(C303)+LEN(D303)+LEN(E303)+LEN(F303)+LEN(G303)+LEN(H303)</f>
        <v>41</v>
      </c>
    </row>
    <row r="304" customFormat="false" ht="15" hidden="false" customHeight="false" outlineLevel="0" collapsed="false">
      <c r="A304" s="0" t="s">
        <v>4809</v>
      </c>
      <c r="B304" s="0" t="s">
        <v>4719</v>
      </c>
      <c r="C304" s="0" t="n">
        <v>1888</v>
      </c>
      <c r="D304" s="0" t="s">
        <v>4810</v>
      </c>
      <c r="E304" s="0" t="s">
        <v>4811</v>
      </c>
      <c r="F304" s="0" t="s">
        <v>526</v>
      </c>
      <c r="G304" s="0" t="s">
        <v>3936</v>
      </c>
      <c r="H304" s="0" t="s">
        <v>4733</v>
      </c>
      <c r="I304" s="0" t="s">
        <v>32</v>
      </c>
      <c r="R304" s="0" t="n">
        <f aca="false">LEN(C304)+LEN(D304)+LEN(E304)+LEN(F304)+LEN(G304)+LEN(H304)</f>
        <v>52</v>
      </c>
    </row>
    <row r="305" s="3" customFormat="true" ht="15" hidden="false" customHeight="false" outlineLevel="0" collapsed="false">
      <c r="A305" s="3" t="s">
        <v>4812</v>
      </c>
      <c r="B305" s="3" t="s">
        <v>4719</v>
      </c>
      <c r="C305" s="3" t="n">
        <v>1898</v>
      </c>
      <c r="D305" s="3" t="s">
        <v>4743</v>
      </c>
      <c r="E305" s="3" t="s">
        <v>4813</v>
      </c>
      <c r="G305" s="3" t="s">
        <v>4448</v>
      </c>
      <c r="I305" s="3" t="s">
        <v>4701</v>
      </c>
      <c r="R305" s="3" t="n">
        <f aca="false">LEN(C305)+LEN(D305)+LEN(E305)+LEN(F305)+LEN(G305)+LEN(H305)</f>
        <v>20</v>
      </c>
    </row>
    <row r="306" customFormat="false" ht="15" hidden="false" customHeight="false" outlineLevel="0" collapsed="false">
      <c r="A306" s="0" t="s">
        <v>4814</v>
      </c>
      <c r="B306" s="0" t="s">
        <v>4719</v>
      </c>
      <c r="C306" s="0" t="n">
        <v>1920</v>
      </c>
      <c r="D306" s="0" t="s">
        <v>4815</v>
      </c>
      <c r="E306" s="0" t="s">
        <v>385</v>
      </c>
      <c r="F306" s="0" t="s">
        <v>962</v>
      </c>
      <c r="H306" s="0" t="s">
        <v>4816</v>
      </c>
      <c r="I306" s="0" t="s">
        <v>44</v>
      </c>
      <c r="N306" s="0" t="s">
        <v>29</v>
      </c>
      <c r="R306" s="0" t="n">
        <f aca="false">LEN(C306)+LEN(D306)+LEN(E306)+LEN(F306)+LEN(G306)+LEN(H306)</f>
        <v>41</v>
      </c>
    </row>
    <row r="307" customFormat="false" ht="15" hidden="false" customHeight="false" outlineLevel="0" collapsed="false">
      <c r="A307" s="0" t="s">
        <v>4817</v>
      </c>
      <c r="B307" s="0" t="s">
        <v>4719</v>
      </c>
      <c r="C307" s="0" t="n">
        <v>1870</v>
      </c>
      <c r="D307" s="0" t="s">
        <v>110</v>
      </c>
      <c r="E307" s="0" t="s">
        <v>4818</v>
      </c>
      <c r="F307" s="0" t="s">
        <v>3928</v>
      </c>
      <c r="H307" s="0" t="s">
        <v>4733</v>
      </c>
      <c r="I307" s="0" t="s">
        <v>32</v>
      </c>
      <c r="N307" s="0" t="s">
        <v>29</v>
      </c>
      <c r="R307" s="0" t="n">
        <f aca="false">LEN(C307)+LEN(D307)+LEN(E307)+LEN(F307)+LEN(G307)+LEN(H307)</f>
        <v>38</v>
      </c>
    </row>
    <row r="308" s="3" customFormat="true" ht="15" hidden="false" customHeight="false" outlineLevel="0" collapsed="false">
      <c r="A308" s="3" t="s">
        <v>4819</v>
      </c>
      <c r="B308" s="3" t="s">
        <v>4719</v>
      </c>
      <c r="C308" s="3" t="n">
        <v>1919</v>
      </c>
      <c r="D308" s="3" t="s">
        <v>4820</v>
      </c>
      <c r="E308" s="3" t="s">
        <v>4743</v>
      </c>
      <c r="G308" s="3" t="s">
        <v>3199</v>
      </c>
      <c r="H308" s="3" t="s">
        <v>4821</v>
      </c>
      <c r="I308" s="3" t="s">
        <v>4822</v>
      </c>
      <c r="R308" s="3" t="n">
        <f aca="false">LEN(C308)+LEN(D308)+LEN(E308)+LEN(F308)+LEN(G308)+LEN(H308)</f>
        <v>32</v>
      </c>
    </row>
    <row r="309" s="3" customFormat="true" ht="15" hidden="false" customHeight="false" outlineLevel="0" collapsed="false">
      <c r="A309" s="3" t="s">
        <v>4823</v>
      </c>
      <c r="B309" s="3" t="s">
        <v>4719</v>
      </c>
      <c r="C309" s="3" t="n">
        <v>1920</v>
      </c>
      <c r="D309" s="3" t="s">
        <v>4720</v>
      </c>
      <c r="E309" s="3" t="s">
        <v>4824</v>
      </c>
      <c r="F309" s="3" t="s">
        <v>4825</v>
      </c>
      <c r="I309" s="3" t="s">
        <v>4826</v>
      </c>
      <c r="R309" s="3" t="n">
        <f aca="false">LEN(C309)+LEN(D309)+LEN(E309)+LEN(F309)+LEN(G309)+LEN(H309)</f>
        <v>23</v>
      </c>
    </row>
    <row r="310" customFormat="false" ht="15" hidden="false" customHeight="false" outlineLevel="0" collapsed="false">
      <c r="A310" s="0" t="s">
        <v>4827</v>
      </c>
      <c r="B310" s="0" t="s">
        <v>4719</v>
      </c>
      <c r="C310" s="0" t="n">
        <v>1889</v>
      </c>
      <c r="D310" s="0" t="s">
        <v>1337</v>
      </c>
      <c r="E310" s="0" t="s">
        <v>2217</v>
      </c>
      <c r="G310" s="0" t="s">
        <v>882</v>
      </c>
      <c r="H310" s="0" t="s">
        <v>4828</v>
      </c>
      <c r="I310" s="0" t="s">
        <v>4829</v>
      </c>
      <c r="O310" s="0" t="s">
        <v>29</v>
      </c>
      <c r="R310" s="0" t="n">
        <f aca="false">LEN(C310)+LEN(D310)+LEN(E310)+LEN(F310)+LEN(G310)+LEN(H310)</f>
        <v>45</v>
      </c>
    </row>
    <row r="311" customFormat="false" ht="15" hidden="false" customHeight="false" outlineLevel="0" collapsed="false">
      <c r="A311" s="0" t="s">
        <v>4830</v>
      </c>
      <c r="B311" s="0" t="s">
        <v>4719</v>
      </c>
      <c r="C311" s="0" t="n">
        <v>1896</v>
      </c>
      <c r="D311" s="0" t="s">
        <v>4831</v>
      </c>
      <c r="E311" s="0" t="s">
        <v>4067</v>
      </c>
      <c r="F311" s="0" t="s">
        <v>4832</v>
      </c>
      <c r="I311" s="0" t="s">
        <v>4722</v>
      </c>
      <c r="J311" s="0" t="s">
        <v>29</v>
      </c>
      <c r="N311" s="0" t="s">
        <v>29</v>
      </c>
      <c r="O311" s="0" t="s">
        <v>29</v>
      </c>
      <c r="R311" s="0" t="n">
        <f aca="false">LEN(C311)+LEN(D311)+LEN(E311)+LEN(F311)+LEN(G311)+LEN(H311)</f>
        <v>25</v>
      </c>
    </row>
    <row r="312" s="3" customFormat="true" ht="15" hidden="false" customHeight="false" outlineLevel="0" collapsed="false">
      <c r="A312" s="3" t="s">
        <v>4833</v>
      </c>
      <c r="B312" s="3" t="s">
        <v>4719</v>
      </c>
      <c r="C312" s="3" t="n">
        <v>1907</v>
      </c>
      <c r="D312" s="3" t="s">
        <v>4820</v>
      </c>
      <c r="E312" s="3" t="s">
        <v>2122</v>
      </c>
      <c r="F312" s="3" t="s">
        <v>4834</v>
      </c>
      <c r="G312" s="3" t="s">
        <v>4835</v>
      </c>
      <c r="H312" s="3" t="s">
        <v>4836</v>
      </c>
      <c r="I312" s="3" t="s">
        <v>4837</v>
      </c>
      <c r="R312" s="3" t="n">
        <f aca="false">LEN(C312)+LEN(D312)+LEN(E312)+LEN(F312)+LEN(G312)+LEN(H312)</f>
        <v>49</v>
      </c>
    </row>
    <row r="313" customFormat="false" ht="15" hidden="false" customHeight="false" outlineLevel="0" collapsed="false">
      <c r="A313" s="0" t="s">
        <v>4838</v>
      </c>
      <c r="B313" s="0" t="s">
        <v>4719</v>
      </c>
      <c r="C313" s="0" t="n">
        <v>1912</v>
      </c>
      <c r="D313" s="0" t="s">
        <v>4839</v>
      </c>
      <c r="E313" s="0" t="s">
        <v>4665</v>
      </c>
      <c r="F313" s="0" t="s">
        <v>3928</v>
      </c>
      <c r="G313" s="0" t="s">
        <v>4448</v>
      </c>
      <c r="H313" s="0" t="s">
        <v>4840</v>
      </c>
      <c r="I313" s="0" t="s">
        <v>4841</v>
      </c>
      <c r="M313" s="0" t="s">
        <v>29</v>
      </c>
      <c r="N313" s="0" t="s">
        <v>29</v>
      </c>
      <c r="O313" s="0" t="s">
        <v>29</v>
      </c>
      <c r="R313" s="0" t="n">
        <f aca="false">LEN(C313)+LEN(D313)+LEN(E313)+LEN(F313)+LEN(G313)+LEN(H313)</f>
        <v>65</v>
      </c>
    </row>
    <row r="314" customFormat="false" ht="15" hidden="false" customHeight="false" outlineLevel="0" collapsed="false">
      <c r="A314" s="0" t="s">
        <v>4842</v>
      </c>
      <c r="B314" s="0" t="s">
        <v>4719</v>
      </c>
      <c r="C314" s="0" t="n">
        <v>1894</v>
      </c>
      <c r="D314" s="0" t="s">
        <v>4843</v>
      </c>
      <c r="E314" s="0" t="s">
        <v>4844</v>
      </c>
      <c r="F314" s="0" t="s">
        <v>4845</v>
      </c>
      <c r="G314" s="0" t="s">
        <v>882</v>
      </c>
      <c r="H314" s="0" t="s">
        <v>4846</v>
      </c>
      <c r="I314" s="0" t="s">
        <v>4847</v>
      </c>
      <c r="O314" s="0" t="s">
        <v>29</v>
      </c>
      <c r="R314" s="0" t="n">
        <f aca="false">LEN(C314)+LEN(D314)+LEN(E314)+LEN(F314)+LEN(G314)+LEN(H314)</f>
        <v>67</v>
      </c>
    </row>
    <row r="315" customFormat="false" ht="15" hidden="false" customHeight="false" outlineLevel="0" collapsed="false">
      <c r="A315" s="0" t="s">
        <v>4848</v>
      </c>
      <c r="B315" s="0" t="s">
        <v>4849</v>
      </c>
      <c r="C315" s="0" t="n">
        <v>1899</v>
      </c>
      <c r="D315" s="0" t="s">
        <v>4850</v>
      </c>
      <c r="E315" s="0" t="s">
        <v>1267</v>
      </c>
      <c r="F315" s="0" t="s">
        <v>962</v>
      </c>
      <c r="G315" s="0" t="s">
        <v>4851</v>
      </c>
      <c r="I315" s="0" t="s">
        <v>4852</v>
      </c>
      <c r="J315" s="0" t="s">
        <v>29</v>
      </c>
      <c r="K315" s="0" t="s">
        <v>69</v>
      </c>
      <c r="Q315" s="0" t="n">
        <v>1</v>
      </c>
      <c r="R315" s="0" t="n">
        <f aca="false">LEN(C315)+LEN(D315)+LEN(E315)+LEN(F315)+LEN(G315)+LEN(H315)</f>
        <v>20</v>
      </c>
    </row>
    <row r="316" customFormat="false" ht="15" hidden="false" customHeight="false" outlineLevel="0" collapsed="false">
      <c r="A316" s="0" t="s">
        <v>4853</v>
      </c>
      <c r="B316" s="0" t="s">
        <v>4849</v>
      </c>
      <c r="C316" s="0" t="n">
        <v>1896</v>
      </c>
      <c r="D316" s="0" t="s">
        <v>4854</v>
      </c>
      <c r="E316" s="0" t="s">
        <v>526</v>
      </c>
      <c r="F316" s="0" t="s">
        <v>393</v>
      </c>
      <c r="G316" s="0" t="s">
        <v>3936</v>
      </c>
      <c r="H316" s="0" t="s">
        <v>4855</v>
      </c>
      <c r="I316" s="0" t="s">
        <v>4855</v>
      </c>
      <c r="R316" s="0" t="n">
        <f aca="false">LEN(C316)+LEN(D316)+LEN(E316)+LEN(F316)+LEN(G316)+LEN(H316)</f>
        <v>37</v>
      </c>
    </row>
    <row r="317" customFormat="false" ht="15" hidden="false" customHeight="false" outlineLevel="0" collapsed="false">
      <c r="A317" s="0" t="s">
        <v>4856</v>
      </c>
      <c r="B317" s="0" t="s">
        <v>4849</v>
      </c>
      <c r="C317" s="0" t="n">
        <v>1899</v>
      </c>
      <c r="D317" s="0" t="s">
        <v>4857</v>
      </c>
      <c r="E317" s="0" t="s">
        <v>1267</v>
      </c>
      <c r="F317" s="0" t="s">
        <v>1635</v>
      </c>
      <c r="I317" s="0" t="s">
        <v>4858</v>
      </c>
      <c r="J317" s="0" t="s">
        <v>29</v>
      </c>
      <c r="N317" s="0" t="s">
        <v>29</v>
      </c>
      <c r="O317" s="0" t="s">
        <v>29</v>
      </c>
      <c r="R317" s="0" t="n">
        <f aca="false">LEN(C317)+LEN(D317)+LEN(E317)+LEN(F317)+LEN(G317)+LEN(H317)</f>
        <v>15</v>
      </c>
    </row>
    <row r="318" customFormat="false" ht="15" hidden="false" customHeight="false" outlineLevel="0" collapsed="false">
      <c r="A318" s="0" t="s">
        <v>4859</v>
      </c>
      <c r="B318" s="0" t="s">
        <v>4849</v>
      </c>
      <c r="C318" s="0" t="n">
        <v>1899</v>
      </c>
      <c r="D318" s="0" t="s">
        <v>4860</v>
      </c>
      <c r="E318" s="0" t="s">
        <v>962</v>
      </c>
      <c r="F318" s="0" t="s">
        <v>962</v>
      </c>
      <c r="I318" s="0" t="s">
        <v>4861</v>
      </c>
      <c r="J318" s="0" t="s">
        <v>29</v>
      </c>
      <c r="K318" s="0" t="s">
        <v>69</v>
      </c>
      <c r="N318" s="0" t="s">
        <v>29</v>
      </c>
      <c r="O318" s="0" t="s">
        <v>29</v>
      </c>
      <c r="Q318" s="0" t="n">
        <v>1</v>
      </c>
      <c r="R318" s="0" t="n">
        <f aca="false">LEN(C318)+LEN(D318)+LEN(E318)+LEN(F318)+LEN(G318)+LEN(H318)</f>
        <v>15</v>
      </c>
    </row>
    <row r="319" customFormat="false" ht="15" hidden="false" customHeight="false" outlineLevel="0" collapsed="false">
      <c r="A319" s="0" t="s">
        <v>4862</v>
      </c>
      <c r="B319" s="0" t="s">
        <v>4849</v>
      </c>
      <c r="C319" s="0" t="n">
        <v>1899</v>
      </c>
      <c r="D319" s="0" t="s">
        <v>4863</v>
      </c>
      <c r="E319" s="0" t="s">
        <v>394</v>
      </c>
      <c r="F319" s="0" t="s">
        <v>393</v>
      </c>
      <c r="G319" s="0" t="s">
        <v>3936</v>
      </c>
      <c r="H319" s="0" t="s">
        <v>4855</v>
      </c>
      <c r="I319" s="0" t="s">
        <v>4855</v>
      </c>
      <c r="R319" s="0" t="n">
        <f aca="false">LEN(C319)+LEN(D319)+LEN(E319)+LEN(F319)+LEN(G319)+LEN(H319)</f>
        <v>41</v>
      </c>
    </row>
    <row r="320" customFormat="false" ht="15" hidden="false" customHeight="false" outlineLevel="0" collapsed="false">
      <c r="A320" s="0" t="s">
        <v>4864</v>
      </c>
      <c r="B320" s="0" t="s">
        <v>4849</v>
      </c>
      <c r="C320" s="0" t="n">
        <v>1897</v>
      </c>
      <c r="D320" s="0" t="s">
        <v>4865</v>
      </c>
      <c r="E320" s="0" t="s">
        <v>394</v>
      </c>
      <c r="G320" s="0" t="s">
        <v>3936</v>
      </c>
      <c r="H320" s="0" t="s">
        <v>4855</v>
      </c>
      <c r="I320" s="0" t="s">
        <v>4855</v>
      </c>
      <c r="R320" s="0" t="n">
        <f aca="false">LEN(C320)+LEN(D320)+LEN(E320)+LEN(F320)+LEN(G320)+LEN(H320)</f>
        <v>37</v>
      </c>
    </row>
    <row r="321" customFormat="false" ht="15" hidden="false" customHeight="false" outlineLevel="0" collapsed="false">
      <c r="A321" s="0" t="s">
        <v>4866</v>
      </c>
      <c r="B321" s="0" t="s">
        <v>4849</v>
      </c>
      <c r="C321" s="0" t="n">
        <v>1899</v>
      </c>
      <c r="D321" s="0" t="s">
        <v>4867</v>
      </c>
      <c r="E321" s="0" t="s">
        <v>962</v>
      </c>
      <c r="F321" s="0" t="s">
        <v>1267</v>
      </c>
      <c r="G321" s="0" t="s">
        <v>3936</v>
      </c>
      <c r="H321" s="0" t="s">
        <v>4855</v>
      </c>
      <c r="I321" s="0" t="s">
        <v>4855</v>
      </c>
      <c r="R321" s="0" t="n">
        <f aca="false">LEN(C321)+LEN(D321)+LEN(E321)+LEN(F321)+LEN(G321)+LEN(H321)</f>
        <v>38</v>
      </c>
    </row>
    <row r="322" customFormat="false" ht="15" hidden="false" customHeight="false" outlineLevel="0" collapsed="false">
      <c r="A322" s="0" t="s">
        <v>4868</v>
      </c>
      <c r="B322" s="0" t="s">
        <v>4849</v>
      </c>
      <c r="C322" s="0" t="n">
        <v>1899</v>
      </c>
      <c r="D322" s="0" t="s">
        <v>4869</v>
      </c>
      <c r="E322" s="0" t="s">
        <v>24</v>
      </c>
      <c r="F322" s="0" t="s">
        <v>1671</v>
      </c>
      <c r="I322" s="0" t="s">
        <v>4870</v>
      </c>
      <c r="J322" s="0" t="s">
        <v>29</v>
      </c>
      <c r="K322" s="0" t="s">
        <v>69</v>
      </c>
      <c r="N322" s="0" t="s">
        <v>29</v>
      </c>
      <c r="O322" s="0" t="s">
        <v>29</v>
      </c>
      <c r="Q322" s="0" t="n">
        <v>1</v>
      </c>
      <c r="R322" s="0" t="n">
        <f aca="false">LEN(C322)+LEN(D322)+LEN(E322)+LEN(F322)+LEN(G322)+LEN(H322)</f>
        <v>13</v>
      </c>
    </row>
    <row r="323" customFormat="false" ht="15" hidden="false" customHeight="false" outlineLevel="0" collapsed="false">
      <c r="A323" s="0" t="s">
        <v>4871</v>
      </c>
      <c r="B323" s="0" t="s">
        <v>4849</v>
      </c>
      <c r="C323" s="0" t="n">
        <v>1899</v>
      </c>
      <c r="D323" s="0" t="s">
        <v>4872</v>
      </c>
      <c r="E323" s="0" t="s">
        <v>1391</v>
      </c>
      <c r="F323" s="0" t="s">
        <v>1407</v>
      </c>
      <c r="G323" s="0" t="s">
        <v>4873</v>
      </c>
      <c r="H323" s="0" t="s">
        <v>4874</v>
      </c>
      <c r="I323" s="0" t="s">
        <v>4874</v>
      </c>
      <c r="J323" s="0" t="s">
        <v>29</v>
      </c>
      <c r="R323" s="0" t="n">
        <f aca="false">LEN(C323)+LEN(D323)+LEN(E323)+LEN(F323)+LEN(G323)+LEN(H323)</f>
        <v>49</v>
      </c>
    </row>
    <row r="324" customFormat="false" ht="15" hidden="false" customHeight="false" outlineLevel="0" collapsed="false">
      <c r="A324" s="0" t="s">
        <v>4875</v>
      </c>
      <c r="B324" s="0" t="s">
        <v>4849</v>
      </c>
      <c r="C324" s="0" t="n">
        <v>1899</v>
      </c>
      <c r="D324" s="0" t="s">
        <v>4419</v>
      </c>
      <c r="E324" s="0" t="s">
        <v>1267</v>
      </c>
      <c r="F324" s="0" t="s">
        <v>881</v>
      </c>
      <c r="I324" s="0" t="s">
        <v>4876</v>
      </c>
      <c r="J324" s="0" t="s">
        <v>29</v>
      </c>
      <c r="N324" s="0" t="s">
        <v>29</v>
      </c>
      <c r="O324" s="0" t="s">
        <v>29</v>
      </c>
      <c r="R324" s="0" t="n">
        <f aca="false">LEN(C324)+LEN(D324)+LEN(E324)+LEN(F324)+LEN(G324)+LEN(H324)</f>
        <v>11</v>
      </c>
    </row>
    <row r="325" customFormat="false" ht="15" hidden="false" customHeight="false" outlineLevel="0" collapsed="false">
      <c r="A325" s="0" t="s">
        <v>4877</v>
      </c>
      <c r="B325" s="0" t="s">
        <v>4849</v>
      </c>
      <c r="C325" s="0" t="n">
        <v>1899</v>
      </c>
      <c r="D325" s="0" t="s">
        <v>4878</v>
      </c>
      <c r="E325" s="0" t="s">
        <v>1391</v>
      </c>
      <c r="F325" s="0" t="s">
        <v>1635</v>
      </c>
      <c r="I325" s="0" t="s">
        <v>4879</v>
      </c>
      <c r="J325" s="0" t="s">
        <v>29</v>
      </c>
      <c r="K325" s="0" t="s">
        <v>69</v>
      </c>
      <c r="N325" s="0" t="s">
        <v>29</v>
      </c>
      <c r="O325" s="0" t="s">
        <v>29</v>
      </c>
      <c r="Q325" s="0" t="n">
        <v>2</v>
      </c>
      <c r="R325" s="0" t="n">
        <f aca="false">LEN(C325)+LEN(D325)+LEN(E325)+LEN(F325)+LEN(G325)+LEN(H325)</f>
        <v>12</v>
      </c>
    </row>
    <row r="326" customFormat="false" ht="15" hidden="false" customHeight="false" outlineLevel="0" collapsed="false">
      <c r="A326" s="0" t="s">
        <v>4880</v>
      </c>
      <c r="B326" s="0" t="s">
        <v>4849</v>
      </c>
      <c r="C326" s="0" t="n">
        <v>1899</v>
      </c>
      <c r="D326" s="0" t="s">
        <v>4881</v>
      </c>
      <c r="E326" s="0" t="s">
        <v>29</v>
      </c>
      <c r="F326" s="0" t="s">
        <v>1407</v>
      </c>
      <c r="I326" s="0" t="s">
        <v>4882</v>
      </c>
      <c r="J326" s="0" t="s">
        <v>29</v>
      </c>
      <c r="N326" s="0" t="s">
        <v>29</v>
      </c>
      <c r="O326" s="0" t="s">
        <v>29</v>
      </c>
      <c r="R326" s="0" t="n">
        <f aca="false">LEN(C326)+LEN(D326)+LEN(E326)+LEN(F326)+LEN(G326)+LEN(H326)</f>
        <v>11</v>
      </c>
    </row>
    <row r="327" customFormat="false" ht="15" hidden="false" customHeight="false" outlineLevel="0" collapsed="false">
      <c r="A327" s="0" t="s">
        <v>4883</v>
      </c>
      <c r="B327" s="0" t="s">
        <v>4849</v>
      </c>
      <c r="C327" s="0" t="n">
        <v>1899</v>
      </c>
      <c r="D327" s="0" t="s">
        <v>4884</v>
      </c>
      <c r="E327" s="0" t="s">
        <v>563</v>
      </c>
      <c r="F327" s="0" t="s">
        <v>394</v>
      </c>
      <c r="I327" s="0" t="s">
        <v>4885</v>
      </c>
      <c r="J327" s="0" t="s">
        <v>29</v>
      </c>
      <c r="L327" s="0" t="s">
        <v>29</v>
      </c>
      <c r="N327" s="0" t="s">
        <v>29</v>
      </c>
      <c r="O327" s="0" t="s">
        <v>29</v>
      </c>
      <c r="R327" s="0" t="n">
        <f aca="false">LEN(C327)+LEN(D327)+LEN(E327)+LEN(F327)+LEN(G327)+LEN(H327)</f>
        <v>15</v>
      </c>
    </row>
    <row r="328" customFormat="false" ht="15" hidden="false" customHeight="false" outlineLevel="0" collapsed="false">
      <c r="A328" s="0" t="s">
        <v>4886</v>
      </c>
      <c r="B328" s="0" t="s">
        <v>4849</v>
      </c>
      <c r="C328" s="0" t="n">
        <v>1899</v>
      </c>
      <c r="D328" s="0" t="s">
        <v>4753</v>
      </c>
      <c r="E328" s="0" t="s">
        <v>964</v>
      </c>
      <c r="F328" s="0" t="s">
        <v>881</v>
      </c>
      <c r="I328" s="0" t="s">
        <v>4887</v>
      </c>
      <c r="J328" s="0" t="s">
        <v>29</v>
      </c>
      <c r="N328" s="0" t="s">
        <v>29</v>
      </c>
      <c r="O328" s="0" t="s">
        <v>29</v>
      </c>
      <c r="R328" s="0" t="n">
        <f aca="false">LEN(C328)+LEN(D328)+LEN(E328)+LEN(F328)+LEN(G328)+LEN(H328)</f>
        <v>11</v>
      </c>
    </row>
    <row r="329" customFormat="false" ht="15" hidden="false" customHeight="false" outlineLevel="0" collapsed="false">
      <c r="A329" s="0" t="s">
        <v>4888</v>
      </c>
      <c r="B329" s="0" t="s">
        <v>4849</v>
      </c>
      <c r="C329" s="0" t="n">
        <v>1899</v>
      </c>
      <c r="D329" s="0" t="s">
        <v>4889</v>
      </c>
      <c r="E329" s="0" t="s">
        <v>394</v>
      </c>
      <c r="F329" s="0" t="s">
        <v>880</v>
      </c>
      <c r="I329" s="0" t="s">
        <v>4858</v>
      </c>
      <c r="J329" s="0" t="s">
        <v>29</v>
      </c>
      <c r="N329" s="0" t="s">
        <v>29</v>
      </c>
      <c r="O329" s="0" t="s">
        <v>29</v>
      </c>
      <c r="R329" s="0" t="n">
        <f aca="false">LEN(C329)+LEN(D329)+LEN(E329)+LEN(F329)+LEN(G329)+LEN(H329)</f>
        <v>10</v>
      </c>
    </row>
    <row r="330" customFormat="false" ht="15" hidden="false" customHeight="false" outlineLevel="0" collapsed="false">
      <c r="A330" s="0" t="s">
        <v>4890</v>
      </c>
      <c r="B330" s="0" t="s">
        <v>4849</v>
      </c>
      <c r="C330" s="0" t="n">
        <v>1899</v>
      </c>
      <c r="D330" s="0" t="s">
        <v>4891</v>
      </c>
      <c r="E330" s="0" t="s">
        <v>1635</v>
      </c>
      <c r="I330" s="0" t="s">
        <v>4892</v>
      </c>
      <c r="J330" s="0" t="s">
        <v>29</v>
      </c>
      <c r="N330" s="0" t="s">
        <v>29</v>
      </c>
      <c r="O330" s="0" t="s">
        <v>29</v>
      </c>
      <c r="R330" s="0" t="n">
        <f aca="false">LEN(C330)+LEN(D330)+LEN(E330)+LEN(F330)+LEN(G330)+LEN(H330)</f>
        <v>9</v>
      </c>
    </row>
    <row r="331" customFormat="false" ht="15" hidden="false" customHeight="false" outlineLevel="0" collapsed="false">
      <c r="A331" s="0" t="s">
        <v>4893</v>
      </c>
      <c r="B331" s="0" t="s">
        <v>4894</v>
      </c>
      <c r="C331" s="0" t="n">
        <v>1906</v>
      </c>
      <c r="D331" s="0" t="s">
        <v>4895</v>
      </c>
      <c r="E331" s="0" t="s">
        <v>880</v>
      </c>
      <c r="F331" s="0" t="s">
        <v>29</v>
      </c>
      <c r="G331" s="0" t="s">
        <v>3936</v>
      </c>
      <c r="H331" s="0" t="s">
        <v>4894</v>
      </c>
      <c r="I331" s="0" t="s">
        <v>4896</v>
      </c>
      <c r="R331" s="0" t="n">
        <f aca="false">LEN(C331)+LEN(D331)+LEN(E331)+LEN(F331)+LEN(G331)+LEN(H331)</f>
        <v>25</v>
      </c>
    </row>
    <row r="332" customFormat="false" ht="15" hidden="false" customHeight="false" outlineLevel="0" collapsed="false">
      <c r="A332" s="0" t="s">
        <v>4897</v>
      </c>
      <c r="B332" s="0" t="s">
        <v>4894</v>
      </c>
      <c r="C332" s="0" t="n">
        <v>1912</v>
      </c>
      <c r="D332" s="0" t="s">
        <v>4898</v>
      </c>
      <c r="E332" s="0" t="s">
        <v>29</v>
      </c>
      <c r="F332" s="0" t="s">
        <v>24</v>
      </c>
      <c r="G332" s="0" t="s">
        <v>3936</v>
      </c>
      <c r="H332" s="0" t="s">
        <v>4894</v>
      </c>
      <c r="I332" s="0" t="s">
        <v>4896</v>
      </c>
      <c r="R332" s="0" t="n">
        <f aca="false">LEN(C332)+LEN(D332)+LEN(E332)+LEN(F332)+LEN(G332)+LEN(H332)</f>
        <v>25</v>
      </c>
    </row>
    <row r="333" customFormat="false" ht="15" hidden="false" customHeight="false" outlineLevel="0" collapsed="false">
      <c r="A333" s="0" t="s">
        <v>4899</v>
      </c>
      <c r="B333" s="0" t="s">
        <v>4900</v>
      </c>
      <c r="C333" s="0" t="n">
        <v>1911</v>
      </c>
      <c r="D333" s="0" t="s">
        <v>4901</v>
      </c>
      <c r="E333" s="0" t="s">
        <v>526</v>
      </c>
      <c r="F333" s="0" t="s">
        <v>526</v>
      </c>
      <c r="G333" s="0" t="s">
        <v>3936</v>
      </c>
      <c r="H333" s="0" t="s">
        <v>4900</v>
      </c>
      <c r="I333" s="0" t="s">
        <v>4902</v>
      </c>
      <c r="M333" s="11" t="s">
        <v>29</v>
      </c>
      <c r="R333" s="0" t="n">
        <f aca="false">LEN(C333)+LEN(D333)+LEN(E333)+LEN(F333)+LEN(G333)+LEN(H333)</f>
        <v>29</v>
      </c>
    </row>
    <row r="334" customFormat="false" ht="15" hidden="false" customHeight="false" outlineLevel="0" collapsed="false">
      <c r="A334" s="0" t="s">
        <v>4903</v>
      </c>
      <c r="B334" s="0" t="s">
        <v>4900</v>
      </c>
      <c r="C334" s="0" t="n">
        <v>1916</v>
      </c>
      <c r="D334" s="0" t="s">
        <v>4904</v>
      </c>
      <c r="E334" s="0" t="s">
        <v>964</v>
      </c>
      <c r="F334" s="0" t="s">
        <v>964</v>
      </c>
      <c r="G334" s="0" t="s">
        <v>3936</v>
      </c>
      <c r="H334" s="0" t="s">
        <v>4900</v>
      </c>
      <c r="I334" s="0" t="s">
        <v>4902</v>
      </c>
      <c r="M334" s="11" t="s">
        <v>29</v>
      </c>
      <c r="R334" s="0" t="n">
        <f aca="false">LEN(C334)+LEN(D334)+LEN(E334)+LEN(F334)+LEN(G334)+LEN(H334)</f>
        <v>27</v>
      </c>
    </row>
    <row r="335" customFormat="false" ht="15" hidden="false" customHeight="false" outlineLevel="0" collapsed="false">
      <c r="A335" s="0" t="s">
        <v>4905</v>
      </c>
      <c r="B335" s="0" t="s">
        <v>4900</v>
      </c>
      <c r="C335" s="0" t="n">
        <v>1923</v>
      </c>
      <c r="D335" s="0" t="s">
        <v>4906</v>
      </c>
      <c r="E335" s="0" t="s">
        <v>1600</v>
      </c>
      <c r="F335" s="0" t="s">
        <v>962</v>
      </c>
      <c r="I335" s="0" t="s">
        <v>4907</v>
      </c>
      <c r="J335" s="0" t="s">
        <v>29</v>
      </c>
      <c r="N335" s="0" t="s">
        <v>29</v>
      </c>
      <c r="O335" s="0" t="s">
        <v>29</v>
      </c>
      <c r="R335" s="0" t="n">
        <f aca="false">LEN(C335)+LEN(D335)+LEN(E335)+LEN(F335)+LEN(G335)+LEN(H335)</f>
        <v>18</v>
      </c>
    </row>
    <row r="336" customFormat="false" ht="15" hidden="false" customHeight="false" outlineLevel="0" collapsed="false">
      <c r="A336" s="0" t="s">
        <v>4908</v>
      </c>
      <c r="B336" s="0" t="s">
        <v>4900</v>
      </c>
      <c r="C336" s="0" t="n">
        <v>1923</v>
      </c>
      <c r="D336" s="0" t="s">
        <v>4909</v>
      </c>
      <c r="E336" s="0" t="s">
        <v>3588</v>
      </c>
      <c r="F336" s="0" t="s">
        <v>393</v>
      </c>
      <c r="I336" s="0" t="s">
        <v>4910</v>
      </c>
      <c r="J336" s="0" t="s">
        <v>29</v>
      </c>
      <c r="L336" s="0" t="s">
        <v>29</v>
      </c>
      <c r="N336" s="0" t="s">
        <v>29</v>
      </c>
      <c r="O336" s="0" t="s">
        <v>29</v>
      </c>
      <c r="R336" s="0" t="n">
        <f aca="false">LEN(C336)+LEN(D336)+LEN(E336)+LEN(F336)+LEN(G336)+LEN(H336)</f>
        <v>16</v>
      </c>
    </row>
    <row r="337" customFormat="false" ht="15" hidden="false" customHeight="false" outlineLevel="0" collapsed="false">
      <c r="A337" s="0" t="s">
        <v>4911</v>
      </c>
      <c r="B337" s="0" t="s">
        <v>4900</v>
      </c>
      <c r="C337" s="0" t="n">
        <v>1914</v>
      </c>
      <c r="D337" s="0" t="s">
        <v>4909</v>
      </c>
      <c r="E337" s="0" t="s">
        <v>2622</v>
      </c>
      <c r="F337" s="0" t="s">
        <v>964</v>
      </c>
      <c r="G337" s="0" t="s">
        <v>3936</v>
      </c>
      <c r="H337" s="0" t="s">
        <v>4900</v>
      </c>
      <c r="I337" s="0" t="s">
        <v>4902</v>
      </c>
      <c r="M337" s="11" t="s">
        <v>29</v>
      </c>
      <c r="R337" s="0" t="n">
        <f aca="false">LEN(C337)+LEN(D337)+LEN(E337)+LEN(F337)+LEN(G337)+LEN(H337)</f>
        <v>31</v>
      </c>
    </row>
    <row r="338" customFormat="false" ht="15" hidden="false" customHeight="false" outlineLevel="0" collapsed="false">
      <c r="A338" s="0" t="s">
        <v>4912</v>
      </c>
      <c r="B338" s="0" t="s">
        <v>4900</v>
      </c>
      <c r="C338" s="0" t="n">
        <v>1917</v>
      </c>
      <c r="D338" s="0" t="s">
        <v>4913</v>
      </c>
      <c r="E338" s="0" t="s">
        <v>2329</v>
      </c>
      <c r="F338" s="0" t="s">
        <v>2329</v>
      </c>
      <c r="G338" s="0" t="s">
        <v>3936</v>
      </c>
      <c r="H338" s="0" t="s">
        <v>4900</v>
      </c>
      <c r="I338" s="0" t="s">
        <v>4902</v>
      </c>
      <c r="M338" s="11" t="s">
        <v>29</v>
      </c>
      <c r="R338" s="0" t="n">
        <f aca="false">LEN(C338)+LEN(D338)+LEN(E338)+LEN(F338)+LEN(G338)+LEN(H338)</f>
        <v>31</v>
      </c>
    </row>
    <row r="339" customFormat="false" ht="15" hidden="false" customHeight="false" outlineLevel="0" collapsed="false">
      <c r="A339" s="0" t="s">
        <v>4914</v>
      </c>
      <c r="B339" s="0" t="s">
        <v>4900</v>
      </c>
      <c r="C339" s="0" t="n">
        <v>1886</v>
      </c>
      <c r="D339" s="0" t="s">
        <v>3588</v>
      </c>
      <c r="E339" s="0" t="s">
        <v>69</v>
      </c>
      <c r="F339" s="0" t="s">
        <v>69</v>
      </c>
      <c r="G339" s="0" t="s">
        <v>3936</v>
      </c>
      <c r="H339" s="0" t="s">
        <v>4900</v>
      </c>
      <c r="I339" s="0" t="s">
        <v>4902</v>
      </c>
      <c r="R339" s="0" t="n">
        <f aca="false">LEN(C339)+LEN(D339)+LEN(E339)+LEN(F339)+LEN(G339)+LEN(H339)</f>
        <v>28</v>
      </c>
    </row>
    <row r="340" customFormat="false" ht="15" hidden="false" customHeight="false" outlineLevel="0" collapsed="false">
      <c r="A340" s="0" t="s">
        <v>4915</v>
      </c>
      <c r="B340" s="0" t="s">
        <v>4900</v>
      </c>
      <c r="C340" s="0" t="n">
        <v>1923</v>
      </c>
      <c r="D340" s="0" t="s">
        <v>3950</v>
      </c>
      <c r="E340" s="0" t="s">
        <v>880</v>
      </c>
      <c r="F340" s="0" t="s">
        <v>1671</v>
      </c>
      <c r="I340" s="0" t="s">
        <v>4916</v>
      </c>
      <c r="J340" s="0" t="s">
        <v>29</v>
      </c>
      <c r="M340" s="0" t="s">
        <v>29</v>
      </c>
      <c r="N340" s="0" t="s">
        <v>29</v>
      </c>
      <c r="O340" s="0" t="s">
        <v>29</v>
      </c>
      <c r="R340" s="0" t="n">
        <f aca="false">LEN(C340)+LEN(D340)+LEN(E340)+LEN(F340)+LEN(G340)+LEN(H340)</f>
        <v>10</v>
      </c>
    </row>
    <row r="341" customFormat="false" ht="15" hidden="false" customHeight="false" outlineLevel="0" collapsed="false">
      <c r="A341" s="0" t="s">
        <v>4917</v>
      </c>
      <c r="B341" s="0" t="s">
        <v>4900</v>
      </c>
      <c r="C341" s="0" t="n">
        <v>1923</v>
      </c>
      <c r="D341" s="0" t="s">
        <v>1841</v>
      </c>
      <c r="E341" s="0" t="s">
        <v>386</v>
      </c>
      <c r="F341" s="0" t="s">
        <v>881</v>
      </c>
      <c r="I341" s="0" t="s">
        <v>4918</v>
      </c>
      <c r="J341" s="0" t="s">
        <v>29</v>
      </c>
      <c r="M341" s="11" t="s">
        <v>29</v>
      </c>
      <c r="N341" s="0" t="s">
        <v>29</v>
      </c>
      <c r="O341" s="0" t="s">
        <v>29</v>
      </c>
      <c r="R341" s="0" t="n">
        <f aca="false">LEN(C341)+LEN(D341)+LEN(E341)+LEN(F341)+LEN(G341)+LEN(H341)</f>
        <v>18</v>
      </c>
    </row>
    <row r="342" customFormat="false" ht="15" hidden="false" customHeight="false" outlineLevel="0" collapsed="false">
      <c r="A342" s="0" t="s">
        <v>4919</v>
      </c>
      <c r="B342" s="0" t="s">
        <v>4900</v>
      </c>
      <c r="C342" s="0" t="n">
        <v>1915</v>
      </c>
      <c r="D342" s="0" t="s">
        <v>4920</v>
      </c>
      <c r="E342" s="0" t="s">
        <v>1391</v>
      </c>
      <c r="F342" s="0" t="s">
        <v>1391</v>
      </c>
      <c r="G342" s="0" t="s">
        <v>3936</v>
      </c>
      <c r="H342" s="0" t="s">
        <v>4900</v>
      </c>
      <c r="I342" s="0" t="s">
        <v>4902</v>
      </c>
      <c r="M342" s="11" t="s">
        <v>29</v>
      </c>
      <c r="R342" s="0" t="n">
        <f aca="false">LEN(C342)+LEN(D342)+LEN(E342)+LEN(F342)+LEN(G342)+LEN(H342)</f>
        <v>27</v>
      </c>
    </row>
    <row r="343" customFormat="false" ht="15" hidden="false" customHeight="false" outlineLevel="0" collapsed="false">
      <c r="A343" s="0" t="s">
        <v>4921</v>
      </c>
      <c r="B343" s="0" t="s">
        <v>4900</v>
      </c>
      <c r="C343" s="0" t="n">
        <v>1923</v>
      </c>
      <c r="D343" s="0" t="s">
        <v>4922</v>
      </c>
      <c r="E343" s="0" t="s">
        <v>69</v>
      </c>
      <c r="F343" s="0" t="s">
        <v>29</v>
      </c>
      <c r="I343" s="0" t="s">
        <v>4907</v>
      </c>
      <c r="J343" s="0" t="s">
        <v>29</v>
      </c>
      <c r="N343" s="0" t="s">
        <v>29</v>
      </c>
      <c r="O343" s="0" t="s">
        <v>29</v>
      </c>
      <c r="R343" s="0" t="n">
        <f aca="false">LEN(C343)+LEN(D343)+LEN(E343)+LEN(F343)+LEN(G343)+LEN(H343)</f>
        <v>13</v>
      </c>
    </row>
    <row r="344" customFormat="false" ht="15" hidden="false" customHeight="false" outlineLevel="0" collapsed="false">
      <c r="A344" s="0" t="s">
        <v>4923</v>
      </c>
      <c r="B344" s="0" t="s">
        <v>4900</v>
      </c>
      <c r="C344" s="0" t="n">
        <v>1909</v>
      </c>
      <c r="D344" s="0" t="s">
        <v>3959</v>
      </c>
      <c r="E344" s="0" t="s">
        <v>565</v>
      </c>
      <c r="F344" s="0" t="s">
        <v>962</v>
      </c>
      <c r="G344" s="0" t="s">
        <v>3936</v>
      </c>
      <c r="H344" s="0" t="s">
        <v>4900</v>
      </c>
      <c r="I344" s="0" t="s">
        <v>4902</v>
      </c>
      <c r="L344" s="0" t="s">
        <v>29</v>
      </c>
      <c r="M344" s="11" t="s">
        <v>29</v>
      </c>
      <c r="R344" s="0" t="n">
        <f aca="false">LEN(C344)+LEN(D344)+LEN(E344)+LEN(F344)+LEN(G344)+LEN(H344)</f>
        <v>30</v>
      </c>
    </row>
    <row r="345" customFormat="false" ht="15" hidden="false" customHeight="false" outlineLevel="0" collapsed="false">
      <c r="A345" s="0" t="s">
        <v>4924</v>
      </c>
      <c r="B345" s="0" t="s">
        <v>4900</v>
      </c>
      <c r="C345" s="0" t="n">
        <v>1906</v>
      </c>
      <c r="D345" s="0" t="s">
        <v>4925</v>
      </c>
      <c r="E345" s="0" t="s">
        <v>4067</v>
      </c>
      <c r="F345" s="0" t="s">
        <v>880</v>
      </c>
      <c r="G345" s="0" t="s">
        <v>3936</v>
      </c>
      <c r="H345" s="0" t="s">
        <v>4900</v>
      </c>
      <c r="I345" s="0" t="s">
        <v>4902</v>
      </c>
      <c r="L345" s="0" t="s">
        <v>29</v>
      </c>
      <c r="M345" s="11" t="s">
        <v>29</v>
      </c>
      <c r="R345" s="0" t="n">
        <f aca="false">LEN(C345)+LEN(D345)+LEN(E345)+LEN(F345)+LEN(G345)+LEN(H345)</f>
        <v>34</v>
      </c>
    </row>
    <row r="346" customFormat="false" ht="15" hidden="false" customHeight="false" outlineLevel="0" collapsed="false">
      <c r="A346" s="0" t="s">
        <v>4926</v>
      </c>
      <c r="B346" s="0" t="s">
        <v>4900</v>
      </c>
      <c r="C346" s="0" t="n">
        <v>1923</v>
      </c>
      <c r="D346" s="0" t="s">
        <v>4927</v>
      </c>
      <c r="E346" s="0" t="s">
        <v>23</v>
      </c>
      <c r="F346" s="0" t="s">
        <v>1671</v>
      </c>
      <c r="I346" s="0" t="s">
        <v>4907</v>
      </c>
      <c r="J346" s="0" t="s">
        <v>29</v>
      </c>
      <c r="N346" s="0" t="s">
        <v>29</v>
      </c>
      <c r="O346" s="0" t="s">
        <v>29</v>
      </c>
      <c r="R346" s="0" t="n">
        <f aca="false">LEN(C346)+LEN(D346)+LEN(E346)+LEN(F346)+LEN(G346)+LEN(H346)</f>
        <v>14</v>
      </c>
    </row>
    <row r="347" customFormat="false" ht="15" hidden="false" customHeight="false" outlineLevel="0" collapsed="false">
      <c r="A347" s="0" t="s">
        <v>4928</v>
      </c>
      <c r="B347" s="0" t="s">
        <v>4900</v>
      </c>
      <c r="C347" s="0" t="n">
        <v>1909</v>
      </c>
      <c r="D347" s="0" t="s">
        <v>4162</v>
      </c>
      <c r="E347" s="0" t="s">
        <v>4355</v>
      </c>
      <c r="F347" s="0" t="s">
        <v>24</v>
      </c>
      <c r="G347" s="0" t="s">
        <v>3936</v>
      </c>
      <c r="H347" s="0" t="s">
        <v>4900</v>
      </c>
      <c r="I347" s="0" t="s">
        <v>4902</v>
      </c>
      <c r="L347" s="0" t="s">
        <v>29</v>
      </c>
      <c r="M347" s="11" t="s">
        <v>29</v>
      </c>
      <c r="R347" s="0" t="n">
        <f aca="false">LEN(C347)+LEN(D347)+LEN(E347)+LEN(F347)+LEN(G347)+LEN(H347)</f>
        <v>34</v>
      </c>
    </row>
    <row r="348" customFormat="false" ht="15" hidden="false" customHeight="false" outlineLevel="0" collapsed="false">
      <c r="A348" s="0" t="s">
        <v>4929</v>
      </c>
      <c r="B348" s="0" t="s">
        <v>4900</v>
      </c>
      <c r="C348" s="0" t="n">
        <v>1923</v>
      </c>
      <c r="D348" s="0" t="s">
        <v>4930</v>
      </c>
      <c r="E348" s="0" t="s">
        <v>24</v>
      </c>
      <c r="F348" s="0" t="s">
        <v>1635</v>
      </c>
      <c r="I348" s="0" t="s">
        <v>4931</v>
      </c>
      <c r="J348" s="0" t="s">
        <v>29</v>
      </c>
      <c r="N348" s="0" t="s">
        <v>29</v>
      </c>
      <c r="O348" s="0" t="s">
        <v>29</v>
      </c>
      <c r="R348" s="0" t="n">
        <f aca="false">LEN(C348)+LEN(D348)+LEN(E348)+LEN(F348)+LEN(G348)+LEN(H348)</f>
        <v>12</v>
      </c>
    </row>
    <row r="349" customFormat="false" ht="15" hidden="false" customHeight="false" outlineLevel="0" collapsed="false">
      <c r="A349" s="0" t="s">
        <v>4932</v>
      </c>
      <c r="B349" s="0" t="s">
        <v>4900</v>
      </c>
      <c r="C349" s="0" t="n">
        <v>1901</v>
      </c>
      <c r="D349" s="0" t="s">
        <v>4933</v>
      </c>
      <c r="E349" s="0" t="s">
        <v>394</v>
      </c>
      <c r="F349" s="0" t="s">
        <v>394</v>
      </c>
      <c r="G349" s="0" t="s">
        <v>3936</v>
      </c>
      <c r="H349" s="0" t="s">
        <v>4900</v>
      </c>
      <c r="I349" s="0" t="s">
        <v>4902</v>
      </c>
      <c r="M349" s="11" t="s">
        <v>29</v>
      </c>
      <c r="R349" s="0" t="n">
        <f aca="false">LEN(C349)+LEN(D349)+LEN(E349)+LEN(F349)+LEN(G349)+LEN(H349)</f>
        <v>28</v>
      </c>
    </row>
    <row r="350" customFormat="false" ht="15" hidden="false" customHeight="false" outlineLevel="0" collapsed="false">
      <c r="A350" s="0" t="s">
        <v>4934</v>
      </c>
      <c r="B350" s="0" t="s">
        <v>4900</v>
      </c>
      <c r="C350" s="0" t="n">
        <v>1902</v>
      </c>
      <c r="D350" s="0" t="s">
        <v>4935</v>
      </c>
      <c r="E350" s="0" t="s">
        <v>394</v>
      </c>
      <c r="F350" s="0" t="s">
        <v>394</v>
      </c>
      <c r="G350" s="0" t="s">
        <v>3936</v>
      </c>
      <c r="H350" s="0" t="s">
        <v>4900</v>
      </c>
      <c r="I350" s="0" t="s">
        <v>4902</v>
      </c>
      <c r="M350" s="11" t="s">
        <v>29</v>
      </c>
      <c r="R350" s="0" t="n">
        <f aca="false">LEN(C350)+LEN(D350)+LEN(E350)+LEN(F350)+LEN(G350)+LEN(H350)</f>
        <v>27</v>
      </c>
    </row>
    <row r="351" customFormat="false" ht="15" hidden="false" customHeight="false" outlineLevel="0" collapsed="false">
      <c r="A351" s="0" t="s">
        <v>4936</v>
      </c>
      <c r="B351" s="0" t="s">
        <v>4900</v>
      </c>
      <c r="C351" s="0" t="n">
        <v>1923</v>
      </c>
      <c r="D351" s="0" t="s">
        <v>4937</v>
      </c>
      <c r="E351" s="0" t="s">
        <v>1391</v>
      </c>
      <c r="F351" s="0" t="s">
        <v>880</v>
      </c>
      <c r="I351" s="0" t="s">
        <v>4938</v>
      </c>
      <c r="J351" s="0" t="s">
        <v>29</v>
      </c>
      <c r="N351" s="0" t="s">
        <v>29</v>
      </c>
      <c r="O351" s="0" t="s">
        <v>29</v>
      </c>
      <c r="R351" s="0" t="n">
        <f aca="false">LEN(C351)+LEN(D351)+LEN(E351)+LEN(F351)+LEN(G351)+LEN(H351)</f>
        <v>15</v>
      </c>
    </row>
    <row r="352" customFormat="false" ht="15" hidden="false" customHeight="false" outlineLevel="0" collapsed="false">
      <c r="A352" s="0" t="s">
        <v>4939</v>
      </c>
      <c r="B352" s="0" t="s">
        <v>4900</v>
      </c>
      <c r="C352" s="0" t="n">
        <v>1914</v>
      </c>
      <c r="D352" s="0" t="s">
        <v>4940</v>
      </c>
      <c r="E352" s="0" t="s">
        <v>1734</v>
      </c>
      <c r="F352" s="0" t="s">
        <v>1391</v>
      </c>
      <c r="G352" s="0" t="s">
        <v>3936</v>
      </c>
      <c r="H352" s="0" t="s">
        <v>4900</v>
      </c>
      <c r="I352" s="0" t="s">
        <v>4902</v>
      </c>
      <c r="M352" s="11" t="s">
        <v>29</v>
      </c>
      <c r="R352" s="0" t="n">
        <f aca="false">LEN(C352)+LEN(D352)+LEN(E352)+LEN(F352)+LEN(G352)+LEN(H352)</f>
        <v>33</v>
      </c>
    </row>
    <row r="353" customFormat="false" ht="15" hidden="false" customHeight="false" outlineLevel="0" collapsed="false">
      <c r="A353" s="0" t="s">
        <v>4941</v>
      </c>
      <c r="B353" s="0" t="s">
        <v>4900</v>
      </c>
      <c r="C353" s="0" t="n">
        <v>1923</v>
      </c>
      <c r="D353" s="0" t="s">
        <v>4942</v>
      </c>
      <c r="E353" s="0" t="s">
        <v>1391</v>
      </c>
      <c r="F353" s="0" t="s">
        <v>1635</v>
      </c>
      <c r="I353" s="0" t="s">
        <v>4907</v>
      </c>
      <c r="J353" s="0" t="s">
        <v>29</v>
      </c>
      <c r="N353" s="0" t="s">
        <v>29</v>
      </c>
      <c r="O353" s="0" t="s">
        <v>29</v>
      </c>
      <c r="R353" s="0" t="n">
        <f aca="false">LEN(C353)+LEN(D353)+LEN(E353)+LEN(F353)+LEN(G353)+LEN(H353)</f>
        <v>13</v>
      </c>
    </row>
    <row r="354" customFormat="false" ht="15" hidden="false" customHeight="false" outlineLevel="0" collapsed="false">
      <c r="A354" s="0" t="s">
        <v>4943</v>
      </c>
      <c r="B354" s="0" t="s">
        <v>4900</v>
      </c>
      <c r="C354" s="0" t="n">
        <v>1923</v>
      </c>
      <c r="D354" s="0" t="s">
        <v>4944</v>
      </c>
      <c r="E354" s="0" t="s">
        <v>2689</v>
      </c>
      <c r="F354" s="0" t="s">
        <v>1635</v>
      </c>
      <c r="G354" s="0" t="s">
        <v>3936</v>
      </c>
      <c r="H354" s="0" t="s">
        <v>4900</v>
      </c>
      <c r="I354" s="0" t="s">
        <v>4902</v>
      </c>
      <c r="L354" s="0" t="s">
        <v>29</v>
      </c>
      <c r="M354" s="11" t="s">
        <v>29</v>
      </c>
      <c r="R354" s="0" t="n">
        <f aca="false">LEN(C354)+LEN(D354)+LEN(E354)+LEN(F354)+LEN(G354)+LEN(H354)</f>
        <v>32</v>
      </c>
    </row>
    <row r="355" customFormat="false" ht="15" hidden="false" customHeight="false" outlineLevel="0" collapsed="false">
      <c r="A355" s="0" t="s">
        <v>4945</v>
      </c>
      <c r="B355" s="0" t="s">
        <v>4900</v>
      </c>
      <c r="C355" s="0" t="n">
        <v>1889</v>
      </c>
      <c r="D355" s="0" t="s">
        <v>4946</v>
      </c>
      <c r="E355" s="0" t="s">
        <v>394</v>
      </c>
      <c r="F355" s="0" t="s">
        <v>394</v>
      </c>
      <c r="G355" s="0" t="s">
        <v>3936</v>
      </c>
      <c r="H355" s="0" t="s">
        <v>4900</v>
      </c>
      <c r="I355" s="0" t="s">
        <v>4902</v>
      </c>
      <c r="M355" s="11" t="s">
        <v>29</v>
      </c>
      <c r="R355" s="0" t="n">
        <f aca="false">LEN(C355)+LEN(D355)+LEN(E355)+LEN(F355)+LEN(G355)+LEN(H355)</f>
        <v>30</v>
      </c>
    </row>
    <row r="356" customFormat="false" ht="15" hidden="false" customHeight="false" outlineLevel="0" collapsed="false">
      <c r="A356" s="0" t="s">
        <v>4947</v>
      </c>
      <c r="B356" s="0" t="s">
        <v>4900</v>
      </c>
      <c r="C356" s="0" t="n">
        <v>1918</v>
      </c>
      <c r="D356" s="0" t="s">
        <v>4948</v>
      </c>
      <c r="E356" s="0" t="s">
        <v>962</v>
      </c>
      <c r="F356" s="0" t="s">
        <v>962</v>
      </c>
      <c r="G356" s="0" t="s">
        <v>3936</v>
      </c>
      <c r="H356" s="0" t="s">
        <v>4900</v>
      </c>
      <c r="I356" s="0" t="s">
        <v>4902</v>
      </c>
      <c r="M356" s="11" t="s">
        <v>29</v>
      </c>
      <c r="R356" s="0" t="n">
        <f aca="false">LEN(C356)+LEN(D356)+LEN(E356)+LEN(F356)+LEN(G356)+LEN(H356)</f>
        <v>28</v>
      </c>
    </row>
    <row r="357" customFormat="false" ht="15" hidden="false" customHeight="false" outlineLevel="0" collapsed="false">
      <c r="A357" s="0" t="s">
        <v>4949</v>
      </c>
      <c r="B357" s="0" t="s">
        <v>4900</v>
      </c>
      <c r="C357" s="0" t="n">
        <v>1922</v>
      </c>
      <c r="D357" s="0" t="s">
        <v>4950</v>
      </c>
      <c r="E357" s="0" t="s">
        <v>4951</v>
      </c>
      <c r="F357" s="0" t="s">
        <v>29</v>
      </c>
      <c r="G357" s="0" t="s">
        <v>3936</v>
      </c>
      <c r="H357" s="0" t="s">
        <v>4900</v>
      </c>
      <c r="I357" s="0" t="s">
        <v>4902</v>
      </c>
      <c r="M357" s="11" t="s">
        <v>29</v>
      </c>
      <c r="R357" s="0" t="n">
        <f aca="false">LEN(C357)+LEN(D357)+LEN(E357)+LEN(F357)+LEN(G357)+LEN(H357)</f>
        <v>33</v>
      </c>
    </row>
    <row r="358" customFormat="false" ht="15" hidden="false" customHeight="false" outlineLevel="0" collapsed="false">
      <c r="A358" s="0" t="s">
        <v>4952</v>
      </c>
      <c r="B358" s="0" t="s">
        <v>4900</v>
      </c>
      <c r="C358" s="0" t="n">
        <v>1913</v>
      </c>
      <c r="D358" s="0" t="s">
        <v>3115</v>
      </c>
      <c r="E358" s="0" t="s">
        <v>1728</v>
      </c>
      <c r="F358" s="0" t="s">
        <v>24</v>
      </c>
      <c r="G358" s="0" t="s">
        <v>3936</v>
      </c>
      <c r="H358" s="0" t="s">
        <v>4900</v>
      </c>
      <c r="I358" s="0" t="s">
        <v>4902</v>
      </c>
      <c r="M358" s="11" t="s">
        <v>29</v>
      </c>
      <c r="R358" s="0" t="n">
        <f aca="false">LEN(C358)+LEN(D358)+LEN(E358)+LEN(F358)+LEN(G358)+LEN(H358)</f>
        <v>31</v>
      </c>
    </row>
    <row r="359" customFormat="false" ht="15" hidden="false" customHeight="false" outlineLevel="0" collapsed="false">
      <c r="A359" s="0" t="s">
        <v>4953</v>
      </c>
      <c r="B359" s="0" t="s">
        <v>4900</v>
      </c>
      <c r="C359" s="0" t="n">
        <v>1902</v>
      </c>
      <c r="D359" s="0" t="s">
        <v>4954</v>
      </c>
      <c r="E359" s="0" t="s">
        <v>394</v>
      </c>
      <c r="F359" s="0" t="s">
        <v>394</v>
      </c>
      <c r="G359" s="0" t="s">
        <v>3936</v>
      </c>
      <c r="H359" s="0" t="s">
        <v>4900</v>
      </c>
      <c r="I359" s="0" t="s">
        <v>4902</v>
      </c>
      <c r="M359" s="11" t="s">
        <v>29</v>
      </c>
      <c r="R359" s="0" t="n">
        <f aca="false">LEN(C359)+LEN(D359)+LEN(E359)+LEN(F359)+LEN(G359)+LEN(H359)</f>
        <v>29</v>
      </c>
    </row>
    <row r="360" customFormat="false" ht="15" hidden="false" customHeight="false" outlineLevel="0" collapsed="false">
      <c r="A360" s="0" t="s">
        <v>4955</v>
      </c>
      <c r="B360" s="0" t="s">
        <v>4900</v>
      </c>
      <c r="C360" s="0" t="n">
        <v>1923</v>
      </c>
      <c r="D360" s="0" t="s">
        <v>4954</v>
      </c>
      <c r="E360" s="0" t="s">
        <v>393</v>
      </c>
      <c r="F360" s="0" t="s">
        <v>393</v>
      </c>
      <c r="G360" s="0" t="s">
        <v>3936</v>
      </c>
      <c r="H360" s="0" t="s">
        <v>4900</v>
      </c>
      <c r="I360" s="0" t="s">
        <v>4902</v>
      </c>
      <c r="M360" s="11" t="s">
        <v>29</v>
      </c>
      <c r="R360" s="0" t="n">
        <f aca="false">LEN(C360)+LEN(D360)+LEN(E360)+LEN(F360)+LEN(G360)+LEN(H360)</f>
        <v>29</v>
      </c>
    </row>
    <row r="361" customFormat="false" ht="15" hidden="false" customHeight="false" outlineLevel="0" collapsed="false">
      <c r="A361" s="0" t="s">
        <v>4956</v>
      </c>
      <c r="B361" s="0" t="s">
        <v>4900</v>
      </c>
      <c r="C361" s="0" t="n">
        <v>1907</v>
      </c>
      <c r="D361" s="0" t="s">
        <v>4957</v>
      </c>
      <c r="E361" s="0" t="s">
        <v>4539</v>
      </c>
      <c r="F361" s="0" t="s">
        <v>881</v>
      </c>
      <c r="G361" s="0" t="s">
        <v>3936</v>
      </c>
      <c r="H361" s="0" t="s">
        <v>4900</v>
      </c>
      <c r="I361" s="0" t="s">
        <v>4902</v>
      </c>
      <c r="M361" s="11" t="s">
        <v>29</v>
      </c>
      <c r="R361" s="0" t="n">
        <f aca="false">LEN(C361)+LEN(D361)+LEN(E361)+LEN(F361)+LEN(G361)+LEN(H361)</f>
        <v>36</v>
      </c>
    </row>
    <row r="362" customFormat="false" ht="15" hidden="false" customHeight="false" outlineLevel="0" collapsed="false">
      <c r="A362" s="0" t="s">
        <v>4958</v>
      </c>
      <c r="B362" s="0" t="s">
        <v>4900</v>
      </c>
      <c r="C362" s="0" t="n">
        <v>1918</v>
      </c>
      <c r="D362" s="0" t="s">
        <v>4959</v>
      </c>
      <c r="E362" s="0" t="s">
        <v>880</v>
      </c>
      <c r="F362" s="0" t="s">
        <v>880</v>
      </c>
      <c r="G362" s="0" t="s">
        <v>3936</v>
      </c>
      <c r="H362" s="0" t="s">
        <v>4900</v>
      </c>
      <c r="I362" s="0" t="s">
        <v>4902</v>
      </c>
      <c r="M362" s="11" t="s">
        <v>29</v>
      </c>
      <c r="R362" s="0" t="n">
        <f aca="false">LEN(C362)+LEN(D362)+LEN(E362)+LEN(F362)+LEN(G362)+LEN(H362)</f>
        <v>28</v>
      </c>
    </row>
    <row r="363" customFormat="false" ht="15" hidden="false" customHeight="false" outlineLevel="0" collapsed="false">
      <c r="A363" s="0" t="s">
        <v>4960</v>
      </c>
      <c r="B363" s="0" t="s">
        <v>4900</v>
      </c>
      <c r="C363" s="0" t="n">
        <v>1878</v>
      </c>
      <c r="D363" s="0" t="s">
        <v>4961</v>
      </c>
      <c r="E363" s="0" t="s">
        <v>962</v>
      </c>
      <c r="F363" s="0" t="s">
        <v>962</v>
      </c>
      <c r="G363" s="0" t="s">
        <v>3936</v>
      </c>
      <c r="H363" s="0" t="s">
        <v>4900</v>
      </c>
      <c r="I363" s="0" t="s">
        <v>4902</v>
      </c>
      <c r="M363" s="11" t="s">
        <v>29</v>
      </c>
      <c r="R363" s="0" t="n">
        <f aca="false">LEN(C363)+LEN(D363)+LEN(E363)+LEN(F363)+LEN(G363)+LEN(H363)</f>
        <v>26</v>
      </c>
    </row>
    <row r="364" customFormat="false" ht="15" hidden="false" customHeight="false" outlineLevel="0" collapsed="false">
      <c r="A364" s="0" t="s">
        <v>4962</v>
      </c>
      <c r="B364" s="0" t="s">
        <v>4900</v>
      </c>
      <c r="C364" s="0" t="n">
        <v>1922</v>
      </c>
      <c r="D364" s="0" t="s">
        <v>4963</v>
      </c>
      <c r="E364" s="0" t="s">
        <v>1267</v>
      </c>
      <c r="F364" s="0" t="s">
        <v>1267</v>
      </c>
      <c r="G364" s="0" t="s">
        <v>3936</v>
      </c>
      <c r="H364" s="0" t="s">
        <v>4900</v>
      </c>
      <c r="I364" s="0" t="s">
        <v>4902</v>
      </c>
      <c r="M364" s="11" t="s">
        <v>29</v>
      </c>
      <c r="R364" s="0" t="n">
        <f aca="false">LEN(C364)+LEN(D364)+LEN(E364)+LEN(F364)+LEN(G364)+LEN(H364)</f>
        <v>28</v>
      </c>
    </row>
    <row r="365" customFormat="false" ht="15" hidden="false" customHeight="false" outlineLevel="0" collapsed="false">
      <c r="A365" s="0" t="s">
        <v>4964</v>
      </c>
      <c r="B365" s="0" t="s">
        <v>4900</v>
      </c>
      <c r="C365" s="0" t="n">
        <v>1882</v>
      </c>
      <c r="D365" s="0" t="s">
        <v>4965</v>
      </c>
      <c r="E365" s="0" t="s">
        <v>1267</v>
      </c>
      <c r="F365" s="0" t="s">
        <v>1267</v>
      </c>
      <c r="G365" s="0" t="s">
        <v>3936</v>
      </c>
      <c r="H365" s="0" t="s">
        <v>4900</v>
      </c>
      <c r="I365" s="0" t="s">
        <v>4902</v>
      </c>
      <c r="M365" s="11" t="s">
        <v>29</v>
      </c>
      <c r="R365" s="0" t="n">
        <f aca="false">LEN(C365)+LEN(D365)+LEN(E365)+LEN(F365)+LEN(G365)+LEN(H365)</f>
        <v>30</v>
      </c>
    </row>
    <row r="366" customFormat="false" ht="15" hidden="false" customHeight="false" outlineLevel="0" collapsed="false">
      <c r="A366" s="0" t="s">
        <v>4966</v>
      </c>
      <c r="B366" s="0" t="s">
        <v>4900</v>
      </c>
      <c r="C366" s="0" t="n">
        <v>1906</v>
      </c>
      <c r="D366" s="0" t="s">
        <v>4967</v>
      </c>
      <c r="E366" s="0" t="s">
        <v>1407</v>
      </c>
      <c r="F366" s="0" t="s">
        <v>1407</v>
      </c>
      <c r="G366" s="0" t="s">
        <v>3936</v>
      </c>
      <c r="H366" s="0" t="s">
        <v>4900</v>
      </c>
      <c r="I366" s="0" t="s">
        <v>4902</v>
      </c>
      <c r="M366" s="11" t="s">
        <v>29</v>
      </c>
      <c r="R366" s="0" t="n">
        <f aca="false">LEN(C366)+LEN(D366)+LEN(E366)+LEN(F366)+LEN(G366)+LEN(H366)</f>
        <v>28</v>
      </c>
    </row>
    <row r="367" customFormat="false" ht="15" hidden="false" customHeight="false" outlineLevel="0" collapsed="false">
      <c r="A367" s="0" t="s">
        <v>4968</v>
      </c>
      <c r="B367" s="0" t="s">
        <v>4900</v>
      </c>
      <c r="C367" s="0" t="n">
        <v>1891</v>
      </c>
      <c r="D367" s="0" t="s">
        <v>4969</v>
      </c>
      <c r="E367" s="0" t="s">
        <v>962</v>
      </c>
      <c r="F367" s="0" t="s">
        <v>962</v>
      </c>
      <c r="G367" s="0" t="s">
        <v>3936</v>
      </c>
      <c r="H367" s="0" t="s">
        <v>4900</v>
      </c>
      <c r="I367" s="0" t="s">
        <v>4902</v>
      </c>
      <c r="M367" s="11" t="s">
        <v>29</v>
      </c>
      <c r="R367" s="0" t="n">
        <f aca="false">LEN(C367)+LEN(D367)+LEN(E367)+LEN(F367)+LEN(G367)+LEN(H367)</f>
        <v>29</v>
      </c>
    </row>
    <row r="368" customFormat="false" ht="15" hidden="false" customHeight="false" outlineLevel="0" collapsed="false">
      <c r="A368" s="0" t="s">
        <v>4970</v>
      </c>
      <c r="B368" s="0" t="s">
        <v>4900</v>
      </c>
      <c r="C368" s="0" t="n">
        <v>1923</v>
      </c>
      <c r="D368" s="0" t="s">
        <v>4971</v>
      </c>
      <c r="E368" s="0" t="s">
        <v>880</v>
      </c>
      <c r="F368" s="0" t="s">
        <v>1635</v>
      </c>
      <c r="I368" s="0" t="s">
        <v>4972</v>
      </c>
      <c r="J368" s="0" t="s">
        <v>29</v>
      </c>
      <c r="N368" s="0" t="s">
        <v>29</v>
      </c>
      <c r="O368" s="0" t="s">
        <v>29</v>
      </c>
      <c r="R368" s="0" t="n">
        <f aca="false">LEN(C368)+LEN(D368)+LEN(E368)+LEN(F368)+LEN(G368)+LEN(H368)</f>
        <v>13</v>
      </c>
    </row>
    <row r="369" customFormat="false" ht="15" hidden="false" customHeight="false" outlineLevel="0" collapsed="false">
      <c r="A369" s="0" t="s">
        <v>4973</v>
      </c>
      <c r="B369" s="0" t="s">
        <v>4900</v>
      </c>
      <c r="C369" s="0" t="n">
        <v>1923</v>
      </c>
      <c r="D369" s="0" t="s">
        <v>4974</v>
      </c>
      <c r="E369" s="0" t="s">
        <v>1391</v>
      </c>
      <c r="F369" s="0" t="s">
        <v>24</v>
      </c>
      <c r="I369" s="0" t="s">
        <v>4975</v>
      </c>
      <c r="J369" s="0" t="s">
        <v>29</v>
      </c>
      <c r="N369" s="0" t="s">
        <v>29</v>
      </c>
      <c r="O369" s="0" t="s">
        <v>29</v>
      </c>
      <c r="R369" s="0" t="n">
        <f aca="false">LEN(C369)+LEN(D369)+LEN(E369)+LEN(F369)+LEN(G369)+LEN(H369)</f>
        <v>11</v>
      </c>
    </row>
    <row r="370" customFormat="false" ht="15" hidden="false" customHeight="false" outlineLevel="0" collapsed="false">
      <c r="A370" s="0" t="s">
        <v>4976</v>
      </c>
      <c r="B370" s="0" t="s">
        <v>4900</v>
      </c>
      <c r="C370" s="0" t="n">
        <v>1897</v>
      </c>
      <c r="D370" s="0" t="s">
        <v>447</v>
      </c>
      <c r="E370" s="0" t="s">
        <v>24</v>
      </c>
      <c r="F370" s="0" t="s">
        <v>24</v>
      </c>
      <c r="G370" s="0" t="s">
        <v>3936</v>
      </c>
      <c r="H370" s="0" t="s">
        <v>4900</v>
      </c>
      <c r="I370" s="0" t="s">
        <v>4902</v>
      </c>
      <c r="M370" s="11" t="s">
        <v>29</v>
      </c>
      <c r="R370" s="0" t="n">
        <f aca="false">LEN(C370)+LEN(D370)+LEN(E370)+LEN(F370)+LEN(G370)+LEN(H370)</f>
        <v>27</v>
      </c>
    </row>
    <row r="371" customFormat="false" ht="15" hidden="false" customHeight="false" outlineLevel="0" collapsed="false">
      <c r="A371" s="0" t="s">
        <v>4977</v>
      </c>
      <c r="B371" s="0" t="s">
        <v>4900</v>
      </c>
      <c r="C371" s="0" t="n">
        <v>1923</v>
      </c>
      <c r="D371" s="0" t="s">
        <v>4978</v>
      </c>
      <c r="E371" s="0" t="s">
        <v>880</v>
      </c>
      <c r="F371" s="0" t="s">
        <v>1267</v>
      </c>
      <c r="I371" s="0" t="s">
        <v>4979</v>
      </c>
      <c r="J371" s="0" t="s">
        <v>29</v>
      </c>
      <c r="N371" s="0" t="s">
        <v>29</v>
      </c>
      <c r="O371" s="0" t="s">
        <v>29</v>
      </c>
      <c r="R371" s="0" t="n">
        <f aca="false">LEN(C371)+LEN(D371)+LEN(E371)+LEN(F371)+LEN(G371)+LEN(H371)</f>
        <v>12</v>
      </c>
    </row>
    <row r="372" customFormat="false" ht="15" hidden="false" customHeight="false" outlineLevel="0" collapsed="false">
      <c r="A372" s="0" t="s">
        <v>4980</v>
      </c>
      <c r="B372" s="0" t="s">
        <v>4900</v>
      </c>
      <c r="C372" s="0" t="n">
        <v>1923</v>
      </c>
      <c r="D372" s="0" t="s">
        <v>4981</v>
      </c>
      <c r="E372" s="0" t="s">
        <v>880</v>
      </c>
      <c r="F372" s="0" t="s">
        <v>394</v>
      </c>
      <c r="I372" s="0" t="s">
        <v>4982</v>
      </c>
      <c r="J372" s="0" t="s">
        <v>29</v>
      </c>
      <c r="N372" s="0" t="s">
        <v>29</v>
      </c>
      <c r="O372" s="0" t="s">
        <v>29</v>
      </c>
      <c r="R372" s="0" t="n">
        <f aca="false">LEN(C372)+LEN(D372)+LEN(E372)+LEN(F372)+LEN(G372)+LEN(H372)</f>
        <v>13</v>
      </c>
    </row>
    <row r="373" customFormat="false" ht="15" hidden="false" customHeight="false" outlineLevel="0" collapsed="false">
      <c r="A373" s="0" t="s">
        <v>4983</v>
      </c>
      <c r="B373" s="0" t="s">
        <v>4900</v>
      </c>
      <c r="C373" s="0" t="n">
        <v>1916</v>
      </c>
      <c r="D373" s="0" t="s">
        <v>1634</v>
      </c>
      <c r="E373" s="0" t="s">
        <v>1391</v>
      </c>
      <c r="F373" s="0" t="s">
        <v>1391</v>
      </c>
      <c r="G373" s="0" t="s">
        <v>3936</v>
      </c>
      <c r="H373" s="0" t="s">
        <v>4900</v>
      </c>
      <c r="I373" s="0" t="s">
        <v>4902</v>
      </c>
      <c r="M373" s="11" t="s">
        <v>29</v>
      </c>
      <c r="R373" s="0" t="n">
        <f aca="false">LEN(C373)+LEN(D373)+LEN(E373)+LEN(F373)+LEN(G373)+LEN(H373)</f>
        <v>28</v>
      </c>
    </row>
    <row r="374" customFormat="false" ht="15" hidden="false" customHeight="false" outlineLevel="0" collapsed="false">
      <c r="A374" s="0" t="s">
        <v>4984</v>
      </c>
      <c r="B374" s="0" t="s">
        <v>4900</v>
      </c>
      <c r="C374" s="0" t="n">
        <v>1909</v>
      </c>
      <c r="D374" s="0" t="s">
        <v>4985</v>
      </c>
      <c r="E374" s="0" t="s">
        <v>880</v>
      </c>
      <c r="F374" s="0" t="s">
        <v>880</v>
      </c>
      <c r="G374" s="0" t="s">
        <v>3936</v>
      </c>
      <c r="H374" s="0" t="s">
        <v>4900</v>
      </c>
      <c r="I374" s="0" t="s">
        <v>4902</v>
      </c>
      <c r="M374" s="11" t="s">
        <v>29</v>
      </c>
      <c r="R374" s="0" t="n">
        <f aca="false">LEN(C374)+LEN(D374)+LEN(E374)+LEN(F374)+LEN(G374)+LEN(H374)</f>
        <v>28</v>
      </c>
    </row>
    <row r="375" customFormat="false" ht="15" hidden="false" customHeight="false" outlineLevel="0" collapsed="false">
      <c r="A375" s="0" t="s">
        <v>4986</v>
      </c>
      <c r="B375" s="0" t="s">
        <v>4900</v>
      </c>
      <c r="C375" s="0" t="n">
        <v>1902</v>
      </c>
      <c r="D375" s="0" t="s">
        <v>3335</v>
      </c>
      <c r="E375" s="0" t="s">
        <v>964</v>
      </c>
      <c r="F375" s="0" t="s">
        <v>964</v>
      </c>
      <c r="G375" s="0" t="s">
        <v>3936</v>
      </c>
      <c r="H375" s="0" t="s">
        <v>4900</v>
      </c>
      <c r="I375" s="0" t="s">
        <v>4902</v>
      </c>
      <c r="M375" s="11" t="s">
        <v>29</v>
      </c>
      <c r="R375" s="0" t="n">
        <f aca="false">LEN(C375)+LEN(D375)+LEN(E375)+LEN(F375)+LEN(G375)+LEN(H375)</f>
        <v>27</v>
      </c>
    </row>
    <row r="376" customFormat="false" ht="15" hidden="false" customHeight="false" outlineLevel="0" collapsed="false">
      <c r="A376" s="0" t="s">
        <v>4987</v>
      </c>
      <c r="B376" s="0" t="s">
        <v>4988</v>
      </c>
      <c r="C376" s="0" t="n">
        <v>1920</v>
      </c>
      <c r="D376" s="0" t="s">
        <v>4989</v>
      </c>
      <c r="E376" s="0" t="s">
        <v>69</v>
      </c>
      <c r="F376" s="0" t="s">
        <v>526</v>
      </c>
      <c r="G376" s="0" t="s">
        <v>3936</v>
      </c>
      <c r="H376" s="0" t="s">
        <v>4988</v>
      </c>
      <c r="I376" s="0" t="s">
        <v>4990</v>
      </c>
      <c r="R376" s="0" t="n">
        <f aca="false">LEN(C376)+LEN(D376)+LEN(E376)+LEN(F376)+LEN(G376)+LEN(H376)</f>
        <v>25</v>
      </c>
    </row>
    <row r="377" customFormat="false" ht="15" hidden="false" customHeight="false" outlineLevel="0" collapsed="false">
      <c r="A377" s="0" t="s">
        <v>4991</v>
      </c>
      <c r="B377" s="0" t="s">
        <v>4988</v>
      </c>
      <c r="C377" s="0" t="n">
        <v>1920</v>
      </c>
      <c r="D377" s="0" t="s">
        <v>4992</v>
      </c>
      <c r="E377" s="0" t="s">
        <v>4993</v>
      </c>
      <c r="F377" s="0" t="s">
        <v>880</v>
      </c>
      <c r="G377" s="0" t="s">
        <v>3936</v>
      </c>
      <c r="H377" s="0" t="s">
        <v>4988</v>
      </c>
      <c r="I377" s="0" t="s">
        <v>4990</v>
      </c>
      <c r="L377" s="0" t="s">
        <v>29</v>
      </c>
      <c r="R377" s="0" t="n">
        <f aca="false">LEN(C377)+LEN(D377)+LEN(E377)+LEN(F377)+LEN(G377)+LEN(H377)</f>
        <v>28</v>
      </c>
    </row>
    <row r="378" customFormat="false" ht="15" hidden="false" customHeight="false" outlineLevel="0" collapsed="false">
      <c r="A378" s="0" t="s">
        <v>4994</v>
      </c>
      <c r="B378" s="0" t="s">
        <v>4988</v>
      </c>
      <c r="C378" s="0" t="n">
        <v>1920</v>
      </c>
      <c r="D378" s="0" t="s">
        <v>3004</v>
      </c>
      <c r="E378" s="0" t="s">
        <v>4754</v>
      </c>
      <c r="F378" s="0" t="s">
        <v>1267</v>
      </c>
      <c r="G378" s="0" t="s">
        <v>3936</v>
      </c>
      <c r="H378" s="0" t="s">
        <v>4988</v>
      </c>
      <c r="I378" s="0" t="s">
        <v>4990</v>
      </c>
      <c r="L378" s="0" t="s">
        <v>29</v>
      </c>
      <c r="R378" s="0" t="n">
        <f aca="false">LEN(C378)+LEN(D378)+LEN(E378)+LEN(F378)+LEN(G378)+LEN(H378)</f>
        <v>26</v>
      </c>
    </row>
    <row r="379" customFormat="false" ht="15" hidden="false" customHeight="false" outlineLevel="0" collapsed="false">
      <c r="A379" s="0" t="s">
        <v>4995</v>
      </c>
      <c r="B379" s="0" t="s">
        <v>4988</v>
      </c>
      <c r="C379" s="0" t="n">
        <v>1891</v>
      </c>
      <c r="D379" s="0" t="s">
        <v>4996</v>
      </c>
      <c r="E379" s="0" t="s">
        <v>23</v>
      </c>
      <c r="F379" s="0" t="s">
        <v>1407</v>
      </c>
      <c r="G379" s="0" t="s">
        <v>3936</v>
      </c>
      <c r="H379" s="0" t="s">
        <v>4988</v>
      </c>
      <c r="I379" s="0" t="s">
        <v>4990</v>
      </c>
      <c r="R379" s="0" t="n">
        <f aca="false">LEN(C379)+LEN(D379)+LEN(E379)+LEN(F379)+LEN(G379)+LEN(H379)</f>
        <v>21</v>
      </c>
    </row>
    <row r="380" customFormat="false" ht="15" hidden="false" customHeight="false" outlineLevel="0" collapsed="false">
      <c r="A380" s="0" t="s">
        <v>4997</v>
      </c>
      <c r="B380" s="0" t="s">
        <v>4988</v>
      </c>
      <c r="C380" s="0" t="n">
        <v>1909</v>
      </c>
      <c r="D380" s="0" t="s">
        <v>4998</v>
      </c>
      <c r="E380" s="0" t="s">
        <v>964</v>
      </c>
      <c r="F380" s="0" t="s">
        <v>29</v>
      </c>
      <c r="G380" s="0" t="s">
        <v>3936</v>
      </c>
      <c r="H380" s="0" t="s">
        <v>4988</v>
      </c>
      <c r="I380" s="0" t="s">
        <v>4990</v>
      </c>
      <c r="R380" s="0" t="n">
        <f aca="false">LEN(C380)+LEN(D380)+LEN(E380)+LEN(F380)+LEN(G380)+LEN(H380)</f>
        <v>21</v>
      </c>
    </row>
    <row r="381" customFormat="false" ht="15" hidden="false" customHeight="false" outlineLevel="0" collapsed="false">
      <c r="A381" s="0" t="s">
        <v>4999</v>
      </c>
      <c r="B381" s="0" t="s">
        <v>4988</v>
      </c>
      <c r="C381" s="0" t="n">
        <v>1907</v>
      </c>
      <c r="D381" s="0" t="s">
        <v>5000</v>
      </c>
      <c r="E381" s="0" t="s">
        <v>964</v>
      </c>
      <c r="F381" s="0" t="s">
        <v>1267</v>
      </c>
      <c r="G381" s="0" t="s">
        <v>3936</v>
      </c>
      <c r="H381" s="0" t="s">
        <v>4988</v>
      </c>
      <c r="I381" s="0" t="s">
        <v>4990</v>
      </c>
      <c r="R381" s="0" t="n">
        <f aca="false">LEN(C381)+LEN(D381)+LEN(E381)+LEN(F381)+LEN(G381)+LEN(H381)</f>
        <v>22</v>
      </c>
    </row>
    <row r="382" customFormat="false" ht="15" hidden="false" customHeight="false" outlineLevel="0" collapsed="false">
      <c r="A382" s="0" t="s">
        <v>5001</v>
      </c>
      <c r="B382" s="0" t="s">
        <v>4988</v>
      </c>
      <c r="C382" s="0" t="n">
        <v>1920</v>
      </c>
      <c r="D382" s="0" t="s">
        <v>5002</v>
      </c>
      <c r="E382" s="0" t="s">
        <v>393</v>
      </c>
      <c r="F382" s="0" t="s">
        <v>1635</v>
      </c>
      <c r="G382" s="0" t="s">
        <v>3936</v>
      </c>
      <c r="H382" s="0" t="s">
        <v>4988</v>
      </c>
      <c r="I382" s="0" t="s">
        <v>4990</v>
      </c>
      <c r="R382" s="0" t="n">
        <f aca="false">LEN(C382)+LEN(D382)+LEN(E382)+LEN(F382)+LEN(G382)+LEN(H382)</f>
        <v>24</v>
      </c>
    </row>
    <row r="383" customFormat="false" ht="15" hidden="false" customHeight="false" outlineLevel="0" collapsed="false">
      <c r="A383" s="0" t="s">
        <v>5003</v>
      </c>
      <c r="B383" s="0" t="s">
        <v>4988</v>
      </c>
      <c r="C383" s="0" t="n">
        <v>1920</v>
      </c>
      <c r="D383" s="0" t="s">
        <v>5004</v>
      </c>
      <c r="E383" s="0" t="s">
        <v>1267</v>
      </c>
      <c r="F383" s="0" t="s">
        <v>1407</v>
      </c>
      <c r="G383" s="0" t="s">
        <v>3936</v>
      </c>
      <c r="H383" s="0" t="s">
        <v>4988</v>
      </c>
      <c r="I383" s="0" t="s">
        <v>4990</v>
      </c>
      <c r="R383" s="0" t="n">
        <f aca="false">LEN(C383)+LEN(D383)+LEN(E383)+LEN(F383)+LEN(G383)+LEN(H383)</f>
        <v>21</v>
      </c>
    </row>
    <row r="384" customFormat="false" ht="15" hidden="false" customHeight="false" outlineLevel="0" collapsed="false">
      <c r="A384" s="0" t="s">
        <v>5005</v>
      </c>
      <c r="B384" s="0" t="s">
        <v>4988</v>
      </c>
      <c r="C384" s="0" t="n">
        <v>1908</v>
      </c>
      <c r="D384" s="0" t="s">
        <v>5006</v>
      </c>
      <c r="E384" s="0" t="s">
        <v>1407</v>
      </c>
      <c r="G384" s="0" t="s">
        <v>3936</v>
      </c>
      <c r="H384" s="0" t="s">
        <v>4988</v>
      </c>
      <c r="I384" s="0" t="s">
        <v>4990</v>
      </c>
      <c r="J384" s="0" t="s">
        <v>29</v>
      </c>
      <c r="R384" s="0" t="n">
        <f aca="false">LEN(C384)+LEN(D384)+LEN(E384)+LEN(F384)+LEN(G384)+LEN(H384)</f>
        <v>18</v>
      </c>
    </row>
    <row r="385" s="5" customFormat="true" ht="15" hidden="false" customHeight="false" outlineLevel="0" collapsed="false">
      <c r="A385" s="5" t="s">
        <v>5007</v>
      </c>
      <c r="B385" s="5" t="s">
        <v>4988</v>
      </c>
      <c r="C385" s="5" t="n">
        <v>1920</v>
      </c>
      <c r="D385" s="5" t="s">
        <v>5008</v>
      </c>
      <c r="E385" s="5" t="s">
        <v>24</v>
      </c>
      <c r="F385" s="5" t="s">
        <v>962</v>
      </c>
      <c r="G385" s="5" t="s">
        <v>3936</v>
      </c>
      <c r="H385" s="5" t="s">
        <v>4988</v>
      </c>
      <c r="I385" s="5" t="s">
        <v>4990</v>
      </c>
      <c r="R385" s="5" t="n">
        <f aca="false">LEN(C385)+LEN(D385)+LEN(E385)+LEN(F385)+LEN(G385)+LEN(H385)</f>
        <v>24</v>
      </c>
    </row>
    <row r="386" customFormat="false" ht="15" hidden="false" customHeight="false" outlineLevel="0" collapsed="false">
      <c r="J386" s="0" t="n">
        <f aca="false">COUNTIF(J18:J385, "f") + COUNTIF(J18:J385, "a") + COUNTIF(J18:J385, "b") + COUNTIF(J18:J385, "a/b")</f>
        <v>82</v>
      </c>
      <c r="K386" s="0" t="n">
        <f aca="false">COUNTIF(K18:K385, "f") + COUNTIF(K18:K385, "a") + COUNTIF(K18:K385, "b") + COUNTIF(K18:K385, "a/b")</f>
        <v>22</v>
      </c>
      <c r="L386" s="0" t="n">
        <f aca="false">COUNTIF(L18:L385, "f") + COUNTIF(L18:L385, "a") + COUNTIF(L18:L385, "b") + COUNTIF(L18:L385, "a/b")</f>
        <v>25</v>
      </c>
      <c r="M386" s="0" t="n">
        <f aca="false">COUNTIF(M18:M385, "f") + COUNTIF(M18:M385, "a") + COUNTIF(M18:M385, "b") + COUNTIF(M18:M385, "a/b")</f>
        <v>135</v>
      </c>
      <c r="N386" s="0" t="n">
        <f aca="false">COUNTIF(N18:N385, "f") + COUNTIF(N18:N385, "a") + COUNTIF(N18:N385, "b") + COUNTIF(N18:N385, "a/b")</f>
        <v>95</v>
      </c>
      <c r="O386" s="0" t="n">
        <f aca="false">COUNTIF(O18:O385, "f") + COUNTIF(O18:O385, "a") + COUNTIF(O18:O385, "b") + COUNTIF(O18:O385, "a/b")</f>
        <v>112</v>
      </c>
      <c r="Q386" s="0" t="n">
        <f aca="false">SUM(Q2:Q385)</f>
        <v>35</v>
      </c>
      <c r="R386" s="0" t="n">
        <f aca="false">SUM(R2:R385)</f>
        <v>10917</v>
      </c>
    </row>
    <row r="387" customFormat="false" ht="15" hidden="false" customHeight="false" outlineLevel="0" collapsed="false">
      <c r="J387" s="0" t="n">
        <f aca="false">1-(J386/409)</f>
        <v>0.799511002444988</v>
      </c>
      <c r="K387" s="0" t="n">
        <f aca="false">1-(K386/409)</f>
        <v>0.946210268948655</v>
      </c>
      <c r="L387" s="0" t="n">
        <f aca="false">1-(L386/409)</f>
        <v>0.938875305623472</v>
      </c>
      <c r="M387" s="0" t="n">
        <f aca="false">1-(M386/409)</f>
        <v>0.669926650366748</v>
      </c>
      <c r="N387" s="0" t="n">
        <f aca="false">1-(N386/409)</f>
        <v>0.767726161369193</v>
      </c>
      <c r="O387" s="0" t="n">
        <f aca="false">1-(O386/409)</f>
        <v>0.726161369193154</v>
      </c>
      <c r="Q387" s="0" t="n">
        <f aca="false">Q386/R386</f>
        <v>0.00320600897682514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8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344" activePane="bottomLeft" state="frozen"/>
      <selection pane="topLeft" activeCell="A1" activeCellId="0" sqref="A1"/>
      <selection pane="bottomLeft" activeCell="I385" activeCellId="0" sqref="I385"/>
    </sheetView>
  </sheetViews>
  <sheetFormatPr defaultColWidth="8.6796875" defaultRowHeight="15" customHeight="false" zeroHeight="false" outlineLevelRow="0" outlineLevelCol="0"/>
  <cols>
    <col collapsed="false" customWidth="true" hidden="false" outlineLevel="0" max="8" min="8" style="0" width="27.86"/>
    <col collapsed="false" customWidth="true" hidden="false" outlineLevel="0" max="18" min="18" style="0" width="17.15"/>
  </cols>
  <sheetData>
    <row r="1" customFormat="false" ht="15" hidden="false" customHeight="false" outlineLevel="0" collapsed="false">
      <c r="A1" s="0" t="s">
        <v>0</v>
      </c>
      <c r="B1" s="0" t="s">
        <v>1</v>
      </c>
      <c r="C1" s="0" t="s">
        <v>5009</v>
      </c>
      <c r="D1" s="0" t="s">
        <v>5010</v>
      </c>
      <c r="E1" s="0" t="s">
        <v>5011</v>
      </c>
      <c r="F1" s="0" t="s">
        <v>13</v>
      </c>
      <c r="G1" s="0" t="s">
        <v>3932</v>
      </c>
      <c r="H1" s="0" t="s">
        <v>8</v>
      </c>
      <c r="I1" s="0" t="s">
        <v>5009</v>
      </c>
      <c r="J1" s="0" t="s">
        <v>5010</v>
      </c>
      <c r="K1" s="0" t="s">
        <v>5011</v>
      </c>
      <c r="L1" s="0" t="s">
        <v>13</v>
      </c>
      <c r="M1" s="0" t="s">
        <v>3932</v>
      </c>
      <c r="N1" s="0" t="s">
        <v>8</v>
      </c>
      <c r="O1" s="0" t="s">
        <v>1399</v>
      </c>
      <c r="P1" s="0" t="s">
        <v>1400</v>
      </c>
      <c r="R1" s="0" t="s">
        <v>16</v>
      </c>
      <c r="S1" s="0" t="s">
        <v>17</v>
      </c>
      <c r="T1" s="0" t="s">
        <v>18</v>
      </c>
    </row>
    <row r="2" customFormat="false" ht="15" hidden="false" customHeight="false" outlineLevel="0" collapsed="false">
      <c r="A2" s="0" t="s">
        <v>5012</v>
      </c>
      <c r="B2" s="0" t="n">
        <v>1873</v>
      </c>
      <c r="C2" s="0" t="s">
        <v>5013</v>
      </c>
      <c r="H2" s="0" t="s">
        <v>5014</v>
      </c>
      <c r="I2" s="0" t="s">
        <v>29</v>
      </c>
      <c r="P2" s="0" t="n">
        <f aca="false">LEN(C2)+LEN(D2)+LEN(E2)+LEN(F2)+LEN(G2)+LEN(H2)</f>
        <v>21</v>
      </c>
      <c r="R2" s="0" t="s">
        <v>17</v>
      </c>
      <c r="S2" s="0" t="s">
        <v>23</v>
      </c>
      <c r="T2" s="0" t="s">
        <v>24</v>
      </c>
    </row>
    <row r="3" customFormat="false" ht="15" hidden="false" customHeight="false" outlineLevel="0" collapsed="false">
      <c r="A3" s="0" t="s">
        <v>5015</v>
      </c>
      <c r="B3" s="0" t="n">
        <v>1873</v>
      </c>
      <c r="C3" s="0" t="s">
        <v>5016</v>
      </c>
      <c r="H3" s="0" t="s">
        <v>5017</v>
      </c>
      <c r="P3" s="0" t="n">
        <f aca="false">LEN(C3)+LEN(D3)+LEN(E3)+LEN(F3)+LEN(G3)+LEN(H3)</f>
        <v>21</v>
      </c>
      <c r="R3" s="0" t="s">
        <v>18</v>
      </c>
      <c r="S3" s="0" t="s">
        <v>24</v>
      </c>
      <c r="T3" s="0" t="s">
        <v>23</v>
      </c>
    </row>
    <row r="4" customFormat="false" ht="15" hidden="false" customHeight="false" outlineLevel="0" collapsed="false">
      <c r="A4" s="0" t="s">
        <v>5018</v>
      </c>
      <c r="B4" s="0" t="n">
        <v>1873</v>
      </c>
      <c r="C4" s="0" t="s">
        <v>5019</v>
      </c>
      <c r="H4" s="0" t="s">
        <v>5014</v>
      </c>
      <c r="P4" s="0" t="n">
        <f aca="false">LEN(C4)+LEN(D4)+LEN(E4)+LEN(F4)+LEN(G4)+LEN(H4)</f>
        <v>25</v>
      </c>
    </row>
    <row r="5" customFormat="false" ht="15" hidden="false" customHeight="false" outlineLevel="0" collapsed="false">
      <c r="A5" s="0" t="s">
        <v>5020</v>
      </c>
      <c r="B5" s="0" t="n">
        <v>1873</v>
      </c>
      <c r="C5" s="0" t="s">
        <v>5021</v>
      </c>
      <c r="G5" s="0" t="s">
        <v>5022</v>
      </c>
      <c r="H5" s="0" t="s">
        <v>5023</v>
      </c>
      <c r="I5" s="0" t="s">
        <v>29</v>
      </c>
      <c r="M5" s="0" t="s">
        <v>29</v>
      </c>
      <c r="N5" s="0" t="s">
        <v>29</v>
      </c>
      <c r="P5" s="0" t="n">
        <f aca="false">LEN(C5)+LEN(D5)+LEN(E5)+LEN(F5)+LEN(G5)+LEN(H5)</f>
        <v>35</v>
      </c>
      <c r="R5" s="0" t="s">
        <v>37</v>
      </c>
    </row>
    <row r="6" customFormat="false" ht="15" hidden="false" customHeight="false" outlineLevel="0" collapsed="false">
      <c r="A6" s="0" t="s">
        <v>5024</v>
      </c>
      <c r="B6" s="0" t="n">
        <v>1873</v>
      </c>
      <c r="C6" s="0" t="s">
        <v>5025</v>
      </c>
      <c r="H6" s="0" t="s">
        <v>5026</v>
      </c>
      <c r="M6" s="0" t="s">
        <v>29</v>
      </c>
      <c r="N6" s="0" t="s">
        <v>29</v>
      </c>
      <c r="P6" s="0" t="n">
        <f aca="false">LEN(C6)+LEN(D6)+LEN(E6)+LEN(F6)+LEN(G6)+LEN(H6)</f>
        <v>22</v>
      </c>
      <c r="R6" s="0" t="s">
        <v>16</v>
      </c>
      <c r="S6" s="0" t="s">
        <v>17</v>
      </c>
      <c r="T6" s="0" t="s">
        <v>18</v>
      </c>
    </row>
    <row r="7" customFormat="false" ht="15" hidden="false" customHeight="false" outlineLevel="0" collapsed="false">
      <c r="A7" s="0" t="s">
        <v>5027</v>
      </c>
      <c r="B7" s="0" t="n">
        <v>1873</v>
      </c>
      <c r="C7" s="0" t="s">
        <v>5028</v>
      </c>
      <c r="H7" s="0" t="s">
        <v>5029</v>
      </c>
      <c r="I7" s="0" t="s">
        <v>29</v>
      </c>
      <c r="P7" s="0" t="n">
        <f aca="false">LEN(C7)+LEN(D7)+LEN(E7)+LEN(F7)+LEN(G7)+LEN(H7)</f>
        <v>24</v>
      </c>
      <c r="R7" s="0" t="s">
        <v>17</v>
      </c>
      <c r="T7" s="0" t="s">
        <v>24</v>
      </c>
    </row>
    <row r="8" customFormat="false" ht="15" hidden="false" customHeight="false" outlineLevel="0" collapsed="false">
      <c r="A8" s="0" t="s">
        <v>5030</v>
      </c>
      <c r="B8" s="0" t="n">
        <v>1876</v>
      </c>
      <c r="C8" s="0" t="s">
        <v>5031</v>
      </c>
      <c r="H8" s="0" t="s">
        <v>5032</v>
      </c>
      <c r="P8" s="0" t="n">
        <f aca="false">LEN(C8)+LEN(D8)+LEN(E8)+LEN(F8)+LEN(G8)+LEN(H8)</f>
        <v>22</v>
      </c>
      <c r="R8" s="0" t="s">
        <v>18</v>
      </c>
      <c r="S8" s="0" t="s">
        <v>24</v>
      </c>
    </row>
    <row r="9" s="3" customFormat="true" ht="15" hidden="false" customHeight="false" outlineLevel="0" collapsed="false">
      <c r="A9" s="3" t="s">
        <v>5033</v>
      </c>
      <c r="B9" s="3" t="n">
        <v>1876</v>
      </c>
      <c r="C9" s="3" t="s">
        <v>5034</v>
      </c>
      <c r="G9" s="3" t="s">
        <v>5035</v>
      </c>
      <c r="H9" s="3" t="s">
        <v>5036</v>
      </c>
      <c r="P9" s="3" t="n">
        <f aca="false">LEN(C9)+LEN(D9)+LEN(E9)+LEN(F9)+LEN(G9)+LEN(H9)</f>
        <v>36</v>
      </c>
    </row>
    <row r="10" customFormat="false" ht="15" hidden="false" customHeight="false" outlineLevel="0" collapsed="false">
      <c r="A10" s="0" t="s">
        <v>5037</v>
      </c>
      <c r="B10" s="0" t="n">
        <v>1876</v>
      </c>
      <c r="C10" s="0" t="s">
        <v>5038</v>
      </c>
      <c r="H10" s="0" t="s">
        <v>5039</v>
      </c>
      <c r="M10" s="0" t="s">
        <v>29</v>
      </c>
      <c r="N10" s="0" t="s">
        <v>29</v>
      </c>
      <c r="P10" s="0" t="n">
        <f aca="false">LEN(C10)+LEN(D10)+LEN(E10)+LEN(F10)+LEN(G10)+LEN(H10)</f>
        <v>26</v>
      </c>
      <c r="R10" s="0" t="s">
        <v>58</v>
      </c>
    </row>
    <row r="11" customFormat="false" ht="15" hidden="false" customHeight="false" outlineLevel="0" collapsed="false">
      <c r="A11" s="0" t="s">
        <v>5040</v>
      </c>
      <c r="B11" s="0" t="n">
        <v>1876</v>
      </c>
      <c r="C11" s="0" t="s">
        <v>5041</v>
      </c>
      <c r="H11" s="0" t="s">
        <v>5042</v>
      </c>
      <c r="I11" s="0" t="s">
        <v>69</v>
      </c>
      <c r="O11" s="0" t="n">
        <v>2</v>
      </c>
      <c r="P11" s="0" t="n">
        <f aca="false">LEN(C11)+LEN(D11)+LEN(E11)+LEN(F11)+LEN(G11)+LEN(H11)</f>
        <v>25</v>
      </c>
      <c r="R11" s="0" t="s">
        <v>63</v>
      </c>
    </row>
    <row r="12" customFormat="false" ht="15" hidden="false" customHeight="false" outlineLevel="0" collapsed="false">
      <c r="A12" s="0" t="s">
        <v>5043</v>
      </c>
      <c r="B12" s="0" t="n">
        <v>1876</v>
      </c>
      <c r="C12" s="0" t="s">
        <v>5044</v>
      </c>
      <c r="H12" s="0" t="s">
        <v>5045</v>
      </c>
      <c r="P12" s="0" t="n">
        <f aca="false">LEN(C12)+LEN(D12)+LEN(E12)+LEN(F12)+LEN(G12)+LEN(H12)</f>
        <v>17</v>
      </c>
      <c r="R12" s="0" t="s">
        <v>1441</v>
      </c>
      <c r="S12" s="0" t="s">
        <v>69</v>
      </c>
    </row>
    <row r="13" customFormat="false" ht="15" hidden="false" customHeight="false" outlineLevel="0" collapsed="false">
      <c r="A13" s="0" t="s">
        <v>5046</v>
      </c>
      <c r="B13" s="0" t="n">
        <v>1876</v>
      </c>
      <c r="C13" s="0" t="s">
        <v>5047</v>
      </c>
      <c r="H13" s="0" t="s">
        <v>5048</v>
      </c>
      <c r="I13" s="0" t="s">
        <v>69</v>
      </c>
      <c r="J13" s="0" t="s">
        <v>29</v>
      </c>
      <c r="O13" s="0" t="n">
        <v>3</v>
      </c>
      <c r="P13" s="0" t="n">
        <f aca="false">LEN(C13)+LEN(D13)+LEN(E13)+LEN(F13)+LEN(G13)+LEN(H13)</f>
        <v>21</v>
      </c>
      <c r="R13" s="0" t="s">
        <v>1445</v>
      </c>
      <c r="S13" s="0" t="s">
        <v>29</v>
      </c>
    </row>
    <row r="14" customFormat="false" ht="15" hidden="false" customHeight="false" outlineLevel="0" collapsed="false">
      <c r="A14" s="0" t="s">
        <v>5049</v>
      </c>
      <c r="B14" s="0" t="n">
        <v>1876</v>
      </c>
      <c r="C14" s="0" t="s">
        <v>5050</v>
      </c>
      <c r="H14" s="0" t="s">
        <v>5051</v>
      </c>
      <c r="N14" s="0" t="s">
        <v>29</v>
      </c>
      <c r="P14" s="0" t="n">
        <f aca="false">LEN(C14)+LEN(D14)+LEN(E14)+LEN(F14)+LEN(G14)+LEN(H14)</f>
        <v>26</v>
      </c>
    </row>
    <row r="15" customFormat="false" ht="15" hidden="false" customHeight="false" outlineLevel="0" collapsed="false">
      <c r="A15" s="0" t="s">
        <v>5052</v>
      </c>
      <c r="B15" s="0" t="n">
        <v>1876</v>
      </c>
      <c r="C15" s="0" t="s">
        <v>5053</v>
      </c>
      <c r="G15" s="0" t="s">
        <v>5054</v>
      </c>
      <c r="H15" s="0" t="s">
        <v>5042</v>
      </c>
      <c r="M15" s="0" t="s">
        <v>29</v>
      </c>
      <c r="N15" s="0" t="s">
        <v>29</v>
      </c>
      <c r="P15" s="0" t="n">
        <f aca="false">LEN(C15)+LEN(D15)+LEN(E15)+LEN(F15)+LEN(G15)+LEN(H15)</f>
        <v>38</v>
      </c>
    </row>
    <row r="16" customFormat="false" ht="15" hidden="false" customHeight="false" outlineLevel="0" collapsed="false">
      <c r="A16" s="0" t="s">
        <v>5055</v>
      </c>
      <c r="B16" s="0" t="n">
        <v>1876</v>
      </c>
      <c r="C16" s="0" t="s">
        <v>5056</v>
      </c>
      <c r="G16" s="0" t="s">
        <v>5057</v>
      </c>
      <c r="H16" s="0" t="s">
        <v>5042</v>
      </c>
      <c r="I16" s="0" t="s">
        <v>69</v>
      </c>
      <c r="O16" s="0" t="n">
        <v>1</v>
      </c>
      <c r="P16" s="0" t="n">
        <f aca="false">LEN(C16)+LEN(D16)+LEN(E16)+LEN(F16)+LEN(G16)+LEN(H16)</f>
        <v>50</v>
      </c>
    </row>
    <row r="17" customFormat="false" ht="15" hidden="false" customHeight="false" outlineLevel="0" collapsed="false">
      <c r="A17" s="0" t="s">
        <v>5058</v>
      </c>
      <c r="B17" s="0" t="n">
        <v>1876</v>
      </c>
      <c r="C17" s="0" t="s">
        <v>5059</v>
      </c>
      <c r="H17" s="0" t="s">
        <v>5060</v>
      </c>
      <c r="N17" s="0" t="s">
        <v>29</v>
      </c>
      <c r="P17" s="0" t="n">
        <f aca="false">LEN(C17)+LEN(D17)+LEN(E17)+LEN(F17)+LEN(G17)+LEN(H17)</f>
        <v>25</v>
      </c>
    </row>
    <row r="18" customFormat="false" ht="15" hidden="false" customHeight="false" outlineLevel="0" collapsed="false">
      <c r="A18" s="0" t="s">
        <v>5061</v>
      </c>
      <c r="B18" s="0" t="n">
        <v>1876</v>
      </c>
      <c r="C18" s="0" t="s">
        <v>5019</v>
      </c>
      <c r="H18" s="0" t="s">
        <v>5014</v>
      </c>
      <c r="P18" s="0" t="n">
        <f aca="false">LEN(C18)+LEN(D18)+LEN(E18)+LEN(F18)+LEN(G18)+LEN(H18)</f>
        <v>25</v>
      </c>
    </row>
    <row r="19" customFormat="false" ht="15" hidden="false" customHeight="false" outlineLevel="0" collapsed="false">
      <c r="A19" s="0" t="s">
        <v>5062</v>
      </c>
      <c r="B19" s="0" t="n">
        <v>1876</v>
      </c>
      <c r="C19" s="0" t="s">
        <v>5063</v>
      </c>
      <c r="H19" s="0" t="s">
        <v>5064</v>
      </c>
      <c r="J19" s="0" t="s">
        <v>29</v>
      </c>
      <c r="P19" s="0" t="n">
        <f aca="false">LEN(C19)+LEN(D19)+LEN(E19)+LEN(F19)+LEN(G19)+LEN(H19)</f>
        <v>27</v>
      </c>
    </row>
    <row r="20" customFormat="false" ht="15" hidden="false" customHeight="false" outlineLevel="0" collapsed="false">
      <c r="A20" s="0" t="s">
        <v>5065</v>
      </c>
      <c r="B20" s="0" t="n">
        <v>1876</v>
      </c>
      <c r="C20" s="0" t="s">
        <v>5066</v>
      </c>
      <c r="H20" s="0" t="s">
        <v>5067</v>
      </c>
      <c r="P20" s="0" t="n">
        <f aca="false">LEN(C20)+LEN(D20)+LEN(E20)+LEN(F20)+LEN(G20)+LEN(H20)</f>
        <v>24</v>
      </c>
    </row>
    <row r="21" customFormat="false" ht="15" hidden="false" customHeight="false" outlineLevel="0" collapsed="false">
      <c r="A21" s="0" t="s">
        <v>5068</v>
      </c>
      <c r="B21" s="0" t="n">
        <v>1876</v>
      </c>
      <c r="C21" s="0" t="s">
        <v>5069</v>
      </c>
      <c r="H21" s="0" t="s">
        <v>5070</v>
      </c>
      <c r="I21" s="0" t="s">
        <v>69</v>
      </c>
      <c r="O21" s="0" t="n">
        <v>2</v>
      </c>
      <c r="P21" s="0" t="n">
        <f aca="false">LEN(C21)+LEN(D21)+LEN(E21)+LEN(F21)+LEN(G21)+LEN(H21)</f>
        <v>26</v>
      </c>
    </row>
    <row r="22" customFormat="false" ht="15" hidden="false" customHeight="false" outlineLevel="0" collapsed="false">
      <c r="A22" s="0" t="s">
        <v>5071</v>
      </c>
      <c r="B22" s="0" t="n">
        <v>1876</v>
      </c>
      <c r="C22" s="0" t="s">
        <v>5072</v>
      </c>
      <c r="H22" s="0" t="s">
        <v>5073</v>
      </c>
      <c r="M22" s="0" t="s">
        <v>29</v>
      </c>
      <c r="P22" s="0" t="n">
        <f aca="false">LEN(C22)+LEN(D22)+LEN(E22)+LEN(F22)+LEN(G22)+LEN(H22)</f>
        <v>19</v>
      </c>
    </row>
    <row r="23" customFormat="false" ht="15" hidden="false" customHeight="false" outlineLevel="0" collapsed="false">
      <c r="A23" s="0" t="s">
        <v>5074</v>
      </c>
      <c r="B23" s="0" t="n">
        <v>1877</v>
      </c>
      <c r="C23" s="0" t="s">
        <v>5075</v>
      </c>
      <c r="H23" s="0" t="s">
        <v>5076</v>
      </c>
      <c r="I23" s="0" t="s">
        <v>69</v>
      </c>
      <c r="L23" s="0" t="s">
        <v>29</v>
      </c>
      <c r="O23" s="0" t="n">
        <v>2</v>
      </c>
      <c r="P23" s="0" t="n">
        <f aca="false">LEN(C23)+LEN(D23)+LEN(E23)+LEN(F23)+LEN(G23)+LEN(H23)</f>
        <v>23</v>
      </c>
    </row>
    <row r="24" s="3" customFormat="true" ht="15" hidden="false" customHeight="false" outlineLevel="0" collapsed="false">
      <c r="A24" s="3" t="s">
        <v>5077</v>
      </c>
      <c r="B24" s="3" t="n">
        <v>1877</v>
      </c>
      <c r="C24" s="3" t="s">
        <v>5078</v>
      </c>
      <c r="H24" s="3" t="s">
        <v>5014</v>
      </c>
      <c r="P24" s="3" t="n">
        <f aca="false">LEN(C24)+LEN(D24)+LEN(E24)+LEN(F24)+LEN(G24)+LEN(H24)</f>
        <v>23</v>
      </c>
    </row>
    <row r="25" customFormat="false" ht="15" hidden="false" customHeight="false" outlineLevel="0" collapsed="false">
      <c r="A25" s="0" t="s">
        <v>5079</v>
      </c>
      <c r="B25" s="0" t="n">
        <v>1877</v>
      </c>
      <c r="C25" s="0" t="s">
        <v>5080</v>
      </c>
      <c r="H25" s="0" t="s">
        <v>5081</v>
      </c>
      <c r="N25" s="0" t="s">
        <v>69</v>
      </c>
      <c r="O25" s="0" t="n">
        <v>3</v>
      </c>
      <c r="P25" s="0" t="n">
        <f aca="false">LEN(C25)+LEN(D25)+LEN(E25)+LEN(F25)+LEN(G25)+LEN(H25)</f>
        <v>37</v>
      </c>
    </row>
    <row r="26" customFormat="false" ht="15" hidden="false" customHeight="false" outlineLevel="0" collapsed="false">
      <c r="A26" s="0" t="s">
        <v>5082</v>
      </c>
      <c r="B26" s="0" t="n">
        <v>1877</v>
      </c>
      <c r="C26" s="0" t="s">
        <v>5083</v>
      </c>
      <c r="H26" s="0" t="s">
        <v>3515</v>
      </c>
      <c r="P26" s="0" t="n">
        <f aca="false">LEN(C26)+LEN(D26)+LEN(E26)+LEN(F26)+LEN(G26)+LEN(H26)</f>
        <v>26</v>
      </c>
    </row>
    <row r="27" s="3" customFormat="true" ht="15" hidden="false" customHeight="false" outlineLevel="0" collapsed="false">
      <c r="A27" s="3" t="s">
        <v>5084</v>
      </c>
      <c r="B27" s="3" t="n">
        <v>1877</v>
      </c>
      <c r="C27" s="3" t="s">
        <v>5085</v>
      </c>
      <c r="G27" s="3" t="s">
        <v>5086</v>
      </c>
      <c r="H27" s="3" t="s">
        <v>3692</v>
      </c>
      <c r="P27" s="3" t="n">
        <f aca="false">LEN(C27)+LEN(D27)+LEN(E27)+LEN(F27)+LEN(G27)+LEN(H27)</f>
        <v>34</v>
      </c>
    </row>
    <row r="28" customFormat="false" ht="15" hidden="false" customHeight="false" outlineLevel="0" collapsed="false">
      <c r="A28" s="0" t="s">
        <v>5087</v>
      </c>
      <c r="B28" s="0" t="n">
        <v>1877</v>
      </c>
      <c r="C28" s="0" t="s">
        <v>5088</v>
      </c>
      <c r="H28" s="0" t="s">
        <v>5089</v>
      </c>
      <c r="I28" s="0" t="s">
        <v>69</v>
      </c>
      <c r="O28" s="0" t="n">
        <v>2</v>
      </c>
      <c r="P28" s="0" t="n">
        <f aca="false">LEN(C28)+LEN(D28)+LEN(E28)+LEN(F28)+LEN(G28)+LEN(H28)</f>
        <v>24</v>
      </c>
    </row>
    <row r="29" customFormat="false" ht="15" hidden="false" customHeight="false" outlineLevel="0" collapsed="false">
      <c r="A29" s="0" t="s">
        <v>5090</v>
      </c>
      <c r="B29" s="0" t="n">
        <v>1877</v>
      </c>
      <c r="C29" s="0" t="s">
        <v>5091</v>
      </c>
      <c r="H29" s="0" t="s">
        <v>5014</v>
      </c>
      <c r="P29" s="0" t="n">
        <f aca="false">LEN(C29)+LEN(D29)+LEN(E29)+LEN(F29)+LEN(G29)+LEN(H29)</f>
        <v>21</v>
      </c>
    </row>
    <row r="30" customFormat="false" ht="15" hidden="false" customHeight="false" outlineLevel="0" collapsed="false">
      <c r="A30" s="0" t="s">
        <v>5092</v>
      </c>
      <c r="B30" s="0" t="n">
        <v>1877</v>
      </c>
      <c r="C30" s="0" t="s">
        <v>5093</v>
      </c>
      <c r="F30" s="0" t="s">
        <v>882</v>
      </c>
      <c r="H30" s="0" t="s">
        <v>5094</v>
      </c>
      <c r="L30" s="0" t="s">
        <v>29</v>
      </c>
      <c r="M30" s="0" t="s">
        <v>29</v>
      </c>
      <c r="P30" s="0" t="n">
        <f aca="false">LEN(C30)+LEN(D30)+LEN(E30)+LEN(F30)+LEN(G30)+LEN(H30)</f>
        <v>30</v>
      </c>
    </row>
    <row r="31" customFormat="false" ht="15" hidden="false" customHeight="false" outlineLevel="0" collapsed="false">
      <c r="A31" s="0" t="s">
        <v>5095</v>
      </c>
      <c r="B31" s="0" t="n">
        <v>1877</v>
      </c>
      <c r="C31" s="0" t="s">
        <v>5096</v>
      </c>
      <c r="G31" s="0" t="s">
        <v>5097</v>
      </c>
      <c r="H31" s="0" t="s">
        <v>5098</v>
      </c>
      <c r="P31" s="0" t="n">
        <f aca="false">LEN(C31)+LEN(D31)+LEN(E31)+LEN(F31)+LEN(G31)+LEN(H31)</f>
        <v>58</v>
      </c>
    </row>
    <row r="32" customFormat="false" ht="15" hidden="false" customHeight="false" outlineLevel="0" collapsed="false">
      <c r="A32" s="0" t="s">
        <v>5099</v>
      </c>
      <c r="B32" s="0" t="n">
        <v>1877</v>
      </c>
      <c r="C32" s="0" t="s">
        <v>5100</v>
      </c>
      <c r="H32" s="0" t="s">
        <v>5101</v>
      </c>
      <c r="I32" s="0" t="s">
        <v>69</v>
      </c>
      <c r="O32" s="0" t="n">
        <v>4</v>
      </c>
      <c r="P32" s="0" t="n">
        <f aca="false">LEN(C32)+LEN(D32)+LEN(E32)+LEN(F32)+LEN(G32)+LEN(H32)</f>
        <v>27</v>
      </c>
    </row>
    <row r="33" customFormat="false" ht="15" hidden="false" customHeight="false" outlineLevel="0" collapsed="false">
      <c r="A33" s="0" t="s">
        <v>5102</v>
      </c>
      <c r="B33" s="0" t="n">
        <v>1877</v>
      </c>
      <c r="C33" s="0" t="s">
        <v>5103</v>
      </c>
      <c r="H33" s="0" t="s">
        <v>5017</v>
      </c>
      <c r="I33" s="0" t="s">
        <v>69</v>
      </c>
      <c r="O33" s="0" t="n">
        <v>2</v>
      </c>
      <c r="P33" s="0" t="n">
        <f aca="false">LEN(C33)+LEN(D33)+LEN(E33)+LEN(F33)+LEN(G33)+LEN(H33)</f>
        <v>17</v>
      </c>
    </row>
    <row r="34" customFormat="false" ht="15" hidden="false" customHeight="false" outlineLevel="0" collapsed="false">
      <c r="A34" s="0" t="s">
        <v>5104</v>
      </c>
      <c r="B34" s="0" t="n">
        <v>1877</v>
      </c>
      <c r="C34" s="0" t="s">
        <v>5105</v>
      </c>
      <c r="H34" s="0" t="s">
        <v>5106</v>
      </c>
      <c r="P34" s="0" t="n">
        <f aca="false">LEN(C34)+LEN(D34)+LEN(E34)+LEN(F34)+LEN(G34)+LEN(H34)</f>
        <v>22</v>
      </c>
    </row>
    <row r="35" customFormat="false" ht="15" hidden="false" customHeight="false" outlineLevel="0" collapsed="false">
      <c r="A35" s="0" t="s">
        <v>5107</v>
      </c>
      <c r="B35" s="0" t="n">
        <v>1877</v>
      </c>
      <c r="C35" s="0" t="s">
        <v>5108</v>
      </c>
      <c r="H35" s="0" t="s">
        <v>5070</v>
      </c>
      <c r="P35" s="0" t="n">
        <f aca="false">LEN(C35)+LEN(D35)+LEN(E35)+LEN(F35)+LEN(G35)+LEN(H35)</f>
        <v>25</v>
      </c>
    </row>
    <row r="36" s="3" customFormat="true" ht="15" hidden="false" customHeight="false" outlineLevel="0" collapsed="false">
      <c r="A36" s="3" t="s">
        <v>5109</v>
      </c>
      <c r="B36" s="3" t="n">
        <v>1877</v>
      </c>
      <c r="C36" s="3" t="s">
        <v>5110</v>
      </c>
      <c r="H36" s="3" t="s">
        <v>5111</v>
      </c>
      <c r="P36" s="3" t="n">
        <f aca="false">LEN(C36)+LEN(D36)+LEN(E36)+LEN(F36)+LEN(G36)+LEN(H36)</f>
        <v>30</v>
      </c>
    </row>
    <row r="37" customFormat="false" ht="15" hidden="false" customHeight="false" outlineLevel="0" collapsed="false">
      <c r="A37" s="0" t="s">
        <v>5112</v>
      </c>
      <c r="B37" s="0" t="n">
        <v>1877</v>
      </c>
      <c r="C37" s="0" t="s">
        <v>5113</v>
      </c>
      <c r="G37" s="0" t="s">
        <v>5114</v>
      </c>
      <c r="H37" s="0" t="s">
        <v>5014</v>
      </c>
      <c r="M37" s="0" t="s">
        <v>29</v>
      </c>
      <c r="P37" s="0" t="n">
        <f aca="false">LEN(C37)+LEN(D37)+LEN(E37)+LEN(F37)+LEN(G37)+LEN(H37)</f>
        <v>47</v>
      </c>
    </row>
    <row r="38" customFormat="false" ht="15" hidden="false" customHeight="false" outlineLevel="0" collapsed="false">
      <c r="A38" s="0" t="s">
        <v>5115</v>
      </c>
      <c r="B38" s="0" t="n">
        <v>1877</v>
      </c>
      <c r="C38" s="0" t="s">
        <v>5116</v>
      </c>
      <c r="G38" s="0" t="s">
        <v>5117</v>
      </c>
      <c r="H38" s="0" t="s">
        <v>5042</v>
      </c>
      <c r="P38" s="0" t="n">
        <f aca="false">LEN(C38)+LEN(D38)+LEN(E38)+LEN(F38)+LEN(G38)+LEN(H38)</f>
        <v>45</v>
      </c>
    </row>
    <row r="39" customFormat="false" ht="15" hidden="false" customHeight="false" outlineLevel="0" collapsed="false">
      <c r="A39" s="0" t="s">
        <v>5118</v>
      </c>
      <c r="B39" s="0" t="n">
        <v>1877</v>
      </c>
      <c r="C39" s="0" t="s">
        <v>5119</v>
      </c>
      <c r="H39" s="0" t="s">
        <v>5120</v>
      </c>
      <c r="I39" s="0" t="s">
        <v>69</v>
      </c>
      <c r="M39" s="0" t="s">
        <v>29</v>
      </c>
      <c r="N39" s="0" t="s">
        <v>29</v>
      </c>
      <c r="O39" s="0" t="n">
        <v>2</v>
      </c>
      <c r="P39" s="0" t="n">
        <f aca="false">LEN(C39)+LEN(D39)+LEN(E39)+LEN(F39)+LEN(G39)+LEN(H39)</f>
        <v>24</v>
      </c>
    </row>
    <row r="40" customFormat="false" ht="15" hidden="false" customHeight="false" outlineLevel="0" collapsed="false">
      <c r="A40" s="0" t="s">
        <v>5121</v>
      </c>
      <c r="B40" s="0" t="n">
        <v>1880</v>
      </c>
      <c r="C40" s="0" t="s">
        <v>5122</v>
      </c>
      <c r="H40" s="0" t="s">
        <v>5123</v>
      </c>
      <c r="P40" s="0" t="n">
        <f aca="false">LEN(C40)+LEN(D40)+LEN(E40)+LEN(F40)+LEN(G40)+LEN(H40)</f>
        <v>22</v>
      </c>
    </row>
    <row r="41" customFormat="false" ht="15" hidden="false" customHeight="false" outlineLevel="0" collapsed="false">
      <c r="A41" s="0" t="s">
        <v>5124</v>
      </c>
      <c r="B41" s="0" t="n">
        <v>1880</v>
      </c>
      <c r="C41" s="0" t="s">
        <v>5125</v>
      </c>
      <c r="H41" s="0" t="s">
        <v>5123</v>
      </c>
      <c r="P41" s="0" t="n">
        <f aca="false">LEN(C41)+LEN(D41)+LEN(E41)+LEN(F41)+LEN(G41)+LEN(H41)</f>
        <v>22</v>
      </c>
    </row>
    <row r="42" customFormat="false" ht="15" hidden="false" customHeight="false" outlineLevel="0" collapsed="false">
      <c r="A42" s="0" t="s">
        <v>5126</v>
      </c>
      <c r="B42" s="0" t="n">
        <v>1880</v>
      </c>
      <c r="C42" s="0" t="s">
        <v>5127</v>
      </c>
      <c r="H42" s="0" t="s">
        <v>5128</v>
      </c>
      <c r="M42" s="0" t="s">
        <v>29</v>
      </c>
      <c r="P42" s="0" t="n">
        <f aca="false">LEN(C42)+LEN(D42)+LEN(E42)+LEN(F42)+LEN(G42)+LEN(H42)</f>
        <v>21</v>
      </c>
    </row>
    <row r="43" s="3" customFormat="true" ht="15" hidden="false" customHeight="false" outlineLevel="0" collapsed="false">
      <c r="A43" s="3" t="s">
        <v>5129</v>
      </c>
      <c r="B43" s="3" t="n">
        <v>1880</v>
      </c>
      <c r="C43" s="3" t="s">
        <v>5130</v>
      </c>
      <c r="G43" s="3" t="s">
        <v>5114</v>
      </c>
      <c r="H43" s="3" t="s">
        <v>5014</v>
      </c>
      <c r="P43" s="3" t="n">
        <f aca="false">LEN(C43)+LEN(D43)+LEN(E43)+LEN(F43)+LEN(G43)+LEN(H43)</f>
        <v>48</v>
      </c>
    </row>
    <row r="44" customFormat="false" ht="15" hidden="false" customHeight="false" outlineLevel="0" collapsed="false">
      <c r="A44" s="0" t="s">
        <v>5131</v>
      </c>
      <c r="B44" s="0" t="n">
        <v>1880</v>
      </c>
      <c r="C44" s="0" t="s">
        <v>5132</v>
      </c>
      <c r="D44" s="0" t="s">
        <v>5133</v>
      </c>
      <c r="H44" s="0" t="s">
        <v>5134</v>
      </c>
      <c r="P44" s="0" t="n">
        <f aca="false">LEN(C44)+LEN(D44)+LEN(E44)+LEN(F44)+LEN(G44)+LEN(H44)</f>
        <v>43</v>
      </c>
    </row>
    <row r="45" customFormat="false" ht="15" hidden="false" customHeight="false" outlineLevel="0" collapsed="false">
      <c r="A45" s="0" t="s">
        <v>5135</v>
      </c>
      <c r="B45" s="0" t="n">
        <v>1880</v>
      </c>
      <c r="C45" s="0" t="s">
        <v>5136</v>
      </c>
      <c r="G45" s="0" t="s">
        <v>5137</v>
      </c>
      <c r="H45" s="0" t="s">
        <v>5138</v>
      </c>
      <c r="P45" s="0" t="n">
        <f aca="false">LEN(C45)+LEN(D45)+LEN(E45)+LEN(F45)+LEN(G45)+LEN(H45)</f>
        <v>52</v>
      </c>
    </row>
    <row r="46" customFormat="false" ht="15" hidden="false" customHeight="false" outlineLevel="0" collapsed="false">
      <c r="A46" s="0" t="s">
        <v>5139</v>
      </c>
      <c r="B46" s="0" t="n">
        <v>1880</v>
      </c>
      <c r="C46" s="0" t="s">
        <v>5140</v>
      </c>
      <c r="H46" s="0" t="s">
        <v>5141</v>
      </c>
      <c r="I46" s="0" t="s">
        <v>29</v>
      </c>
      <c r="P46" s="0" t="n">
        <f aca="false">LEN(C46)+LEN(D46)+LEN(E46)+LEN(F46)+LEN(G46)+LEN(H46)</f>
        <v>23</v>
      </c>
    </row>
    <row r="47" customFormat="false" ht="15" hidden="false" customHeight="false" outlineLevel="0" collapsed="false">
      <c r="A47" s="0" t="s">
        <v>5142</v>
      </c>
      <c r="B47" s="0" t="n">
        <v>1880</v>
      </c>
      <c r="C47" s="0" t="s">
        <v>5143</v>
      </c>
      <c r="H47" s="0" t="s">
        <v>5144</v>
      </c>
      <c r="M47" s="0" t="s">
        <v>29</v>
      </c>
      <c r="P47" s="0" t="n">
        <f aca="false">LEN(C47)+LEN(D47)+LEN(E47)+LEN(F47)+LEN(G47)+LEN(H47)</f>
        <v>23</v>
      </c>
    </row>
    <row r="48" customFormat="false" ht="15" hidden="false" customHeight="false" outlineLevel="0" collapsed="false">
      <c r="A48" s="0" t="s">
        <v>5145</v>
      </c>
      <c r="B48" s="0" t="n">
        <v>1880</v>
      </c>
      <c r="C48" s="0" t="s">
        <v>5146</v>
      </c>
      <c r="H48" s="0" t="s">
        <v>5147</v>
      </c>
      <c r="N48" s="0" t="s">
        <v>29</v>
      </c>
      <c r="P48" s="0" t="n">
        <f aca="false">LEN(C48)+LEN(D48)+LEN(E48)+LEN(F48)+LEN(G48)+LEN(H48)</f>
        <v>25</v>
      </c>
    </row>
    <row r="49" customFormat="false" ht="15" hidden="false" customHeight="false" outlineLevel="0" collapsed="false">
      <c r="A49" s="0" t="s">
        <v>5148</v>
      </c>
      <c r="B49" s="0" t="n">
        <v>1880</v>
      </c>
      <c r="C49" s="0" t="s">
        <v>5149</v>
      </c>
      <c r="H49" s="0" t="s">
        <v>5150</v>
      </c>
      <c r="M49" s="0" t="s">
        <v>29</v>
      </c>
      <c r="N49" s="0" t="s">
        <v>29</v>
      </c>
      <c r="P49" s="0" t="n">
        <f aca="false">LEN(C49)+LEN(D49)+LEN(E49)+LEN(F49)+LEN(G49)+LEN(H49)</f>
        <v>32</v>
      </c>
    </row>
    <row r="50" customFormat="false" ht="15" hidden="false" customHeight="false" outlineLevel="0" collapsed="false">
      <c r="A50" s="0" t="s">
        <v>5151</v>
      </c>
      <c r="B50" s="0" t="n">
        <v>1880</v>
      </c>
      <c r="C50" s="0" t="s">
        <v>5152</v>
      </c>
      <c r="H50" s="0" t="s">
        <v>5070</v>
      </c>
      <c r="P50" s="0" t="n">
        <f aca="false">LEN(C50)+LEN(D50)+LEN(E50)+LEN(F50)+LEN(G50)+LEN(H50)</f>
        <v>24</v>
      </c>
    </row>
    <row r="51" s="3" customFormat="true" ht="15" hidden="false" customHeight="false" outlineLevel="0" collapsed="false">
      <c r="A51" s="3" t="s">
        <v>5153</v>
      </c>
      <c r="B51" s="3" t="n">
        <v>1880</v>
      </c>
      <c r="C51" s="3" t="s">
        <v>5154</v>
      </c>
      <c r="H51" s="3" t="s">
        <v>5155</v>
      </c>
      <c r="P51" s="3" t="n">
        <f aca="false">LEN(C51)+LEN(D51)+LEN(E51)+LEN(F51)+LEN(G51)+LEN(H51)</f>
        <v>21</v>
      </c>
    </row>
    <row r="52" customFormat="false" ht="15" hidden="false" customHeight="false" outlineLevel="0" collapsed="false">
      <c r="A52" s="0" t="s">
        <v>5156</v>
      </c>
      <c r="B52" s="0" t="n">
        <v>1880</v>
      </c>
      <c r="C52" s="0" t="s">
        <v>5157</v>
      </c>
      <c r="G52" s="0" t="s">
        <v>5158</v>
      </c>
      <c r="H52" s="0" t="s">
        <v>5042</v>
      </c>
      <c r="P52" s="0" t="n">
        <f aca="false">LEN(C52)+LEN(D52)+LEN(E52)+LEN(F52)+LEN(G52)+LEN(H52)</f>
        <v>41</v>
      </c>
    </row>
    <row r="53" customFormat="false" ht="15" hidden="false" customHeight="false" outlineLevel="0" collapsed="false">
      <c r="A53" s="0" t="s">
        <v>5159</v>
      </c>
      <c r="B53" s="0" t="n">
        <v>1880</v>
      </c>
      <c r="C53" s="0" t="s">
        <v>5160</v>
      </c>
      <c r="D53" s="0" t="s">
        <v>5161</v>
      </c>
      <c r="H53" s="0" t="s">
        <v>5162</v>
      </c>
      <c r="L53" s="0" t="s">
        <v>29</v>
      </c>
      <c r="P53" s="0" t="n">
        <f aca="false">LEN(C53)+LEN(D53)+LEN(E53)+LEN(F53)+LEN(G53)+LEN(H53)</f>
        <v>35</v>
      </c>
    </row>
    <row r="54" customFormat="false" ht="15" hidden="false" customHeight="false" outlineLevel="0" collapsed="false">
      <c r="A54" s="0" t="s">
        <v>5163</v>
      </c>
      <c r="B54" s="0" t="n">
        <v>1880</v>
      </c>
      <c r="C54" s="0" t="s">
        <v>5164</v>
      </c>
      <c r="H54" s="0" t="s">
        <v>5165</v>
      </c>
      <c r="I54" s="0" t="s">
        <v>29</v>
      </c>
      <c r="P54" s="0" t="n">
        <f aca="false">LEN(C54)+LEN(D54)+LEN(E54)+LEN(F54)+LEN(G54)+LEN(H54)</f>
        <v>17</v>
      </c>
    </row>
    <row r="55" customFormat="false" ht="15" hidden="false" customHeight="false" outlineLevel="0" collapsed="false">
      <c r="A55" s="0" t="s">
        <v>5166</v>
      </c>
      <c r="B55" s="0" t="n">
        <v>1880</v>
      </c>
      <c r="C55" s="0" t="s">
        <v>5167</v>
      </c>
      <c r="H55" s="0" t="s">
        <v>5168</v>
      </c>
      <c r="I55" s="0" t="s">
        <v>69</v>
      </c>
      <c r="O55" s="0" t="n">
        <v>4</v>
      </c>
      <c r="P55" s="0" t="n">
        <f aca="false">LEN(C55)+LEN(D55)+LEN(E55)+LEN(F55)+LEN(G55)+LEN(H55)</f>
        <v>22</v>
      </c>
    </row>
    <row r="56" customFormat="false" ht="15" hidden="false" customHeight="false" outlineLevel="0" collapsed="false">
      <c r="A56" s="0" t="s">
        <v>5169</v>
      </c>
      <c r="B56" s="0" t="n">
        <v>1880</v>
      </c>
      <c r="C56" s="0" t="s">
        <v>5170</v>
      </c>
      <c r="H56" s="0" t="s">
        <v>5171</v>
      </c>
      <c r="P56" s="0" t="n">
        <f aca="false">LEN(C56)+LEN(D56)+LEN(E56)+LEN(F56)+LEN(G56)+LEN(H56)</f>
        <v>24</v>
      </c>
    </row>
    <row r="57" customFormat="false" ht="15" hidden="false" customHeight="false" outlineLevel="0" collapsed="false">
      <c r="A57" s="0" t="s">
        <v>5172</v>
      </c>
      <c r="B57" s="0" t="n">
        <v>1880</v>
      </c>
      <c r="C57" s="0" t="s">
        <v>5173</v>
      </c>
      <c r="G57" s="0" t="s">
        <v>5174</v>
      </c>
      <c r="H57" s="0" t="s">
        <v>5175</v>
      </c>
      <c r="I57" s="0" t="s">
        <v>69</v>
      </c>
      <c r="M57" s="0" t="s">
        <v>29</v>
      </c>
      <c r="O57" s="0" t="n">
        <v>2</v>
      </c>
      <c r="P57" s="0" t="n">
        <f aca="false">LEN(C57)+LEN(D57)+LEN(E57)+LEN(F57)+LEN(G57)+LEN(H57)</f>
        <v>38</v>
      </c>
    </row>
    <row r="58" customFormat="false" ht="15" hidden="false" customHeight="false" outlineLevel="0" collapsed="false">
      <c r="A58" s="0" t="s">
        <v>5176</v>
      </c>
      <c r="B58" s="0" t="n">
        <v>1880</v>
      </c>
      <c r="C58" s="0" t="s">
        <v>5177</v>
      </c>
      <c r="H58" s="0" t="s">
        <v>5178</v>
      </c>
      <c r="P58" s="0" t="n">
        <f aca="false">LEN(C58)+LEN(D58)+LEN(E58)+LEN(F58)+LEN(G58)+LEN(H58)</f>
        <v>23</v>
      </c>
    </row>
    <row r="59" customFormat="false" ht="15" hidden="false" customHeight="false" outlineLevel="0" collapsed="false">
      <c r="A59" s="0" t="s">
        <v>5179</v>
      </c>
      <c r="B59" s="0" t="n">
        <v>1880</v>
      </c>
      <c r="C59" s="0" t="s">
        <v>5180</v>
      </c>
      <c r="H59" s="0" t="s">
        <v>5181</v>
      </c>
      <c r="L59" s="0" t="s">
        <v>29</v>
      </c>
      <c r="M59" s="0" t="s">
        <v>29</v>
      </c>
      <c r="N59" s="0" t="s">
        <v>29</v>
      </c>
      <c r="P59" s="0" t="n">
        <f aca="false">LEN(C59)+LEN(D59)+LEN(E59)+LEN(F59)+LEN(G59)+LEN(H59)</f>
        <v>28</v>
      </c>
    </row>
    <row r="60" customFormat="false" ht="15" hidden="false" customHeight="false" outlineLevel="0" collapsed="false">
      <c r="A60" s="0" t="s">
        <v>5182</v>
      </c>
      <c r="B60" s="0" t="n">
        <v>1880</v>
      </c>
      <c r="C60" s="0" t="s">
        <v>5183</v>
      </c>
      <c r="H60" s="0" t="s">
        <v>5184</v>
      </c>
      <c r="P60" s="0" t="n">
        <f aca="false">LEN(C60)+LEN(D60)+LEN(E60)+LEN(F60)+LEN(G60)+LEN(H60)</f>
        <v>24</v>
      </c>
    </row>
    <row r="61" customFormat="false" ht="15" hidden="false" customHeight="false" outlineLevel="0" collapsed="false">
      <c r="A61" s="0" t="s">
        <v>5185</v>
      </c>
      <c r="B61" s="0" t="n">
        <v>1880</v>
      </c>
      <c r="C61" s="0" t="s">
        <v>5186</v>
      </c>
      <c r="H61" s="0" t="s">
        <v>5187</v>
      </c>
      <c r="I61" s="0" t="s">
        <v>69</v>
      </c>
      <c r="O61" s="0" t="n">
        <v>2</v>
      </c>
      <c r="P61" s="0" t="n">
        <f aca="false">LEN(C61)+LEN(D61)+LEN(E61)+LEN(F61)+LEN(G61)+LEN(H61)</f>
        <v>23</v>
      </c>
    </row>
    <row r="62" customFormat="false" ht="15" hidden="false" customHeight="false" outlineLevel="0" collapsed="false">
      <c r="A62" s="0" t="s">
        <v>5188</v>
      </c>
      <c r="B62" s="0" t="n">
        <v>1880</v>
      </c>
      <c r="C62" s="0" t="s">
        <v>5189</v>
      </c>
      <c r="H62" s="0" t="s">
        <v>5070</v>
      </c>
      <c r="P62" s="0" t="n">
        <f aca="false">LEN(C62)+LEN(D62)+LEN(E62)+LEN(F62)+LEN(G62)+LEN(H62)</f>
        <v>26</v>
      </c>
    </row>
    <row r="63" customFormat="false" ht="15" hidden="false" customHeight="false" outlineLevel="0" collapsed="false">
      <c r="A63" s="0" t="s">
        <v>5190</v>
      </c>
      <c r="B63" s="0" t="n">
        <v>1880</v>
      </c>
      <c r="C63" s="0" t="s">
        <v>5191</v>
      </c>
      <c r="H63" s="0" t="s">
        <v>5192</v>
      </c>
      <c r="I63" s="0" t="s">
        <v>69</v>
      </c>
      <c r="O63" s="0" t="n">
        <v>4</v>
      </c>
      <c r="P63" s="0" t="n">
        <f aca="false">LEN(C63)+LEN(D63)+LEN(E63)+LEN(F63)+LEN(G63)+LEN(H63)</f>
        <v>32</v>
      </c>
    </row>
    <row r="64" customFormat="false" ht="15" hidden="false" customHeight="false" outlineLevel="0" collapsed="false">
      <c r="A64" s="0" t="s">
        <v>5193</v>
      </c>
      <c r="B64" s="0" t="n">
        <v>1880</v>
      </c>
      <c r="C64" s="0" t="s">
        <v>5194</v>
      </c>
      <c r="H64" s="0" t="s">
        <v>5195</v>
      </c>
      <c r="I64" s="0" t="s">
        <v>29</v>
      </c>
      <c r="P64" s="0" t="n">
        <f aca="false">LEN(C64)+LEN(D64)+LEN(E64)+LEN(F64)+LEN(G64)+LEN(H64)</f>
        <v>19</v>
      </c>
    </row>
    <row r="65" customFormat="false" ht="15" hidden="false" customHeight="false" outlineLevel="0" collapsed="false">
      <c r="A65" s="0" t="s">
        <v>5196</v>
      </c>
      <c r="B65" s="0" t="n">
        <v>1880</v>
      </c>
      <c r="C65" s="0" t="s">
        <v>5197</v>
      </c>
      <c r="G65" s="0" t="s">
        <v>5198</v>
      </c>
      <c r="H65" s="0" t="s">
        <v>5175</v>
      </c>
      <c r="M65" s="0" t="s">
        <v>29</v>
      </c>
      <c r="N65" s="0" t="s">
        <v>29</v>
      </c>
      <c r="P65" s="0" t="n">
        <f aca="false">LEN(C65)+LEN(D65)+LEN(E65)+LEN(F65)+LEN(G65)+LEN(H65)</f>
        <v>40</v>
      </c>
    </row>
    <row r="66" customFormat="false" ht="15" hidden="false" customHeight="false" outlineLevel="0" collapsed="false">
      <c r="A66" s="0" t="s">
        <v>5199</v>
      </c>
      <c r="B66" s="0" t="n">
        <v>1882</v>
      </c>
      <c r="C66" s="0" t="s">
        <v>5200</v>
      </c>
      <c r="H66" s="0" t="s">
        <v>5201</v>
      </c>
      <c r="M66" s="0" t="s">
        <v>29</v>
      </c>
      <c r="N66" s="0" t="s">
        <v>69</v>
      </c>
      <c r="O66" s="0" t="n">
        <v>3</v>
      </c>
      <c r="P66" s="0" t="n">
        <f aca="false">LEN(C66)+LEN(D66)+LEN(E66)+LEN(F66)+LEN(G66)+LEN(H66)</f>
        <v>20</v>
      </c>
    </row>
    <row r="67" customFormat="false" ht="15" hidden="false" customHeight="false" outlineLevel="0" collapsed="false">
      <c r="A67" s="0" t="s">
        <v>5202</v>
      </c>
      <c r="B67" s="0" t="n">
        <v>1882</v>
      </c>
      <c r="C67" s="0" t="s">
        <v>5203</v>
      </c>
      <c r="H67" s="0" t="s">
        <v>5204</v>
      </c>
      <c r="M67" s="0" t="s">
        <v>29</v>
      </c>
      <c r="P67" s="0" t="n">
        <f aca="false">LEN(C67)+LEN(D67)+LEN(E67)+LEN(F67)+LEN(G67)+LEN(H67)</f>
        <v>26</v>
      </c>
    </row>
    <row r="68" customFormat="false" ht="15" hidden="false" customHeight="false" outlineLevel="0" collapsed="false">
      <c r="A68" s="0" t="s">
        <v>5205</v>
      </c>
      <c r="B68" s="0" t="n">
        <v>1882</v>
      </c>
      <c r="C68" s="0" t="s">
        <v>5206</v>
      </c>
      <c r="H68" s="0" t="s">
        <v>5070</v>
      </c>
      <c r="I68" s="0" t="s">
        <v>69</v>
      </c>
      <c r="O68" s="0" t="n">
        <v>2</v>
      </c>
      <c r="P68" s="0" t="n">
        <f aca="false">LEN(C68)+LEN(D68)+LEN(E68)+LEN(F68)+LEN(G68)+LEN(H68)</f>
        <v>23</v>
      </c>
    </row>
    <row r="69" s="3" customFormat="true" ht="15" hidden="false" customHeight="false" outlineLevel="0" collapsed="false">
      <c r="A69" s="3" t="s">
        <v>5207</v>
      </c>
      <c r="B69" s="3" t="n">
        <v>1882</v>
      </c>
      <c r="C69" s="3" t="s">
        <v>5208</v>
      </c>
      <c r="H69" s="3" t="s">
        <v>5014</v>
      </c>
      <c r="P69" s="3" t="n">
        <f aca="false">LEN(C69)+LEN(D69)+LEN(E69)+LEN(F69)+LEN(G69)+LEN(H69)</f>
        <v>21</v>
      </c>
    </row>
    <row r="70" customFormat="false" ht="15" hidden="false" customHeight="false" outlineLevel="0" collapsed="false">
      <c r="A70" s="0" t="s">
        <v>5209</v>
      </c>
      <c r="B70" s="0" t="n">
        <v>1882</v>
      </c>
      <c r="C70" s="0" t="s">
        <v>5210</v>
      </c>
      <c r="H70" s="0" t="s">
        <v>5070</v>
      </c>
      <c r="P70" s="0" t="n">
        <f aca="false">LEN(C70)+LEN(D70)+LEN(E70)+LEN(F70)+LEN(G70)+LEN(H70)</f>
        <v>25</v>
      </c>
    </row>
    <row r="71" customFormat="false" ht="15" hidden="false" customHeight="false" outlineLevel="0" collapsed="false">
      <c r="A71" s="0" t="s">
        <v>5211</v>
      </c>
      <c r="B71" s="0" t="n">
        <v>1882</v>
      </c>
      <c r="C71" s="0" t="s">
        <v>5212</v>
      </c>
      <c r="H71" s="0" t="s">
        <v>5123</v>
      </c>
      <c r="P71" s="0" t="n">
        <f aca="false">LEN(C71)+LEN(D71)+LEN(E71)+LEN(F71)+LEN(G71)+LEN(H71)</f>
        <v>22</v>
      </c>
    </row>
    <row r="72" customFormat="false" ht="15" hidden="false" customHeight="false" outlineLevel="0" collapsed="false">
      <c r="A72" s="0" t="s">
        <v>5213</v>
      </c>
      <c r="B72" s="0" t="n">
        <v>1882</v>
      </c>
      <c r="C72" s="0" t="s">
        <v>5214</v>
      </c>
      <c r="H72" s="0" t="s">
        <v>5215</v>
      </c>
      <c r="M72" s="0" t="s">
        <v>29</v>
      </c>
      <c r="P72" s="0" t="n">
        <f aca="false">LEN(C72)+LEN(D72)+LEN(E72)+LEN(F72)+LEN(G72)+LEN(H72)</f>
        <v>17</v>
      </c>
    </row>
    <row r="73" customFormat="false" ht="15" hidden="false" customHeight="false" outlineLevel="0" collapsed="false">
      <c r="A73" s="0" t="s">
        <v>5216</v>
      </c>
      <c r="B73" s="0" t="n">
        <v>1882</v>
      </c>
      <c r="C73" s="0" t="s">
        <v>5217</v>
      </c>
      <c r="H73" s="0" t="s">
        <v>5218</v>
      </c>
      <c r="N73" s="0" t="s">
        <v>29</v>
      </c>
      <c r="P73" s="0" t="n">
        <f aca="false">LEN(C73)+LEN(D73)+LEN(E73)+LEN(F73)+LEN(G73)+LEN(H73)</f>
        <v>27</v>
      </c>
    </row>
    <row r="74" customFormat="false" ht="15" hidden="false" customHeight="false" outlineLevel="0" collapsed="false">
      <c r="A74" s="0" t="s">
        <v>5219</v>
      </c>
      <c r="B74" s="0" t="n">
        <v>1882</v>
      </c>
      <c r="C74" s="0" t="s">
        <v>5220</v>
      </c>
      <c r="H74" s="0" t="s">
        <v>4896</v>
      </c>
      <c r="M74" s="0" t="s">
        <v>29</v>
      </c>
      <c r="N74" s="0" t="s">
        <v>29</v>
      </c>
      <c r="P74" s="0" t="n">
        <f aca="false">LEN(C74)+LEN(D74)+LEN(E74)+LEN(F74)+LEN(G74)+LEN(H74)</f>
        <v>22</v>
      </c>
    </row>
    <row r="75" customFormat="false" ht="15" hidden="false" customHeight="false" outlineLevel="0" collapsed="false">
      <c r="A75" s="0" t="s">
        <v>5221</v>
      </c>
      <c r="B75" s="0" t="n">
        <v>1882</v>
      </c>
      <c r="C75" s="0" t="s">
        <v>5222</v>
      </c>
      <c r="H75" s="0" t="s">
        <v>5184</v>
      </c>
      <c r="I75" s="0" t="s">
        <v>29</v>
      </c>
      <c r="P75" s="0" t="n">
        <f aca="false">LEN(C75)+LEN(D75)+LEN(E75)+LEN(F75)+LEN(G75)+LEN(H75)</f>
        <v>22</v>
      </c>
    </row>
    <row r="76" customFormat="false" ht="15" hidden="false" customHeight="false" outlineLevel="0" collapsed="false">
      <c r="A76" s="0" t="s">
        <v>5223</v>
      </c>
      <c r="B76" s="0" t="n">
        <v>1882</v>
      </c>
      <c r="C76" s="0" t="s">
        <v>5224</v>
      </c>
      <c r="H76" s="0" t="s">
        <v>5225</v>
      </c>
      <c r="M76" s="0" t="s">
        <v>29</v>
      </c>
      <c r="P76" s="0" t="n">
        <f aca="false">LEN(C76)+LEN(D76)+LEN(E76)+LEN(F76)+LEN(G76)+LEN(H76)</f>
        <v>21</v>
      </c>
    </row>
    <row r="77" customFormat="false" ht="15" hidden="false" customHeight="false" outlineLevel="0" collapsed="false">
      <c r="A77" s="0" t="s">
        <v>5226</v>
      </c>
      <c r="B77" s="0" t="n">
        <v>1882</v>
      </c>
      <c r="C77" s="0" t="s">
        <v>5227</v>
      </c>
      <c r="H77" s="0" t="s">
        <v>5228</v>
      </c>
      <c r="M77" s="0" t="s">
        <v>29</v>
      </c>
      <c r="P77" s="0" t="n">
        <f aca="false">LEN(C77)+LEN(D77)+LEN(E77)+LEN(F77)+LEN(G77)+LEN(H77)</f>
        <v>28</v>
      </c>
    </row>
    <row r="78" customFormat="false" ht="15" hidden="false" customHeight="false" outlineLevel="0" collapsed="false">
      <c r="A78" s="0" t="s">
        <v>5229</v>
      </c>
      <c r="B78" s="0" t="n">
        <v>1882</v>
      </c>
      <c r="C78" s="0" t="s">
        <v>5230</v>
      </c>
      <c r="H78" s="0" t="s">
        <v>5231</v>
      </c>
      <c r="P78" s="0" t="n">
        <f aca="false">LEN(C78)+LEN(D78)+LEN(E78)+LEN(F78)+LEN(G78)+LEN(H78)</f>
        <v>25</v>
      </c>
    </row>
    <row r="79" customFormat="false" ht="15" hidden="false" customHeight="false" outlineLevel="0" collapsed="false">
      <c r="A79" s="0" t="s">
        <v>5232</v>
      </c>
      <c r="B79" s="0" t="n">
        <v>1882</v>
      </c>
      <c r="C79" s="0" t="s">
        <v>5233</v>
      </c>
      <c r="H79" s="0" t="s">
        <v>5234</v>
      </c>
      <c r="I79" s="0" t="s">
        <v>69</v>
      </c>
      <c r="M79" s="0" t="s">
        <v>29</v>
      </c>
      <c r="O79" s="0" t="n">
        <v>2</v>
      </c>
      <c r="P79" s="0" t="n">
        <f aca="false">LEN(C79)+LEN(D79)+LEN(E79)+LEN(F79)+LEN(G79)+LEN(H79)</f>
        <v>20</v>
      </c>
    </row>
    <row r="80" s="3" customFormat="true" ht="15" hidden="false" customHeight="false" outlineLevel="0" collapsed="false">
      <c r="A80" s="3" t="s">
        <v>5235</v>
      </c>
      <c r="B80" s="3" t="n">
        <v>1882</v>
      </c>
      <c r="C80" s="3" t="s">
        <v>5236</v>
      </c>
      <c r="H80" s="3" t="s">
        <v>5237</v>
      </c>
      <c r="P80" s="3" t="n">
        <f aca="false">LEN(C80)+LEN(D80)+LEN(E80)+LEN(F80)+LEN(G80)+LEN(H80)</f>
        <v>21</v>
      </c>
    </row>
    <row r="81" customFormat="false" ht="15" hidden="false" customHeight="false" outlineLevel="0" collapsed="false">
      <c r="A81" s="0" t="s">
        <v>5238</v>
      </c>
      <c r="B81" s="0" t="n">
        <v>1882</v>
      </c>
      <c r="C81" s="0" t="s">
        <v>5239</v>
      </c>
      <c r="H81" s="0" t="s">
        <v>5240</v>
      </c>
      <c r="I81" s="0" t="s">
        <v>69</v>
      </c>
      <c r="O81" s="0" t="n">
        <v>3</v>
      </c>
      <c r="P81" s="0" t="n">
        <f aca="false">LEN(C81)+LEN(D81)+LEN(E81)+LEN(F81)+LEN(G81)+LEN(H81)</f>
        <v>27</v>
      </c>
    </row>
    <row r="82" customFormat="false" ht="15" hidden="false" customHeight="false" outlineLevel="0" collapsed="false">
      <c r="A82" s="0" t="s">
        <v>5241</v>
      </c>
      <c r="B82" s="0" t="n">
        <v>1882</v>
      </c>
      <c r="C82" s="0" t="s">
        <v>5242</v>
      </c>
      <c r="H82" s="0" t="s">
        <v>5014</v>
      </c>
      <c r="I82" s="0" t="s">
        <v>69</v>
      </c>
      <c r="O82" s="0" t="n">
        <v>3</v>
      </c>
      <c r="P82" s="0" t="n">
        <f aca="false">LEN(C82)+LEN(D82)+LEN(E82)+LEN(F82)+LEN(G82)+LEN(H82)</f>
        <v>22</v>
      </c>
    </row>
    <row r="83" s="3" customFormat="true" ht="15" hidden="false" customHeight="false" outlineLevel="0" collapsed="false">
      <c r="A83" s="3" t="s">
        <v>5243</v>
      </c>
      <c r="B83" s="3" t="n">
        <v>1882</v>
      </c>
      <c r="C83" s="3" t="s">
        <v>5244</v>
      </c>
      <c r="H83" s="3" t="s">
        <v>5014</v>
      </c>
      <c r="P83" s="3" t="n">
        <f aca="false">LEN(C83)+LEN(D83)+LEN(E83)+LEN(F83)+LEN(G83)+LEN(H83)</f>
        <v>22</v>
      </c>
    </row>
    <row r="84" customFormat="false" ht="15" hidden="false" customHeight="false" outlineLevel="0" collapsed="false">
      <c r="A84" s="0" t="s">
        <v>5245</v>
      </c>
      <c r="B84" s="0" t="n">
        <v>1882</v>
      </c>
      <c r="C84" s="0" t="s">
        <v>5246</v>
      </c>
      <c r="H84" s="0" t="s">
        <v>5247</v>
      </c>
      <c r="I84" s="0" t="s">
        <v>29</v>
      </c>
      <c r="P84" s="0" t="n">
        <f aca="false">LEN(C84)+LEN(D84)+LEN(E84)+LEN(F84)+LEN(G84)+LEN(H84)</f>
        <v>26</v>
      </c>
    </row>
    <row r="85" customFormat="false" ht="15" hidden="false" customHeight="false" outlineLevel="0" collapsed="false">
      <c r="A85" s="0" t="s">
        <v>5248</v>
      </c>
      <c r="B85" s="0" t="n">
        <v>1882</v>
      </c>
      <c r="C85" s="0" t="s">
        <v>5249</v>
      </c>
      <c r="H85" s="0" t="s">
        <v>5014</v>
      </c>
      <c r="I85" s="0" t="s">
        <v>69</v>
      </c>
      <c r="O85" s="0" t="n">
        <v>2</v>
      </c>
      <c r="P85" s="0" t="n">
        <f aca="false">LEN(C85)+LEN(D85)+LEN(E85)+LEN(F85)+LEN(G85)+LEN(H85)</f>
        <v>24</v>
      </c>
    </row>
    <row r="86" customFormat="false" ht="15" hidden="false" customHeight="false" outlineLevel="0" collapsed="false">
      <c r="A86" s="0" t="s">
        <v>5250</v>
      </c>
      <c r="B86" s="0" t="n">
        <v>1882</v>
      </c>
      <c r="C86" s="0" t="s">
        <v>5251</v>
      </c>
      <c r="H86" s="0" t="s">
        <v>5252</v>
      </c>
      <c r="P86" s="0" t="n">
        <f aca="false">LEN(C86)+LEN(D86)+LEN(E86)+LEN(F86)+LEN(G86)+LEN(H86)</f>
        <v>21</v>
      </c>
    </row>
    <row r="87" customFormat="false" ht="15" hidden="false" customHeight="false" outlineLevel="0" collapsed="false">
      <c r="A87" s="0" t="s">
        <v>5253</v>
      </c>
      <c r="B87" s="0" t="n">
        <v>1882</v>
      </c>
      <c r="C87" s="0" t="s">
        <v>5254</v>
      </c>
      <c r="H87" s="0" t="s">
        <v>5123</v>
      </c>
      <c r="I87" s="0" t="s">
        <v>69</v>
      </c>
      <c r="O87" s="0" t="n">
        <v>2</v>
      </c>
      <c r="P87" s="0" t="n">
        <f aca="false">LEN(C87)+LEN(D87)+LEN(E87)+LEN(F87)+LEN(G87)+LEN(H87)</f>
        <v>23</v>
      </c>
    </row>
    <row r="88" customFormat="false" ht="15" hidden="false" customHeight="false" outlineLevel="0" collapsed="false">
      <c r="A88" s="0" t="s">
        <v>5255</v>
      </c>
      <c r="B88" s="0" t="n">
        <v>1882</v>
      </c>
      <c r="C88" s="0" t="s">
        <v>5256</v>
      </c>
      <c r="H88" s="0" t="s">
        <v>5257</v>
      </c>
      <c r="I88" s="0" t="s">
        <v>69</v>
      </c>
      <c r="O88" s="0" t="n">
        <v>3</v>
      </c>
      <c r="P88" s="0" t="n">
        <f aca="false">LEN(C88)+LEN(D88)+LEN(E88)+LEN(F88)+LEN(G88)+LEN(H88)</f>
        <v>23</v>
      </c>
    </row>
    <row r="89" customFormat="false" ht="15" hidden="false" customHeight="false" outlineLevel="0" collapsed="false">
      <c r="A89" s="0" t="s">
        <v>5255</v>
      </c>
      <c r="B89" s="0" t="n">
        <v>1882</v>
      </c>
      <c r="C89" s="0" t="s">
        <v>5256</v>
      </c>
      <c r="H89" s="0" t="s">
        <v>5257</v>
      </c>
      <c r="I89" s="0" t="s">
        <v>69</v>
      </c>
      <c r="O89" s="0" t="n">
        <v>3</v>
      </c>
      <c r="P89" s="0" t="n">
        <f aca="false">LEN(C89)+LEN(D89)+LEN(E89)+LEN(F89)+LEN(G89)+LEN(H89)</f>
        <v>23</v>
      </c>
    </row>
    <row r="90" customFormat="false" ht="15" hidden="false" customHeight="false" outlineLevel="0" collapsed="false">
      <c r="A90" s="0" t="s">
        <v>5258</v>
      </c>
      <c r="B90" s="0" t="n">
        <v>1882</v>
      </c>
      <c r="C90" s="0" t="s">
        <v>5259</v>
      </c>
      <c r="H90" s="0" t="s">
        <v>5260</v>
      </c>
      <c r="I90" s="0" t="s">
        <v>69</v>
      </c>
      <c r="M90" s="0" t="s">
        <v>29</v>
      </c>
      <c r="N90" s="0" t="s">
        <v>29</v>
      </c>
      <c r="O90" s="0" t="n">
        <v>2</v>
      </c>
      <c r="P90" s="0" t="n">
        <f aca="false">LEN(C90)+LEN(D90)+LEN(E90)+LEN(F90)+LEN(G90)+LEN(H90)</f>
        <v>21</v>
      </c>
    </row>
    <row r="91" customFormat="false" ht="15" hidden="false" customHeight="false" outlineLevel="0" collapsed="false">
      <c r="A91" s="0" t="s">
        <v>5261</v>
      </c>
      <c r="B91" s="0" t="n">
        <v>1882</v>
      </c>
      <c r="C91" s="0" t="s">
        <v>5262</v>
      </c>
      <c r="H91" s="0" t="s">
        <v>5263</v>
      </c>
      <c r="I91" s="0" t="s">
        <v>69</v>
      </c>
      <c r="O91" s="0" t="n">
        <v>3</v>
      </c>
      <c r="P91" s="0" t="n">
        <f aca="false">LEN(C91)+LEN(D91)+LEN(E91)+LEN(F91)+LEN(G91)+LEN(H91)</f>
        <v>24</v>
      </c>
    </row>
    <row r="92" customFormat="false" ht="15" hidden="false" customHeight="false" outlineLevel="0" collapsed="false">
      <c r="A92" s="0" t="s">
        <v>5264</v>
      </c>
      <c r="B92" s="0" t="n">
        <v>1882</v>
      </c>
      <c r="C92" s="0" t="s">
        <v>5265</v>
      </c>
      <c r="H92" s="0" t="s">
        <v>5266</v>
      </c>
      <c r="I92" s="0" t="s">
        <v>69</v>
      </c>
      <c r="M92" s="0" t="s">
        <v>29</v>
      </c>
      <c r="O92" s="0" t="n">
        <v>4</v>
      </c>
      <c r="P92" s="0" t="n">
        <f aca="false">LEN(C92)+LEN(D92)+LEN(E92)+LEN(F92)+LEN(G92)+LEN(H92)</f>
        <v>21</v>
      </c>
    </row>
    <row r="93" customFormat="false" ht="15" hidden="false" customHeight="false" outlineLevel="0" collapsed="false">
      <c r="A93" s="0" t="s">
        <v>5267</v>
      </c>
      <c r="B93" s="0" t="n">
        <v>1882</v>
      </c>
      <c r="C93" s="0" t="s">
        <v>5268</v>
      </c>
      <c r="H93" s="0" t="s">
        <v>5269</v>
      </c>
      <c r="P93" s="0" t="n">
        <f aca="false">LEN(C93)+LEN(D93)+LEN(E93)+LEN(F93)+LEN(G93)+LEN(H93)</f>
        <v>22</v>
      </c>
    </row>
    <row r="94" customFormat="false" ht="15" hidden="false" customHeight="false" outlineLevel="0" collapsed="false">
      <c r="A94" s="0" t="s">
        <v>5270</v>
      </c>
      <c r="B94" s="0" t="n">
        <v>1882</v>
      </c>
      <c r="C94" s="0" t="s">
        <v>5271</v>
      </c>
      <c r="H94" s="0" t="s">
        <v>5272</v>
      </c>
      <c r="P94" s="0" t="n">
        <f aca="false">LEN(C94)+LEN(D94)+LEN(E94)+LEN(F94)+LEN(G94)+LEN(H94)</f>
        <v>26</v>
      </c>
    </row>
    <row r="95" customFormat="false" ht="15" hidden="false" customHeight="false" outlineLevel="0" collapsed="false">
      <c r="A95" s="0" t="s">
        <v>5273</v>
      </c>
      <c r="B95" s="0" t="n">
        <v>1882</v>
      </c>
      <c r="C95" s="0" t="s">
        <v>5274</v>
      </c>
      <c r="H95" s="0" t="s">
        <v>5184</v>
      </c>
      <c r="I95" s="0" t="s">
        <v>69</v>
      </c>
      <c r="O95" s="0" t="n">
        <v>2</v>
      </c>
      <c r="P95" s="0" t="n">
        <f aca="false">LEN(C95)+LEN(D95)+LEN(E95)+LEN(F95)+LEN(G95)+LEN(H95)</f>
        <v>24</v>
      </c>
    </row>
    <row r="96" customFormat="false" ht="15" hidden="false" customHeight="false" outlineLevel="0" collapsed="false">
      <c r="A96" s="0" t="s">
        <v>5275</v>
      </c>
      <c r="B96" s="0" t="n">
        <v>1882</v>
      </c>
      <c r="C96" s="0" t="s">
        <v>5276</v>
      </c>
      <c r="H96" s="0" t="s">
        <v>5277</v>
      </c>
      <c r="I96" s="0" t="s">
        <v>29</v>
      </c>
      <c r="M96" s="0" t="s">
        <v>29</v>
      </c>
      <c r="P96" s="0" t="n">
        <f aca="false">LEN(C96)+LEN(D96)+LEN(E96)+LEN(F96)+LEN(G96)+LEN(H96)</f>
        <v>23</v>
      </c>
    </row>
    <row r="97" customFormat="false" ht="15" hidden="false" customHeight="false" outlineLevel="0" collapsed="false">
      <c r="A97" s="0" t="s">
        <v>5275</v>
      </c>
      <c r="B97" s="0" t="n">
        <v>1882</v>
      </c>
      <c r="C97" s="0" t="s">
        <v>5276</v>
      </c>
      <c r="H97" s="0" t="s">
        <v>5277</v>
      </c>
      <c r="I97" s="0" t="s">
        <v>29</v>
      </c>
      <c r="M97" s="0" t="s">
        <v>29</v>
      </c>
      <c r="P97" s="0" t="n">
        <f aca="false">LEN(C97)+LEN(D97)+LEN(E97)+LEN(F97)+LEN(G97)+LEN(H97)</f>
        <v>23</v>
      </c>
    </row>
    <row r="98" customFormat="false" ht="15" hidden="false" customHeight="false" outlineLevel="0" collapsed="false">
      <c r="A98" s="0" t="s">
        <v>5278</v>
      </c>
      <c r="B98" s="0" t="n">
        <v>1882</v>
      </c>
      <c r="C98" s="0" t="s">
        <v>5279</v>
      </c>
      <c r="H98" s="0" t="s">
        <v>5128</v>
      </c>
      <c r="I98" s="0" t="s">
        <v>69</v>
      </c>
      <c r="M98" s="0" t="s">
        <v>29</v>
      </c>
      <c r="O98" s="0" t="n">
        <v>2</v>
      </c>
      <c r="P98" s="0" t="n">
        <f aca="false">LEN(C98)+LEN(D98)+LEN(E98)+LEN(F98)+LEN(G98)+LEN(H98)</f>
        <v>24</v>
      </c>
    </row>
    <row r="99" customFormat="false" ht="15" hidden="false" customHeight="false" outlineLevel="0" collapsed="false">
      <c r="A99" s="0" t="s">
        <v>5280</v>
      </c>
      <c r="B99" s="0" t="n">
        <v>1882</v>
      </c>
      <c r="C99" s="0" t="s">
        <v>5281</v>
      </c>
      <c r="H99" s="0" t="s">
        <v>5282</v>
      </c>
      <c r="P99" s="0" t="n">
        <f aca="false">LEN(C99)+LEN(D99)+LEN(E99)+LEN(F99)+LEN(G99)+LEN(H99)</f>
        <v>28</v>
      </c>
    </row>
    <row r="100" customFormat="false" ht="15" hidden="false" customHeight="false" outlineLevel="0" collapsed="false">
      <c r="A100" s="0" t="s">
        <v>5283</v>
      </c>
      <c r="B100" s="0" t="n">
        <v>1884</v>
      </c>
      <c r="C100" s="0" t="s">
        <v>5284</v>
      </c>
      <c r="H100" s="0" t="s">
        <v>5231</v>
      </c>
      <c r="P100" s="0" t="n">
        <f aca="false">LEN(C100)+LEN(D100)+LEN(E100)+LEN(F100)+LEN(G100)+LEN(H100)</f>
        <v>25</v>
      </c>
    </row>
    <row r="101" customFormat="false" ht="15" hidden="false" customHeight="false" outlineLevel="0" collapsed="false">
      <c r="A101" s="0" t="s">
        <v>5285</v>
      </c>
      <c r="B101" s="0" t="n">
        <v>1884</v>
      </c>
      <c r="C101" s="0" t="s">
        <v>5286</v>
      </c>
      <c r="H101" s="0" t="s">
        <v>5287</v>
      </c>
      <c r="I101" s="0" t="s">
        <v>69</v>
      </c>
      <c r="O101" s="0" t="n">
        <v>1</v>
      </c>
      <c r="P101" s="0" t="n">
        <f aca="false">LEN(C101)+LEN(D101)+LEN(E101)+LEN(F101)+LEN(G101)+LEN(H101)</f>
        <v>27</v>
      </c>
    </row>
    <row r="102" customFormat="false" ht="15" hidden="false" customHeight="false" outlineLevel="0" collapsed="false">
      <c r="A102" s="0" t="s">
        <v>5288</v>
      </c>
      <c r="B102" s="0" t="n">
        <v>1884</v>
      </c>
      <c r="C102" s="0" t="s">
        <v>5289</v>
      </c>
      <c r="H102" s="0" t="s">
        <v>5290</v>
      </c>
      <c r="P102" s="0" t="n">
        <f aca="false">LEN(C102)+LEN(D102)+LEN(E102)+LEN(F102)+LEN(G102)+LEN(H102)</f>
        <v>23</v>
      </c>
    </row>
    <row r="103" customFormat="false" ht="15" hidden="false" customHeight="false" outlineLevel="0" collapsed="false">
      <c r="A103" s="0" t="s">
        <v>5291</v>
      </c>
      <c r="B103" s="0" t="n">
        <v>1884</v>
      </c>
      <c r="C103" s="0" t="s">
        <v>5292</v>
      </c>
      <c r="H103" s="0" t="s">
        <v>5123</v>
      </c>
      <c r="P103" s="0" t="n">
        <f aca="false">LEN(C103)+LEN(D103)+LEN(E103)+LEN(F103)+LEN(G103)+LEN(H103)</f>
        <v>22</v>
      </c>
    </row>
    <row r="104" customFormat="false" ht="15" hidden="false" customHeight="false" outlineLevel="0" collapsed="false">
      <c r="A104" s="0" t="s">
        <v>5293</v>
      </c>
      <c r="B104" s="0" t="n">
        <v>1884</v>
      </c>
      <c r="C104" s="0" t="s">
        <v>5294</v>
      </c>
      <c r="H104" s="0" t="s">
        <v>5070</v>
      </c>
      <c r="P104" s="0" t="n">
        <f aca="false">LEN(C104)+LEN(D104)+LEN(E104)+LEN(F104)+LEN(G104)+LEN(H104)</f>
        <v>25</v>
      </c>
    </row>
    <row r="105" customFormat="false" ht="15" hidden="false" customHeight="false" outlineLevel="0" collapsed="false">
      <c r="A105" s="0" t="s">
        <v>5295</v>
      </c>
      <c r="B105" s="0" t="n">
        <v>1884</v>
      </c>
      <c r="C105" s="0" t="s">
        <v>5296</v>
      </c>
      <c r="H105" s="0" t="s">
        <v>5297</v>
      </c>
      <c r="M105" s="0" t="s">
        <v>29</v>
      </c>
      <c r="N105" s="0" t="s">
        <v>29</v>
      </c>
      <c r="P105" s="0" t="n">
        <f aca="false">LEN(C105)+LEN(D105)+LEN(E105)+LEN(F105)+LEN(G105)+LEN(H105)</f>
        <v>31</v>
      </c>
    </row>
    <row r="106" customFormat="false" ht="15" hidden="false" customHeight="false" outlineLevel="0" collapsed="false">
      <c r="A106" s="0" t="s">
        <v>5298</v>
      </c>
      <c r="B106" s="0" t="n">
        <v>1884</v>
      </c>
      <c r="C106" s="0" t="s">
        <v>5299</v>
      </c>
      <c r="H106" s="0" t="s">
        <v>5300</v>
      </c>
      <c r="J106" s="0" t="s">
        <v>29</v>
      </c>
      <c r="P106" s="0" t="n">
        <f aca="false">LEN(C106)+LEN(D106)+LEN(E106)+LEN(F106)+LEN(G106)+LEN(H106)</f>
        <v>25</v>
      </c>
    </row>
    <row r="107" customFormat="false" ht="15" hidden="false" customHeight="false" outlineLevel="0" collapsed="false">
      <c r="A107" s="0" t="s">
        <v>5301</v>
      </c>
      <c r="B107" s="0" t="n">
        <v>1884</v>
      </c>
      <c r="C107" s="0" t="s">
        <v>5302</v>
      </c>
      <c r="H107" s="0" t="s">
        <v>5123</v>
      </c>
      <c r="I107" s="0" t="s">
        <v>69</v>
      </c>
      <c r="O107" s="0" t="n">
        <v>2</v>
      </c>
      <c r="P107" s="0" t="n">
        <f aca="false">LEN(C107)+LEN(D107)+LEN(E107)+LEN(F107)+LEN(G107)+LEN(H107)</f>
        <v>24</v>
      </c>
    </row>
    <row r="108" s="3" customFormat="true" ht="15" hidden="false" customHeight="false" outlineLevel="0" collapsed="false">
      <c r="A108" s="3" t="s">
        <v>5303</v>
      </c>
      <c r="B108" s="3" t="n">
        <v>1884</v>
      </c>
      <c r="C108" s="3" t="s">
        <v>5304</v>
      </c>
      <c r="H108" s="3" t="s">
        <v>5014</v>
      </c>
      <c r="P108" s="3" t="n">
        <f aca="false">LEN(C108)+LEN(D108)+LEN(E108)+LEN(F108)+LEN(G108)+LEN(H108)</f>
        <v>22</v>
      </c>
    </row>
    <row r="109" customFormat="false" ht="15" hidden="false" customHeight="false" outlineLevel="0" collapsed="false">
      <c r="A109" s="0" t="s">
        <v>5305</v>
      </c>
      <c r="B109" s="0" t="n">
        <v>1884</v>
      </c>
      <c r="C109" s="0" t="s">
        <v>5306</v>
      </c>
      <c r="G109" s="0" t="s">
        <v>5307</v>
      </c>
      <c r="H109" s="0" t="s">
        <v>5308</v>
      </c>
      <c r="P109" s="0" t="n">
        <f aca="false">LEN(C109)+LEN(D109)+LEN(E109)+LEN(F109)+LEN(G109)+LEN(H109)</f>
        <v>41</v>
      </c>
    </row>
    <row r="110" customFormat="false" ht="15" hidden="false" customHeight="false" outlineLevel="0" collapsed="false">
      <c r="A110" s="0" t="s">
        <v>5309</v>
      </c>
      <c r="B110" s="0" t="n">
        <v>1884</v>
      </c>
      <c r="C110" s="0" t="s">
        <v>5310</v>
      </c>
      <c r="H110" s="0" t="s">
        <v>5014</v>
      </c>
      <c r="P110" s="0" t="n">
        <f aca="false">LEN(C110)+LEN(D110)+LEN(E110)+LEN(F110)+LEN(G110)+LEN(H110)</f>
        <v>22</v>
      </c>
    </row>
    <row r="111" customFormat="false" ht="15" hidden="false" customHeight="false" outlineLevel="0" collapsed="false">
      <c r="A111" s="0" t="s">
        <v>5311</v>
      </c>
      <c r="B111" s="0" t="n">
        <v>1884</v>
      </c>
      <c r="C111" s="0" t="s">
        <v>5312</v>
      </c>
      <c r="H111" s="0" t="s">
        <v>5313</v>
      </c>
      <c r="M111" s="0" t="s">
        <v>29</v>
      </c>
      <c r="P111" s="0" t="n">
        <f aca="false">LEN(C111)+LEN(D111)+LEN(E111)+LEN(F111)+LEN(G111)+LEN(H111)</f>
        <v>21</v>
      </c>
    </row>
    <row r="112" customFormat="false" ht="15" hidden="false" customHeight="false" outlineLevel="0" collapsed="false">
      <c r="A112" s="0" t="s">
        <v>5314</v>
      </c>
      <c r="B112" s="0" t="n">
        <v>1884</v>
      </c>
      <c r="C112" s="0" t="s">
        <v>5315</v>
      </c>
      <c r="H112" s="0" t="s">
        <v>5070</v>
      </c>
      <c r="P112" s="0" t="n">
        <f aca="false">LEN(C112)+LEN(D112)+LEN(E112)+LEN(F112)+LEN(G112)+LEN(H112)</f>
        <v>27</v>
      </c>
    </row>
    <row r="113" customFormat="false" ht="15" hidden="false" customHeight="false" outlineLevel="0" collapsed="false">
      <c r="A113" s="0" t="s">
        <v>5316</v>
      </c>
      <c r="B113" s="0" t="n">
        <v>1884</v>
      </c>
      <c r="C113" s="0" t="s">
        <v>5317</v>
      </c>
      <c r="G113" s="0" t="s">
        <v>5174</v>
      </c>
      <c r="H113" s="0" t="s">
        <v>5175</v>
      </c>
      <c r="I113" s="0" t="s">
        <v>69</v>
      </c>
      <c r="O113" s="0" t="n">
        <v>2</v>
      </c>
      <c r="P113" s="0" t="n">
        <f aca="false">LEN(C113)+LEN(D113)+LEN(E113)+LEN(F113)+LEN(G113)+LEN(H113)</f>
        <v>40</v>
      </c>
    </row>
    <row r="114" customFormat="false" ht="15" hidden="false" customHeight="false" outlineLevel="0" collapsed="false">
      <c r="A114" s="0" t="s">
        <v>5318</v>
      </c>
      <c r="B114" s="0" t="n">
        <v>1884</v>
      </c>
      <c r="C114" s="0" t="s">
        <v>5319</v>
      </c>
      <c r="H114" s="0" t="s">
        <v>5014</v>
      </c>
      <c r="P114" s="0" t="n">
        <f aca="false">LEN(C114)+LEN(D114)+LEN(E114)+LEN(F114)+LEN(G114)+LEN(H114)</f>
        <v>24</v>
      </c>
    </row>
    <row r="115" customFormat="false" ht="15" hidden="false" customHeight="false" outlineLevel="0" collapsed="false">
      <c r="A115" s="0" t="s">
        <v>5320</v>
      </c>
      <c r="B115" s="0" t="n">
        <v>1884</v>
      </c>
      <c r="C115" s="0" t="s">
        <v>5321</v>
      </c>
      <c r="H115" s="0" t="s">
        <v>5322</v>
      </c>
      <c r="P115" s="0" t="n">
        <f aca="false">LEN(C115)+LEN(D115)+LEN(E115)+LEN(F115)+LEN(G115)+LEN(H115)</f>
        <v>26</v>
      </c>
    </row>
    <row r="116" customFormat="false" ht="15" hidden="false" customHeight="false" outlineLevel="0" collapsed="false">
      <c r="A116" s="0" t="s">
        <v>5323</v>
      </c>
      <c r="B116" s="0" t="n">
        <v>1884</v>
      </c>
      <c r="C116" s="0" t="s">
        <v>5324</v>
      </c>
      <c r="H116" s="0" t="s">
        <v>5325</v>
      </c>
      <c r="I116" s="0" t="s">
        <v>69</v>
      </c>
      <c r="O116" s="0" t="n">
        <v>2</v>
      </c>
      <c r="P116" s="0" t="n">
        <f aca="false">LEN(C116)+LEN(D116)+LEN(E116)+LEN(F116)+LEN(G116)+LEN(H116)</f>
        <v>26</v>
      </c>
    </row>
    <row r="117" customFormat="false" ht="15" hidden="false" customHeight="false" outlineLevel="0" collapsed="false">
      <c r="A117" s="0" t="s">
        <v>5326</v>
      </c>
      <c r="B117" s="0" t="n">
        <v>1884</v>
      </c>
      <c r="C117" s="0" t="s">
        <v>5327</v>
      </c>
      <c r="H117" s="0" t="s">
        <v>5328</v>
      </c>
      <c r="I117" s="0" t="s">
        <v>69</v>
      </c>
      <c r="O117" s="0" t="n">
        <v>3</v>
      </c>
      <c r="P117" s="0" t="n">
        <f aca="false">LEN(C117)+LEN(D117)+LEN(E117)+LEN(F117)+LEN(G117)+LEN(H117)</f>
        <v>23</v>
      </c>
    </row>
    <row r="118" customFormat="false" ht="15" hidden="false" customHeight="false" outlineLevel="0" collapsed="false">
      <c r="A118" s="0" t="s">
        <v>5329</v>
      </c>
      <c r="B118" s="0" t="n">
        <v>1884</v>
      </c>
      <c r="C118" s="0" t="s">
        <v>5330</v>
      </c>
      <c r="H118" s="0" t="s">
        <v>3090</v>
      </c>
      <c r="M118" s="0" t="s">
        <v>29</v>
      </c>
      <c r="P118" s="0" t="n">
        <f aca="false">LEN(C118)+LEN(D118)+LEN(E118)+LEN(F118)+LEN(G118)+LEN(H118)</f>
        <v>19</v>
      </c>
    </row>
    <row r="119" customFormat="false" ht="15" hidden="false" customHeight="false" outlineLevel="0" collapsed="false">
      <c r="A119" s="0" t="s">
        <v>5331</v>
      </c>
      <c r="B119" s="0" t="n">
        <v>1884</v>
      </c>
      <c r="C119" s="0" t="s">
        <v>5332</v>
      </c>
      <c r="H119" s="0" t="s">
        <v>5333</v>
      </c>
      <c r="I119" s="0" t="s">
        <v>69</v>
      </c>
      <c r="M119" s="0" t="s">
        <v>29</v>
      </c>
      <c r="O119" s="0" t="n">
        <v>3</v>
      </c>
      <c r="P119" s="0" t="n">
        <f aca="false">LEN(C119)+LEN(D119)+LEN(E119)+LEN(F119)+LEN(G119)+LEN(H119)</f>
        <v>24</v>
      </c>
    </row>
    <row r="120" customFormat="false" ht="15" hidden="false" customHeight="false" outlineLevel="0" collapsed="false">
      <c r="A120" s="0" t="s">
        <v>5334</v>
      </c>
      <c r="B120" s="0" t="n">
        <v>1884</v>
      </c>
      <c r="C120" s="0" t="s">
        <v>5335</v>
      </c>
      <c r="H120" s="0" t="s">
        <v>5123</v>
      </c>
      <c r="P120" s="0" t="n">
        <f aca="false">LEN(C120)+LEN(D120)+LEN(E120)+LEN(F120)+LEN(G120)+LEN(H120)</f>
        <v>24</v>
      </c>
    </row>
    <row r="121" customFormat="false" ht="15" hidden="false" customHeight="false" outlineLevel="0" collapsed="false">
      <c r="A121" s="0" t="s">
        <v>5336</v>
      </c>
      <c r="B121" s="0" t="n">
        <v>1884</v>
      </c>
      <c r="C121" s="0" t="s">
        <v>5337</v>
      </c>
      <c r="H121" s="0" t="s">
        <v>5338</v>
      </c>
      <c r="P121" s="0" t="n">
        <f aca="false">LEN(C121)+LEN(D121)+LEN(E121)+LEN(F121)+LEN(G121)+LEN(H121)</f>
        <v>26</v>
      </c>
    </row>
    <row r="122" customFormat="false" ht="15" hidden="false" customHeight="false" outlineLevel="0" collapsed="false">
      <c r="A122" s="0" t="s">
        <v>5339</v>
      </c>
      <c r="B122" s="0" t="n">
        <v>1884</v>
      </c>
      <c r="C122" s="0" t="s">
        <v>5340</v>
      </c>
      <c r="H122" s="0" t="s">
        <v>5341</v>
      </c>
      <c r="I122" s="0" t="s">
        <v>69</v>
      </c>
      <c r="M122" s="0" t="s">
        <v>29</v>
      </c>
      <c r="N122" s="0" t="s">
        <v>69</v>
      </c>
      <c r="O122" s="0" t="n">
        <v>7</v>
      </c>
      <c r="P122" s="0" t="n">
        <f aca="false">LEN(C122)+LEN(D122)+LEN(E122)+LEN(F122)+LEN(G122)+LEN(H122)</f>
        <v>26</v>
      </c>
    </row>
    <row r="123" customFormat="false" ht="15" hidden="false" customHeight="false" outlineLevel="0" collapsed="false">
      <c r="A123" s="0" t="s">
        <v>5342</v>
      </c>
      <c r="B123" s="0" t="n">
        <v>1884</v>
      </c>
      <c r="C123" s="0" t="s">
        <v>5343</v>
      </c>
      <c r="H123" s="0" t="s">
        <v>5344</v>
      </c>
      <c r="M123" s="0" t="s">
        <v>29</v>
      </c>
      <c r="N123" s="0" t="s">
        <v>29</v>
      </c>
      <c r="P123" s="0" t="n">
        <f aca="false">LEN(C123)+LEN(D123)+LEN(E123)+LEN(F123)+LEN(G123)+LEN(H123)</f>
        <v>23</v>
      </c>
    </row>
    <row r="124" customFormat="false" ht="15" hidden="false" customHeight="false" outlineLevel="0" collapsed="false">
      <c r="A124" s="0" t="s">
        <v>5345</v>
      </c>
      <c r="B124" s="0" t="n">
        <v>1884</v>
      </c>
      <c r="C124" s="0" t="s">
        <v>5346</v>
      </c>
      <c r="H124" s="0" t="s">
        <v>5347</v>
      </c>
      <c r="I124" s="0" t="s">
        <v>69</v>
      </c>
      <c r="O124" s="0" t="n">
        <v>2</v>
      </c>
      <c r="P124" s="0" t="n">
        <f aca="false">LEN(C124)+LEN(D124)+LEN(E124)+LEN(F124)+LEN(G124)+LEN(H124)</f>
        <v>20</v>
      </c>
    </row>
    <row r="125" customFormat="false" ht="15" hidden="false" customHeight="false" outlineLevel="0" collapsed="false">
      <c r="A125" s="0" t="s">
        <v>5348</v>
      </c>
      <c r="B125" s="0" t="n">
        <v>1884</v>
      </c>
      <c r="C125" s="0" t="s">
        <v>5349</v>
      </c>
      <c r="H125" s="0" t="s">
        <v>5350</v>
      </c>
      <c r="P125" s="0" t="n">
        <f aca="false">LEN(C125)+LEN(D125)+LEN(E125)+LEN(F125)+LEN(G125)+LEN(H125)</f>
        <v>21</v>
      </c>
    </row>
    <row r="126" customFormat="false" ht="15" hidden="false" customHeight="false" outlineLevel="0" collapsed="false">
      <c r="A126" s="0" t="s">
        <v>5351</v>
      </c>
      <c r="B126" s="0" t="n">
        <v>1884</v>
      </c>
      <c r="C126" s="0" t="s">
        <v>5352</v>
      </c>
      <c r="G126" s="0" t="s">
        <v>3934</v>
      </c>
      <c r="H126" s="0" t="s">
        <v>5353</v>
      </c>
      <c r="L126" s="0" t="s">
        <v>29</v>
      </c>
      <c r="P126" s="0" t="n">
        <f aca="false">LEN(C126)+LEN(D126)+LEN(E126)+LEN(F126)+LEN(G126)+LEN(H126)</f>
        <v>30</v>
      </c>
    </row>
    <row r="127" customFormat="false" ht="15" hidden="false" customHeight="false" outlineLevel="0" collapsed="false">
      <c r="A127" s="0" t="s">
        <v>5354</v>
      </c>
      <c r="B127" s="0" t="n">
        <v>1884</v>
      </c>
      <c r="C127" s="0" t="s">
        <v>5355</v>
      </c>
      <c r="H127" s="0" t="s">
        <v>5344</v>
      </c>
      <c r="I127" s="0" t="s">
        <v>69</v>
      </c>
      <c r="O127" s="0" t="n">
        <v>3</v>
      </c>
      <c r="P127" s="0" t="n">
        <f aca="false">LEN(C127)+LEN(D127)+LEN(E127)+LEN(F127)+LEN(G127)+LEN(H127)</f>
        <v>18</v>
      </c>
    </row>
    <row r="128" customFormat="false" ht="15" hidden="false" customHeight="false" outlineLevel="0" collapsed="false">
      <c r="A128" s="0" t="s">
        <v>5356</v>
      </c>
      <c r="B128" s="0" t="n">
        <v>1884</v>
      </c>
      <c r="C128" s="0" t="s">
        <v>5357</v>
      </c>
      <c r="H128" s="0" t="s">
        <v>3692</v>
      </c>
      <c r="I128" s="0" t="s">
        <v>29</v>
      </c>
      <c r="P128" s="0" t="n">
        <f aca="false">LEN(C128)+LEN(D128)+LEN(E128)+LEN(F128)+LEN(G128)+LEN(H128)</f>
        <v>17</v>
      </c>
    </row>
    <row r="129" customFormat="false" ht="15" hidden="false" customHeight="false" outlineLevel="0" collapsed="false">
      <c r="A129" s="0" t="s">
        <v>5358</v>
      </c>
      <c r="B129" s="0" t="n">
        <v>1884</v>
      </c>
      <c r="C129" s="0" t="s">
        <v>5359</v>
      </c>
      <c r="H129" s="0" t="s">
        <v>5360</v>
      </c>
      <c r="N129" s="0" t="s">
        <v>29</v>
      </c>
      <c r="P129" s="0" t="n">
        <f aca="false">LEN(C129)+LEN(D129)+LEN(E129)+LEN(F129)+LEN(G129)+LEN(H129)</f>
        <v>22</v>
      </c>
    </row>
    <row r="130" customFormat="false" ht="15" hidden="false" customHeight="false" outlineLevel="0" collapsed="false">
      <c r="A130" s="0" t="s">
        <v>5361</v>
      </c>
      <c r="B130" s="0" t="n">
        <v>1884</v>
      </c>
      <c r="C130" s="0" t="s">
        <v>5362</v>
      </c>
      <c r="H130" s="0" t="s">
        <v>5363</v>
      </c>
      <c r="P130" s="0" t="n">
        <f aca="false">LEN(C130)+LEN(D130)+LEN(E130)+LEN(F130)+LEN(G130)+LEN(H130)</f>
        <v>22</v>
      </c>
    </row>
    <row r="131" customFormat="false" ht="15" hidden="false" customHeight="false" outlineLevel="0" collapsed="false">
      <c r="A131" s="0" t="s">
        <v>5364</v>
      </c>
      <c r="B131" s="0" t="n">
        <v>1884</v>
      </c>
      <c r="C131" s="0" t="s">
        <v>5365</v>
      </c>
      <c r="H131" s="0" t="s">
        <v>5366</v>
      </c>
      <c r="P131" s="0" t="n">
        <f aca="false">LEN(C131)+LEN(D131)+LEN(E131)+LEN(F131)+LEN(G131)+LEN(H131)</f>
        <v>20</v>
      </c>
    </row>
    <row r="132" customFormat="false" ht="15" hidden="false" customHeight="false" outlineLevel="0" collapsed="false">
      <c r="A132" s="0" t="s">
        <v>5367</v>
      </c>
      <c r="B132" s="0" t="n">
        <v>1884</v>
      </c>
      <c r="C132" s="0" t="s">
        <v>5368</v>
      </c>
      <c r="H132" s="0" t="s">
        <v>5369</v>
      </c>
      <c r="M132" s="0" t="s">
        <v>29</v>
      </c>
      <c r="P132" s="0" t="n">
        <f aca="false">LEN(C132)+LEN(D132)+LEN(E132)+LEN(F132)+LEN(G132)+LEN(H132)</f>
        <v>22</v>
      </c>
    </row>
    <row r="133" customFormat="false" ht="15" hidden="false" customHeight="false" outlineLevel="0" collapsed="false">
      <c r="A133" s="0" t="s">
        <v>5370</v>
      </c>
      <c r="B133" s="0" t="n">
        <v>1884</v>
      </c>
      <c r="C133" s="0" t="s">
        <v>5371</v>
      </c>
      <c r="H133" s="0" t="s">
        <v>5372</v>
      </c>
      <c r="I133" s="0" t="s">
        <v>69</v>
      </c>
      <c r="O133" s="0" t="n">
        <v>3</v>
      </c>
      <c r="P133" s="0" t="n">
        <f aca="false">LEN(C133)+LEN(D133)+LEN(E133)+LEN(F133)+LEN(G133)+LEN(H133)</f>
        <v>22</v>
      </c>
    </row>
    <row r="134" customFormat="false" ht="15" hidden="false" customHeight="false" outlineLevel="0" collapsed="false">
      <c r="A134" s="0" t="s">
        <v>5373</v>
      </c>
      <c r="B134" s="0" t="n">
        <v>1884</v>
      </c>
      <c r="C134" s="0" t="s">
        <v>5374</v>
      </c>
      <c r="H134" s="0" t="s">
        <v>5375</v>
      </c>
      <c r="N134" s="0" t="s">
        <v>29</v>
      </c>
      <c r="P134" s="0" t="n">
        <f aca="false">LEN(C134)+LEN(D134)+LEN(E134)+LEN(F134)+LEN(G134)+LEN(H134)</f>
        <v>32</v>
      </c>
    </row>
    <row r="135" customFormat="false" ht="15" hidden="false" customHeight="false" outlineLevel="0" collapsed="false">
      <c r="A135" s="0" t="s">
        <v>5376</v>
      </c>
      <c r="B135" s="0" t="n">
        <v>1884</v>
      </c>
      <c r="C135" s="0" t="s">
        <v>5377</v>
      </c>
      <c r="H135" s="0" t="s">
        <v>5378</v>
      </c>
      <c r="M135" s="0" t="s">
        <v>29</v>
      </c>
      <c r="P135" s="0" t="n">
        <f aca="false">LEN(C135)+LEN(D135)+LEN(E135)+LEN(F135)+LEN(G135)+LEN(H135)</f>
        <v>23</v>
      </c>
    </row>
    <row r="136" customFormat="false" ht="15" hidden="false" customHeight="false" outlineLevel="0" collapsed="false">
      <c r="A136" s="0" t="s">
        <v>5379</v>
      </c>
      <c r="B136" s="0" t="n">
        <v>1884</v>
      </c>
      <c r="C136" s="0" t="s">
        <v>5380</v>
      </c>
      <c r="H136" s="0" t="s">
        <v>5014</v>
      </c>
      <c r="P136" s="0" t="n">
        <f aca="false">LEN(C136)+LEN(D136)+LEN(E136)+LEN(F136)+LEN(G136)+LEN(H136)</f>
        <v>24</v>
      </c>
    </row>
    <row r="137" customFormat="false" ht="15" hidden="false" customHeight="false" outlineLevel="0" collapsed="false">
      <c r="A137" s="0" t="s">
        <v>5381</v>
      </c>
      <c r="B137" s="0" t="n">
        <v>1884</v>
      </c>
      <c r="C137" s="0" t="s">
        <v>5382</v>
      </c>
      <c r="H137" s="0" t="s">
        <v>5383</v>
      </c>
      <c r="M137" s="0" t="s">
        <v>29</v>
      </c>
      <c r="P137" s="0" t="n">
        <f aca="false">LEN(C137)+LEN(D137)+LEN(E137)+LEN(F137)+LEN(G137)+LEN(H137)</f>
        <v>24</v>
      </c>
    </row>
    <row r="138" customFormat="false" ht="15" hidden="false" customHeight="false" outlineLevel="0" collapsed="false">
      <c r="A138" s="0" t="s">
        <v>5384</v>
      </c>
      <c r="B138" s="0" t="n">
        <v>1884</v>
      </c>
      <c r="C138" s="0" t="s">
        <v>5385</v>
      </c>
      <c r="H138" s="0" t="s">
        <v>5386</v>
      </c>
      <c r="I138" s="0" t="s">
        <v>69</v>
      </c>
      <c r="O138" s="0" t="n">
        <v>2</v>
      </c>
      <c r="P138" s="0" t="n">
        <f aca="false">LEN(C138)+LEN(D138)+LEN(E138)+LEN(F138)+LEN(G138)+LEN(H138)</f>
        <v>23</v>
      </c>
    </row>
    <row r="139" customFormat="false" ht="15" hidden="false" customHeight="false" outlineLevel="0" collapsed="false">
      <c r="A139" s="0" t="s">
        <v>5387</v>
      </c>
      <c r="B139" s="0" t="n">
        <v>1884</v>
      </c>
      <c r="C139" s="0" t="s">
        <v>5388</v>
      </c>
      <c r="H139" s="0" t="s">
        <v>5070</v>
      </c>
      <c r="P139" s="0" t="n">
        <f aca="false">LEN(C139)+LEN(D139)+LEN(E139)+LEN(F139)+LEN(G139)+LEN(H139)</f>
        <v>24</v>
      </c>
    </row>
    <row r="140" customFormat="false" ht="15" hidden="false" customHeight="false" outlineLevel="0" collapsed="false">
      <c r="A140" s="0" t="s">
        <v>5389</v>
      </c>
      <c r="B140" s="0" t="n">
        <v>1886</v>
      </c>
      <c r="C140" s="0" t="s">
        <v>5390</v>
      </c>
      <c r="H140" s="0" t="s">
        <v>5391</v>
      </c>
      <c r="P140" s="0" t="n">
        <f aca="false">LEN(C140)+LEN(D140)+LEN(E140)+LEN(F140)+LEN(G140)+LEN(H140)</f>
        <v>24</v>
      </c>
    </row>
    <row r="141" customFormat="false" ht="15" hidden="false" customHeight="false" outlineLevel="0" collapsed="false">
      <c r="A141" s="0" t="s">
        <v>5392</v>
      </c>
      <c r="B141" s="0" t="n">
        <v>1886</v>
      </c>
      <c r="C141" s="0" t="s">
        <v>5393</v>
      </c>
      <c r="G141" s="0" t="s">
        <v>5394</v>
      </c>
      <c r="H141" s="0" t="s">
        <v>3692</v>
      </c>
      <c r="P141" s="0" t="n">
        <f aca="false">LEN(C141)+LEN(D141)+LEN(E141)+LEN(F141)+LEN(G141)+LEN(H141)</f>
        <v>41</v>
      </c>
    </row>
    <row r="142" customFormat="false" ht="15" hidden="false" customHeight="false" outlineLevel="0" collapsed="false">
      <c r="A142" s="0" t="s">
        <v>5395</v>
      </c>
      <c r="B142" s="0" t="n">
        <v>1886</v>
      </c>
      <c r="C142" s="0" t="s">
        <v>5396</v>
      </c>
      <c r="H142" s="0" t="s">
        <v>5014</v>
      </c>
      <c r="M142" s="0" t="s">
        <v>29</v>
      </c>
      <c r="P142" s="0" t="n">
        <f aca="false">LEN(C142)+LEN(D142)+LEN(E142)+LEN(F142)+LEN(G142)+LEN(H142)</f>
        <v>21</v>
      </c>
    </row>
    <row r="143" customFormat="false" ht="15" hidden="false" customHeight="false" outlineLevel="0" collapsed="false">
      <c r="A143" s="0" t="s">
        <v>5397</v>
      </c>
      <c r="B143" s="0" t="n">
        <v>1886</v>
      </c>
      <c r="C143" s="0" t="s">
        <v>5398</v>
      </c>
      <c r="H143" s="0" t="s">
        <v>5399</v>
      </c>
      <c r="P143" s="0" t="n">
        <f aca="false">LEN(C143)+LEN(D143)+LEN(E143)+LEN(F143)+LEN(G143)+LEN(H143)</f>
        <v>30</v>
      </c>
    </row>
    <row r="144" customFormat="false" ht="15" hidden="false" customHeight="false" outlineLevel="0" collapsed="false">
      <c r="A144" s="0" t="s">
        <v>5400</v>
      </c>
      <c r="B144" s="0" t="n">
        <v>1886</v>
      </c>
      <c r="C144" s="0" t="s">
        <v>5401</v>
      </c>
      <c r="H144" s="0" t="s">
        <v>5014</v>
      </c>
      <c r="N144" s="0" t="s">
        <v>29</v>
      </c>
      <c r="P144" s="0" t="n">
        <f aca="false">LEN(C144)+LEN(D144)+LEN(E144)+LEN(F144)+LEN(G144)+LEN(H144)</f>
        <v>25</v>
      </c>
    </row>
    <row r="145" customFormat="false" ht="15" hidden="false" customHeight="false" outlineLevel="0" collapsed="false">
      <c r="A145" s="0" t="s">
        <v>5402</v>
      </c>
      <c r="B145" s="0" t="n">
        <v>1886</v>
      </c>
      <c r="C145" s="0" t="s">
        <v>5403</v>
      </c>
      <c r="H145" s="0" t="s">
        <v>3692</v>
      </c>
      <c r="P145" s="0" t="n">
        <f aca="false">LEN(C145)+LEN(D145)+LEN(E145)+LEN(F145)+LEN(G145)+LEN(H145)</f>
        <v>21</v>
      </c>
    </row>
    <row r="146" customFormat="false" ht="15" hidden="false" customHeight="false" outlineLevel="0" collapsed="false">
      <c r="A146" s="0" t="s">
        <v>5404</v>
      </c>
      <c r="B146" s="0" t="n">
        <v>1886</v>
      </c>
      <c r="C146" s="0" t="s">
        <v>5405</v>
      </c>
      <c r="H146" s="0" t="s">
        <v>5366</v>
      </c>
      <c r="P146" s="0" t="n">
        <f aca="false">LEN(C146)+LEN(D146)+LEN(E146)+LEN(F146)+LEN(G146)+LEN(H146)</f>
        <v>20</v>
      </c>
    </row>
    <row r="147" customFormat="false" ht="15" hidden="false" customHeight="false" outlineLevel="0" collapsed="false">
      <c r="A147" s="0" t="s">
        <v>5406</v>
      </c>
      <c r="B147" s="0" t="n">
        <v>1886</v>
      </c>
      <c r="C147" s="0" t="s">
        <v>5407</v>
      </c>
      <c r="H147" s="0" t="s">
        <v>5408</v>
      </c>
      <c r="M147" s="0" t="s">
        <v>29</v>
      </c>
      <c r="P147" s="0" t="n">
        <f aca="false">LEN(C147)+LEN(D147)+LEN(E147)+LEN(F147)+LEN(G147)+LEN(H147)</f>
        <v>25</v>
      </c>
    </row>
    <row r="148" customFormat="false" ht="15" hidden="false" customHeight="false" outlineLevel="0" collapsed="false">
      <c r="A148" s="0" t="s">
        <v>5409</v>
      </c>
      <c r="B148" s="0" t="n">
        <v>1886</v>
      </c>
      <c r="C148" s="0" t="s">
        <v>5410</v>
      </c>
      <c r="H148" s="0" t="s">
        <v>5014</v>
      </c>
      <c r="P148" s="0" t="n">
        <f aca="false">LEN(C148)+LEN(D148)+LEN(E148)+LEN(F148)+LEN(G148)+LEN(H148)</f>
        <v>22</v>
      </c>
    </row>
    <row r="149" customFormat="false" ht="15" hidden="false" customHeight="false" outlineLevel="0" collapsed="false">
      <c r="A149" s="0" t="s">
        <v>5411</v>
      </c>
      <c r="B149" s="0" t="n">
        <v>1886</v>
      </c>
      <c r="C149" s="0" t="s">
        <v>5412</v>
      </c>
      <c r="H149" s="0" t="s">
        <v>5014</v>
      </c>
      <c r="I149" s="0" t="s">
        <v>69</v>
      </c>
      <c r="O149" s="0" t="n">
        <v>3</v>
      </c>
      <c r="P149" s="0" t="n">
        <f aca="false">LEN(C149)+LEN(D149)+LEN(E149)+LEN(F149)+LEN(G149)+LEN(H149)</f>
        <v>22</v>
      </c>
    </row>
    <row r="150" customFormat="false" ht="15" hidden="false" customHeight="false" outlineLevel="0" collapsed="false">
      <c r="A150" s="0" t="s">
        <v>5413</v>
      </c>
      <c r="B150" s="0" t="n">
        <v>1886</v>
      </c>
      <c r="C150" s="0" t="s">
        <v>5140</v>
      </c>
      <c r="H150" s="0" t="s">
        <v>5414</v>
      </c>
      <c r="I150" s="0" t="s">
        <v>29</v>
      </c>
      <c r="P150" s="0" t="n">
        <f aca="false">LEN(C150)+LEN(D150)+LEN(E150)+LEN(F150)+LEN(G150)+LEN(H150)</f>
        <v>24</v>
      </c>
    </row>
    <row r="151" customFormat="false" ht="15" hidden="false" customHeight="false" outlineLevel="0" collapsed="false">
      <c r="A151" s="0" t="s">
        <v>5415</v>
      </c>
      <c r="B151" s="0" t="n">
        <v>1886</v>
      </c>
      <c r="C151" s="0" t="s">
        <v>5013</v>
      </c>
      <c r="H151" s="0" t="s">
        <v>5014</v>
      </c>
      <c r="I151" s="0" t="s">
        <v>29</v>
      </c>
      <c r="P151" s="0" t="n">
        <f aca="false">LEN(C151)+LEN(D151)+LEN(E151)+LEN(F151)+LEN(G151)+LEN(H151)</f>
        <v>21</v>
      </c>
    </row>
    <row r="152" customFormat="false" ht="15" hidden="false" customHeight="false" outlineLevel="0" collapsed="false">
      <c r="A152" s="0" t="s">
        <v>5416</v>
      </c>
      <c r="B152" s="0" t="n">
        <v>1886</v>
      </c>
      <c r="C152" s="0" t="s">
        <v>5417</v>
      </c>
      <c r="G152" s="0" t="s">
        <v>5418</v>
      </c>
      <c r="H152" s="0" t="s">
        <v>3692</v>
      </c>
      <c r="I152" s="0" t="s">
        <v>69</v>
      </c>
      <c r="O152" s="0" t="n">
        <v>2</v>
      </c>
      <c r="P152" s="0" t="n">
        <f aca="false">LEN(C152)+LEN(D152)+LEN(E152)+LEN(F152)+LEN(G152)+LEN(H152)</f>
        <v>44</v>
      </c>
    </row>
    <row r="153" customFormat="false" ht="15" hidden="false" customHeight="false" outlineLevel="0" collapsed="false">
      <c r="A153" s="0" t="s">
        <v>5419</v>
      </c>
      <c r="B153" s="0" t="n">
        <v>1886</v>
      </c>
      <c r="C153" s="0" t="s">
        <v>5224</v>
      </c>
      <c r="H153" s="0" t="s">
        <v>5225</v>
      </c>
      <c r="M153" s="0" t="s">
        <v>29</v>
      </c>
      <c r="P153" s="0" t="n">
        <f aca="false">LEN(C153)+LEN(D153)+LEN(E153)+LEN(F153)+LEN(G153)+LEN(H153)</f>
        <v>21</v>
      </c>
    </row>
    <row r="154" customFormat="false" ht="15" hidden="false" customHeight="false" outlineLevel="0" collapsed="false">
      <c r="A154" s="0" t="s">
        <v>5420</v>
      </c>
      <c r="B154" s="0" t="n">
        <v>1886</v>
      </c>
      <c r="C154" s="0" t="s">
        <v>5312</v>
      </c>
      <c r="H154" s="0" t="s">
        <v>5313</v>
      </c>
      <c r="N154" s="0" t="s">
        <v>29</v>
      </c>
      <c r="P154" s="0" t="n">
        <f aca="false">LEN(C154)+LEN(D154)+LEN(E154)+LEN(F154)+LEN(G154)+LEN(H154)</f>
        <v>21</v>
      </c>
    </row>
    <row r="155" customFormat="false" ht="15" hidden="false" customHeight="false" outlineLevel="0" collapsed="false">
      <c r="A155" s="0" t="s">
        <v>5421</v>
      </c>
      <c r="B155" s="0" t="n">
        <v>1886</v>
      </c>
      <c r="C155" s="0" t="s">
        <v>5315</v>
      </c>
      <c r="H155" s="0" t="s">
        <v>5070</v>
      </c>
      <c r="P155" s="0" t="n">
        <f aca="false">LEN(C155)+LEN(D155)+LEN(E155)+LEN(F155)+LEN(G155)+LEN(H155)</f>
        <v>27</v>
      </c>
    </row>
    <row r="156" customFormat="false" ht="15" hidden="false" customHeight="false" outlineLevel="0" collapsed="false">
      <c r="A156" s="0" t="s">
        <v>5422</v>
      </c>
      <c r="B156" s="0" t="n">
        <v>1886</v>
      </c>
      <c r="C156" s="0" t="s">
        <v>5423</v>
      </c>
      <c r="H156" s="0" t="s">
        <v>5014</v>
      </c>
      <c r="I156" s="0" t="s">
        <v>69</v>
      </c>
      <c r="O156" s="0" t="n">
        <v>3</v>
      </c>
      <c r="P156" s="0" t="n">
        <f aca="false">LEN(C156)+LEN(D156)+LEN(E156)+LEN(F156)+LEN(G156)+LEN(H156)</f>
        <v>22</v>
      </c>
    </row>
    <row r="157" customFormat="false" ht="15" hidden="false" customHeight="false" outlineLevel="0" collapsed="false">
      <c r="A157" s="0" t="s">
        <v>5424</v>
      </c>
      <c r="B157" s="0" t="n">
        <v>1886</v>
      </c>
      <c r="C157" s="0" t="s">
        <v>5425</v>
      </c>
      <c r="H157" s="0" t="s">
        <v>5070</v>
      </c>
      <c r="I157" s="0" t="s">
        <v>29</v>
      </c>
      <c r="P157" s="0" t="n">
        <f aca="false">LEN(C157)+LEN(D157)+LEN(E157)+LEN(F157)+LEN(G157)+LEN(H157)</f>
        <v>25</v>
      </c>
    </row>
    <row r="158" customFormat="false" ht="15" hidden="false" customHeight="false" outlineLevel="0" collapsed="false">
      <c r="A158" s="0" t="s">
        <v>5426</v>
      </c>
      <c r="B158" s="0" t="n">
        <v>1886</v>
      </c>
      <c r="C158" s="0" t="s">
        <v>5427</v>
      </c>
      <c r="G158" s="0" t="s">
        <v>5114</v>
      </c>
      <c r="H158" s="0" t="s">
        <v>5014</v>
      </c>
      <c r="L158" s="0" t="s">
        <v>29</v>
      </c>
      <c r="P158" s="0" t="n">
        <f aca="false">LEN(C158)+LEN(D158)+LEN(E158)+LEN(F158)+LEN(G158)+LEN(H158)</f>
        <v>46</v>
      </c>
    </row>
    <row r="159" customFormat="false" ht="15" hidden="false" customHeight="false" outlineLevel="0" collapsed="false">
      <c r="A159" s="0" t="s">
        <v>5428</v>
      </c>
      <c r="B159" s="0" t="n">
        <v>1886</v>
      </c>
      <c r="C159" s="0" t="s">
        <v>5429</v>
      </c>
      <c r="G159" s="0" t="s">
        <v>5430</v>
      </c>
      <c r="H159" s="0" t="s">
        <v>5431</v>
      </c>
      <c r="M159" s="0" t="s">
        <v>29</v>
      </c>
      <c r="N159" s="0" t="s">
        <v>29</v>
      </c>
      <c r="P159" s="0" t="n">
        <f aca="false">LEN(C159)+LEN(D159)+LEN(E159)+LEN(F159)+LEN(G159)+LEN(H159)</f>
        <v>43</v>
      </c>
    </row>
    <row r="160" customFormat="false" ht="15" hidden="false" customHeight="false" outlineLevel="0" collapsed="false">
      <c r="A160" s="0" t="s">
        <v>5432</v>
      </c>
      <c r="B160" s="0" t="n">
        <v>1886</v>
      </c>
      <c r="C160" s="0" t="s">
        <v>5433</v>
      </c>
      <c r="H160" s="0" t="s">
        <v>5184</v>
      </c>
      <c r="P160" s="0" t="n">
        <f aca="false">LEN(C160)+LEN(D160)+LEN(E160)+LEN(F160)+LEN(G160)+LEN(H160)</f>
        <v>23</v>
      </c>
    </row>
    <row r="161" customFormat="false" ht="15" hidden="false" customHeight="false" outlineLevel="0" collapsed="false">
      <c r="A161" s="0" t="s">
        <v>5434</v>
      </c>
      <c r="B161" s="0" t="n">
        <v>1886</v>
      </c>
      <c r="C161" s="0" t="s">
        <v>5435</v>
      </c>
      <c r="H161" s="0" t="s">
        <v>5436</v>
      </c>
      <c r="N161" s="0" t="s">
        <v>29</v>
      </c>
      <c r="P161" s="0" t="n">
        <f aca="false">LEN(C161)+LEN(D161)+LEN(E161)+LEN(F161)+LEN(G161)+LEN(H161)</f>
        <v>21</v>
      </c>
    </row>
    <row r="162" customFormat="false" ht="15" hidden="false" customHeight="false" outlineLevel="0" collapsed="false">
      <c r="A162" s="0" t="s">
        <v>5437</v>
      </c>
      <c r="B162" s="0" t="n">
        <v>1886</v>
      </c>
      <c r="C162" s="0" t="s">
        <v>5438</v>
      </c>
      <c r="H162" s="0" t="s">
        <v>5439</v>
      </c>
      <c r="P162" s="0" t="n">
        <f aca="false">LEN(C162)+LEN(D162)+LEN(E162)+LEN(F162)+LEN(G162)+LEN(H162)</f>
        <v>20</v>
      </c>
    </row>
    <row r="163" customFormat="false" ht="15" hidden="false" customHeight="false" outlineLevel="0" collapsed="false">
      <c r="A163" s="0" t="s">
        <v>5440</v>
      </c>
      <c r="B163" s="0" t="n">
        <v>1886</v>
      </c>
      <c r="C163" s="0" t="s">
        <v>5441</v>
      </c>
      <c r="H163" s="0" t="s">
        <v>5442</v>
      </c>
      <c r="I163" s="0" t="s">
        <v>69</v>
      </c>
      <c r="O163" s="0" t="n">
        <v>2</v>
      </c>
      <c r="P163" s="0" t="n">
        <f aca="false">LEN(C163)+LEN(D163)+LEN(E163)+LEN(F163)+LEN(G163)+LEN(H163)</f>
        <v>27</v>
      </c>
    </row>
    <row r="164" customFormat="false" ht="15" hidden="false" customHeight="false" outlineLevel="0" collapsed="false">
      <c r="A164" s="0" t="s">
        <v>5443</v>
      </c>
      <c r="B164" s="0" t="n">
        <v>1886</v>
      </c>
      <c r="C164" s="0" t="s">
        <v>5444</v>
      </c>
      <c r="G164" s="0" t="s">
        <v>5445</v>
      </c>
      <c r="H164" s="0" t="s">
        <v>5446</v>
      </c>
      <c r="P164" s="0" t="n">
        <f aca="false">LEN(C164)+LEN(D164)+LEN(E164)+LEN(F164)+LEN(G164)+LEN(H164)</f>
        <v>53</v>
      </c>
    </row>
    <row r="165" customFormat="false" ht="15" hidden="false" customHeight="false" outlineLevel="0" collapsed="false">
      <c r="A165" s="0" t="s">
        <v>5447</v>
      </c>
      <c r="B165" s="0" t="n">
        <v>1886</v>
      </c>
      <c r="C165" s="0" t="s">
        <v>5448</v>
      </c>
      <c r="H165" s="0" t="s">
        <v>3692</v>
      </c>
      <c r="I165" s="0" t="s">
        <v>69</v>
      </c>
      <c r="O165" s="0" t="n">
        <v>2</v>
      </c>
      <c r="P165" s="0" t="n">
        <f aca="false">LEN(C165)+LEN(D165)+LEN(E165)+LEN(F165)+LEN(G165)+LEN(H165)</f>
        <v>22</v>
      </c>
    </row>
    <row r="166" customFormat="false" ht="15" hidden="false" customHeight="false" outlineLevel="0" collapsed="false">
      <c r="A166" s="0" t="s">
        <v>5449</v>
      </c>
      <c r="B166" s="0" t="n">
        <v>1886</v>
      </c>
      <c r="C166" s="0" t="s">
        <v>5450</v>
      </c>
      <c r="H166" s="0" t="s">
        <v>5451</v>
      </c>
      <c r="I166" s="0" t="s">
        <v>69</v>
      </c>
      <c r="O166" s="0" t="n">
        <v>2</v>
      </c>
      <c r="P166" s="0" t="n">
        <f aca="false">LEN(C166)+LEN(D166)+LEN(E166)+LEN(F166)+LEN(G166)+LEN(H166)</f>
        <v>18</v>
      </c>
    </row>
    <row r="167" customFormat="false" ht="15" hidden="false" customHeight="false" outlineLevel="0" collapsed="false">
      <c r="A167" s="0" t="s">
        <v>5452</v>
      </c>
      <c r="B167" s="0" t="n">
        <v>1886</v>
      </c>
      <c r="C167" s="0" t="s">
        <v>5453</v>
      </c>
      <c r="H167" s="0" t="s">
        <v>5454</v>
      </c>
      <c r="I167" s="0" t="s">
        <v>69</v>
      </c>
      <c r="O167" s="0" t="n">
        <v>2</v>
      </c>
      <c r="P167" s="0" t="n">
        <f aca="false">LEN(C167)+LEN(D167)+LEN(E167)+LEN(F167)+LEN(G167)+LEN(H167)</f>
        <v>29</v>
      </c>
    </row>
    <row r="168" customFormat="false" ht="15" hidden="false" customHeight="false" outlineLevel="0" collapsed="false">
      <c r="A168" s="0" t="s">
        <v>5455</v>
      </c>
      <c r="B168" s="0" t="n">
        <v>1886</v>
      </c>
      <c r="C168" s="0" t="s">
        <v>5456</v>
      </c>
      <c r="H168" s="0" t="s">
        <v>5457</v>
      </c>
      <c r="P168" s="0" t="n">
        <f aca="false">LEN(C168)+LEN(D168)+LEN(E168)+LEN(F168)+LEN(G168)+LEN(H168)</f>
        <v>33</v>
      </c>
    </row>
    <row r="169" s="3" customFormat="true" ht="15" hidden="false" customHeight="false" outlineLevel="0" collapsed="false">
      <c r="A169" s="3" t="s">
        <v>5458</v>
      </c>
      <c r="B169" s="3" t="n">
        <v>1886</v>
      </c>
      <c r="C169" s="3" t="s">
        <v>5459</v>
      </c>
      <c r="H169" s="3" t="s">
        <v>5460</v>
      </c>
      <c r="P169" s="3" t="n">
        <f aca="false">LEN(C169)+LEN(D169)+LEN(E169)+LEN(F169)+LEN(G169)+LEN(H169)</f>
        <v>30</v>
      </c>
    </row>
    <row r="170" customFormat="false" ht="15" hidden="false" customHeight="false" outlineLevel="0" collapsed="false">
      <c r="A170" s="0" t="s">
        <v>5461</v>
      </c>
      <c r="B170" s="0" t="n">
        <v>1886</v>
      </c>
      <c r="C170" s="0" t="s">
        <v>5462</v>
      </c>
      <c r="H170" s="0" t="s">
        <v>3692</v>
      </c>
      <c r="P170" s="0" t="n">
        <f aca="false">LEN(C170)+LEN(D170)+LEN(E170)+LEN(F170)+LEN(G170)+LEN(H170)</f>
        <v>21</v>
      </c>
    </row>
    <row r="171" customFormat="false" ht="15" hidden="false" customHeight="false" outlineLevel="0" collapsed="false">
      <c r="A171" s="0" t="s">
        <v>5463</v>
      </c>
      <c r="B171" s="0" t="n">
        <v>1886</v>
      </c>
      <c r="C171" s="0" t="s">
        <v>5464</v>
      </c>
      <c r="H171" s="0" t="s">
        <v>5350</v>
      </c>
      <c r="P171" s="0" t="n">
        <f aca="false">LEN(C171)+LEN(D171)+LEN(E171)+LEN(F171)+LEN(G171)+LEN(H171)</f>
        <v>25</v>
      </c>
    </row>
    <row r="172" customFormat="false" ht="15" hidden="false" customHeight="false" outlineLevel="0" collapsed="false">
      <c r="A172" s="0" t="s">
        <v>5465</v>
      </c>
      <c r="B172" s="0" t="n">
        <v>1886</v>
      </c>
      <c r="C172" s="0" t="s">
        <v>5466</v>
      </c>
      <c r="H172" s="0" t="s">
        <v>5014</v>
      </c>
      <c r="P172" s="0" t="n">
        <f aca="false">LEN(C172)+LEN(D172)+LEN(E172)+LEN(F172)+LEN(G172)+LEN(H172)</f>
        <v>24</v>
      </c>
    </row>
    <row r="173" customFormat="false" ht="15" hidden="false" customHeight="false" outlineLevel="0" collapsed="false">
      <c r="A173" s="0" t="s">
        <v>5467</v>
      </c>
      <c r="B173" s="0" t="n">
        <v>1886</v>
      </c>
      <c r="C173" s="0" t="s">
        <v>5468</v>
      </c>
      <c r="H173" s="0" t="s">
        <v>5469</v>
      </c>
      <c r="I173" s="0" t="s">
        <v>69</v>
      </c>
      <c r="O173" s="0" t="n">
        <v>2</v>
      </c>
      <c r="P173" s="0" t="n">
        <f aca="false">LEN(C173)+LEN(D173)+LEN(E173)+LEN(F173)+LEN(G173)+LEN(H173)</f>
        <v>25</v>
      </c>
    </row>
    <row r="174" customFormat="false" ht="15" hidden="false" customHeight="false" outlineLevel="0" collapsed="false">
      <c r="A174" s="0" t="s">
        <v>5470</v>
      </c>
      <c r="B174" s="0" t="n">
        <v>1890</v>
      </c>
      <c r="C174" s="0" t="s">
        <v>5471</v>
      </c>
      <c r="H174" s="0" t="s">
        <v>5472</v>
      </c>
      <c r="P174" s="0" t="n">
        <f aca="false">LEN(C174)+LEN(D174)+LEN(E174)+LEN(F174)+LEN(G174)+LEN(H174)</f>
        <v>26</v>
      </c>
    </row>
    <row r="175" customFormat="false" ht="15" hidden="false" customHeight="false" outlineLevel="0" collapsed="false">
      <c r="A175" s="0" t="s">
        <v>5473</v>
      </c>
      <c r="B175" s="0" t="n">
        <v>1890</v>
      </c>
      <c r="C175" s="0" t="s">
        <v>5474</v>
      </c>
      <c r="H175" s="0" t="s">
        <v>3692</v>
      </c>
      <c r="P175" s="0" t="n">
        <f aca="false">LEN(C175)+LEN(D175)+LEN(E175)+LEN(F175)+LEN(G175)+LEN(H175)</f>
        <v>21</v>
      </c>
    </row>
    <row r="176" s="3" customFormat="true" ht="15" hidden="false" customHeight="false" outlineLevel="0" collapsed="false">
      <c r="A176" s="3" t="s">
        <v>5475</v>
      </c>
      <c r="B176" s="3" t="n">
        <v>1892</v>
      </c>
      <c r="C176" s="3" t="s">
        <v>5476</v>
      </c>
      <c r="H176" s="3" t="s">
        <v>5477</v>
      </c>
      <c r="P176" s="3" t="n">
        <f aca="false">LEN(C176)+LEN(D176)+LEN(E176)+LEN(F176)+LEN(G176)+LEN(H176)</f>
        <v>23</v>
      </c>
    </row>
    <row r="177" s="3" customFormat="true" ht="15" hidden="false" customHeight="false" outlineLevel="0" collapsed="false">
      <c r="A177" s="3" t="s">
        <v>5478</v>
      </c>
      <c r="B177" s="3" t="n">
        <v>1892</v>
      </c>
      <c r="C177" s="3" t="s">
        <v>5479</v>
      </c>
      <c r="F177" s="3" t="s">
        <v>5480</v>
      </c>
      <c r="H177" s="3" t="s">
        <v>5481</v>
      </c>
      <c r="P177" s="3" t="n">
        <f aca="false">LEN(C177)+LEN(D177)+LEN(E177)+LEN(F177)+LEN(G177)+LEN(H177)</f>
        <v>43</v>
      </c>
    </row>
    <row r="178" customFormat="false" ht="15" hidden="false" customHeight="false" outlineLevel="0" collapsed="false">
      <c r="A178" s="0" t="s">
        <v>5482</v>
      </c>
      <c r="B178" s="0" t="n">
        <v>1892</v>
      </c>
      <c r="C178" s="0" t="s">
        <v>5483</v>
      </c>
      <c r="H178" s="0" t="s">
        <v>3692</v>
      </c>
      <c r="P178" s="0" t="n">
        <f aca="false">LEN(C178)+LEN(D178)+LEN(E178)+LEN(F178)+LEN(G178)+LEN(H178)</f>
        <v>20</v>
      </c>
    </row>
    <row r="179" s="3" customFormat="true" ht="15" hidden="false" customHeight="false" outlineLevel="0" collapsed="false">
      <c r="A179" s="3" t="s">
        <v>5484</v>
      </c>
      <c r="B179" s="3" t="n">
        <v>1892</v>
      </c>
      <c r="C179" s="3" t="s">
        <v>5485</v>
      </c>
      <c r="F179" s="3" t="s">
        <v>4278</v>
      </c>
      <c r="G179" s="3" t="s">
        <v>5486</v>
      </c>
      <c r="H179" s="3" t="s">
        <v>5487</v>
      </c>
      <c r="P179" s="3" t="n">
        <f aca="false">LEN(C179)+LEN(D179)+LEN(E179)+LEN(F179)+LEN(G179)+LEN(H179)</f>
        <v>71</v>
      </c>
    </row>
    <row r="180" customFormat="false" ht="15" hidden="false" customHeight="false" outlineLevel="0" collapsed="false">
      <c r="A180" s="0" t="s">
        <v>5488</v>
      </c>
      <c r="B180" s="0" t="n">
        <v>1892</v>
      </c>
      <c r="C180" s="0" t="s">
        <v>5489</v>
      </c>
      <c r="H180" s="0" t="s">
        <v>5045</v>
      </c>
      <c r="N180" s="0" t="s">
        <v>29</v>
      </c>
      <c r="P180" s="0" t="n">
        <f aca="false">LEN(C180)+LEN(D180)+LEN(E180)+LEN(F180)+LEN(G180)+LEN(H180)</f>
        <v>17</v>
      </c>
    </row>
    <row r="181" s="3" customFormat="true" ht="15" hidden="false" customHeight="false" outlineLevel="0" collapsed="false">
      <c r="A181" s="3" t="s">
        <v>5490</v>
      </c>
      <c r="B181" s="3" t="n">
        <v>1892</v>
      </c>
      <c r="C181" s="3" t="s">
        <v>5491</v>
      </c>
      <c r="H181" s="3" t="s">
        <v>5165</v>
      </c>
      <c r="P181" s="3" t="n">
        <f aca="false">LEN(C181)+LEN(D181)+LEN(E181)+LEN(F181)+LEN(G181)+LEN(H181)</f>
        <v>18</v>
      </c>
    </row>
    <row r="182" s="3" customFormat="true" ht="15" hidden="false" customHeight="false" outlineLevel="0" collapsed="false">
      <c r="A182" s="3" t="s">
        <v>5492</v>
      </c>
      <c r="B182" s="3" t="n">
        <v>1892</v>
      </c>
      <c r="C182" s="3" t="s">
        <v>5493</v>
      </c>
      <c r="F182" s="3" t="s">
        <v>5494</v>
      </c>
      <c r="G182" s="3" t="s">
        <v>5495</v>
      </c>
      <c r="H182" s="3" t="s">
        <v>5070</v>
      </c>
      <c r="P182" s="3" t="n">
        <f aca="false">LEN(C182)+LEN(D182)+LEN(E182)+LEN(F182)+LEN(G182)+LEN(H182)</f>
        <v>45</v>
      </c>
    </row>
    <row r="183" s="3" customFormat="true" ht="15" hidden="false" customHeight="false" outlineLevel="0" collapsed="false">
      <c r="A183" s="3" t="s">
        <v>5496</v>
      </c>
      <c r="B183" s="3" t="n">
        <v>1892</v>
      </c>
      <c r="C183" s="3" t="s">
        <v>5497</v>
      </c>
      <c r="F183" s="3" t="s">
        <v>931</v>
      </c>
      <c r="G183" s="3" t="s">
        <v>5498</v>
      </c>
      <c r="H183" s="3" t="s">
        <v>5499</v>
      </c>
      <c r="P183" s="3" t="n">
        <f aca="false">LEN(C183)+LEN(D183)+LEN(E183)+LEN(F183)+LEN(G183)+LEN(H183)</f>
        <v>68</v>
      </c>
    </row>
    <row r="184" s="3" customFormat="true" ht="15" hidden="false" customHeight="false" outlineLevel="0" collapsed="false">
      <c r="A184" s="3" t="s">
        <v>5500</v>
      </c>
      <c r="B184" s="3" t="n">
        <v>1892</v>
      </c>
      <c r="C184" s="3" t="s">
        <v>5501</v>
      </c>
      <c r="F184" s="3" t="s">
        <v>5502</v>
      </c>
      <c r="G184" s="3" t="s">
        <v>5503</v>
      </c>
      <c r="H184" s="3" t="s">
        <v>3944</v>
      </c>
      <c r="P184" s="3" t="n">
        <f aca="false">LEN(C184)+LEN(D184)+LEN(E184)+LEN(F184)+LEN(G184)+LEN(H184)</f>
        <v>44</v>
      </c>
    </row>
    <row r="185" s="3" customFormat="true" ht="15" hidden="false" customHeight="false" outlineLevel="0" collapsed="false">
      <c r="A185" s="3" t="s">
        <v>5504</v>
      </c>
      <c r="B185" s="3" t="n">
        <v>1892</v>
      </c>
      <c r="C185" s="3" t="s">
        <v>5505</v>
      </c>
      <c r="F185" s="3" t="s">
        <v>931</v>
      </c>
      <c r="G185" s="3" t="s">
        <v>5506</v>
      </c>
      <c r="H185" s="3" t="s">
        <v>5507</v>
      </c>
      <c r="P185" s="3" t="n">
        <f aca="false">LEN(C185)+LEN(D185)+LEN(E185)+LEN(F185)+LEN(G185)+LEN(H185)</f>
        <v>86</v>
      </c>
    </row>
    <row r="186" s="3" customFormat="true" ht="15" hidden="false" customHeight="false" outlineLevel="0" collapsed="false">
      <c r="A186" s="3" t="s">
        <v>5508</v>
      </c>
      <c r="B186" s="3" t="n">
        <v>1892</v>
      </c>
      <c r="C186" s="3" t="s">
        <v>5509</v>
      </c>
      <c r="H186" s="3" t="s">
        <v>5510</v>
      </c>
      <c r="P186" s="3" t="n">
        <f aca="false">LEN(C186)+LEN(D186)+LEN(E186)+LEN(F186)+LEN(G186)+LEN(H186)</f>
        <v>24</v>
      </c>
    </row>
    <row r="187" s="3" customFormat="true" ht="15" hidden="false" customHeight="false" outlineLevel="0" collapsed="false">
      <c r="A187" s="3" t="s">
        <v>5511</v>
      </c>
      <c r="B187" s="3" t="n">
        <v>1892</v>
      </c>
      <c r="C187" s="3" t="s">
        <v>5512</v>
      </c>
      <c r="H187" s="3" t="s">
        <v>5513</v>
      </c>
      <c r="P187" s="3" t="n">
        <f aca="false">LEN(C187)+LEN(D187)+LEN(E187)+LEN(F187)+LEN(G187)+LEN(H187)</f>
        <v>23</v>
      </c>
    </row>
    <row r="188" customFormat="false" ht="15" hidden="false" customHeight="false" outlineLevel="0" collapsed="false">
      <c r="A188" s="0" t="s">
        <v>5514</v>
      </c>
      <c r="B188" s="0" t="n">
        <v>1892</v>
      </c>
      <c r="C188" s="0" t="s">
        <v>5515</v>
      </c>
      <c r="F188" s="0" t="s">
        <v>5516</v>
      </c>
      <c r="G188" s="0" t="s">
        <v>5517</v>
      </c>
      <c r="H188" s="0" t="s">
        <v>5338</v>
      </c>
      <c r="P188" s="0" t="n">
        <f aca="false">LEN(C188)+LEN(D188)+LEN(E188)+LEN(F188)+LEN(G188)+LEN(H188)</f>
        <v>65</v>
      </c>
    </row>
    <row r="189" customFormat="false" ht="15" hidden="false" customHeight="false" outlineLevel="0" collapsed="false">
      <c r="A189" s="0" t="s">
        <v>5518</v>
      </c>
      <c r="B189" s="0" t="n">
        <v>1892</v>
      </c>
      <c r="C189" s="0" t="s">
        <v>5519</v>
      </c>
      <c r="H189" s="0" t="s">
        <v>5520</v>
      </c>
      <c r="P189" s="0" t="n">
        <f aca="false">LEN(C189)+LEN(D189)+LEN(E189)+LEN(F189)+LEN(G189)+LEN(H189)</f>
        <v>26</v>
      </c>
    </row>
    <row r="190" s="3" customFormat="true" ht="15" hidden="false" customHeight="false" outlineLevel="0" collapsed="false">
      <c r="A190" s="3" t="s">
        <v>5521</v>
      </c>
      <c r="B190" s="3" t="n">
        <v>1892</v>
      </c>
      <c r="C190" s="3" t="s">
        <v>5522</v>
      </c>
      <c r="F190" s="3" t="s">
        <v>882</v>
      </c>
      <c r="G190" s="3" t="s">
        <v>5523</v>
      </c>
      <c r="H190" s="3" t="s">
        <v>5524</v>
      </c>
      <c r="P190" s="3" t="n">
        <f aca="false">LEN(C190)+LEN(D190)+LEN(E190)+LEN(F190)+LEN(G190)+LEN(H190)</f>
        <v>70</v>
      </c>
    </row>
    <row r="191" s="3" customFormat="true" ht="15" hidden="false" customHeight="false" outlineLevel="0" collapsed="false">
      <c r="A191" s="3" t="s">
        <v>5525</v>
      </c>
      <c r="B191" s="3" t="n">
        <v>1892</v>
      </c>
      <c r="C191" s="3" t="s">
        <v>5526</v>
      </c>
      <c r="H191" s="3" t="s">
        <v>5527</v>
      </c>
      <c r="P191" s="3" t="n">
        <f aca="false">LEN(C191)+LEN(D191)+LEN(E191)+LEN(F191)+LEN(G191)+LEN(H191)</f>
        <v>19</v>
      </c>
    </row>
    <row r="192" s="3" customFormat="true" ht="15" hidden="false" customHeight="false" outlineLevel="0" collapsed="false">
      <c r="A192" s="3" t="s">
        <v>5528</v>
      </c>
      <c r="B192" s="3" t="n">
        <v>1892</v>
      </c>
      <c r="C192" s="3" t="s">
        <v>5529</v>
      </c>
      <c r="F192" s="3" t="s">
        <v>2948</v>
      </c>
      <c r="G192" s="3" t="s">
        <v>5530</v>
      </c>
      <c r="H192" s="3" t="s">
        <v>5045</v>
      </c>
      <c r="P192" s="3" t="n">
        <f aca="false">LEN(C192)+LEN(D192)+LEN(E192)+LEN(F192)+LEN(G192)+LEN(H192)</f>
        <v>47</v>
      </c>
    </row>
    <row r="193" s="3" customFormat="true" ht="15" hidden="false" customHeight="false" outlineLevel="0" collapsed="false">
      <c r="A193" s="3" t="s">
        <v>5531</v>
      </c>
      <c r="B193" s="3" t="n">
        <v>1892</v>
      </c>
      <c r="C193" s="3" t="s">
        <v>5532</v>
      </c>
      <c r="H193" s="3" t="s">
        <v>5533</v>
      </c>
      <c r="P193" s="3" t="n">
        <f aca="false">LEN(C193)+LEN(D193)+LEN(E193)+LEN(F193)+LEN(G193)+LEN(H193)</f>
        <v>31</v>
      </c>
    </row>
    <row r="194" customFormat="false" ht="15" hidden="false" customHeight="false" outlineLevel="0" collapsed="false">
      <c r="A194" s="0" t="s">
        <v>5534</v>
      </c>
      <c r="B194" s="0" t="n">
        <v>1892</v>
      </c>
      <c r="C194" s="0" t="s">
        <v>5535</v>
      </c>
      <c r="H194" s="0" t="s">
        <v>5536</v>
      </c>
      <c r="P194" s="0" t="n">
        <f aca="false">LEN(C194)+LEN(D194)+LEN(E194)+LEN(F194)+LEN(G194)+LEN(H194)</f>
        <v>21</v>
      </c>
    </row>
    <row r="195" customFormat="false" ht="15" hidden="false" customHeight="false" outlineLevel="0" collapsed="false">
      <c r="A195" s="0" t="s">
        <v>5537</v>
      </c>
      <c r="B195" s="0" t="n">
        <v>1892</v>
      </c>
      <c r="C195" s="0" t="s">
        <v>5538</v>
      </c>
      <c r="F195" s="0" t="s">
        <v>5539</v>
      </c>
      <c r="H195" s="0" t="s">
        <v>5540</v>
      </c>
      <c r="L195" s="0" t="s">
        <v>29</v>
      </c>
      <c r="N195" s="0" t="s">
        <v>29</v>
      </c>
      <c r="P195" s="0" t="n">
        <f aca="false">LEN(C195)+LEN(D195)+LEN(E195)+LEN(F195)+LEN(G195)+LEN(H195)</f>
        <v>37</v>
      </c>
    </row>
    <row r="196" s="3" customFormat="true" ht="15" hidden="false" customHeight="false" outlineLevel="0" collapsed="false">
      <c r="A196" s="3" t="s">
        <v>5541</v>
      </c>
      <c r="B196" s="3" t="n">
        <v>1892</v>
      </c>
      <c r="C196" s="3" t="s">
        <v>5542</v>
      </c>
      <c r="H196" s="3" t="s">
        <v>5543</v>
      </c>
      <c r="P196" s="3" t="n">
        <f aca="false">LEN(C196)+LEN(D196)+LEN(E196)+LEN(F196)+LEN(G196)+LEN(H196)</f>
        <v>22</v>
      </c>
    </row>
    <row r="197" customFormat="false" ht="15" hidden="false" customHeight="false" outlineLevel="0" collapsed="false">
      <c r="A197" s="0" t="s">
        <v>5544</v>
      </c>
      <c r="B197" s="0" t="n">
        <v>1892</v>
      </c>
      <c r="C197" s="0" t="s">
        <v>5545</v>
      </c>
      <c r="F197" s="0" t="s">
        <v>5502</v>
      </c>
      <c r="H197" s="0" t="s">
        <v>5546</v>
      </c>
      <c r="L197" s="0" t="s">
        <v>29</v>
      </c>
      <c r="P197" s="0" t="n">
        <f aca="false">LEN(C197)+LEN(D197)+LEN(E197)+LEN(F197)+LEN(G197)+LEN(H197)</f>
        <v>38</v>
      </c>
    </row>
    <row r="198" customFormat="false" ht="15" hidden="false" customHeight="false" outlineLevel="0" collapsed="false">
      <c r="A198" s="0" t="s">
        <v>5547</v>
      </c>
      <c r="B198" s="0" t="n">
        <v>1892</v>
      </c>
      <c r="C198" s="0" t="s">
        <v>5548</v>
      </c>
      <c r="F198" s="0" t="s">
        <v>5549</v>
      </c>
      <c r="H198" s="0" t="s">
        <v>5344</v>
      </c>
      <c r="I198" s="0" t="s">
        <v>69</v>
      </c>
      <c r="O198" s="0" t="n">
        <v>2</v>
      </c>
      <c r="P198" s="0" t="n">
        <f aca="false">LEN(C198)+LEN(D198)+LEN(E198)+LEN(F198)+LEN(G198)+LEN(H198)</f>
        <v>38</v>
      </c>
    </row>
    <row r="199" s="3" customFormat="true" ht="15" hidden="false" customHeight="false" outlineLevel="0" collapsed="false">
      <c r="A199" s="3" t="s">
        <v>5550</v>
      </c>
      <c r="B199" s="3" t="n">
        <v>1892</v>
      </c>
      <c r="C199" s="3" t="s">
        <v>5551</v>
      </c>
      <c r="H199" s="3" t="s">
        <v>5552</v>
      </c>
      <c r="P199" s="3" t="n">
        <f aca="false">LEN(C199)+LEN(D199)+LEN(E199)+LEN(F199)+LEN(G199)+LEN(H199)</f>
        <v>26</v>
      </c>
    </row>
    <row r="200" s="3" customFormat="true" ht="15" hidden="false" customHeight="false" outlineLevel="0" collapsed="false">
      <c r="A200" s="3" t="s">
        <v>5553</v>
      </c>
      <c r="B200" s="3" t="n">
        <v>1892</v>
      </c>
      <c r="C200" s="3" t="s">
        <v>5554</v>
      </c>
      <c r="G200" s="3" t="s">
        <v>5555</v>
      </c>
      <c r="H200" s="3" t="s">
        <v>5533</v>
      </c>
      <c r="P200" s="3" t="n">
        <f aca="false">LEN(C200)+LEN(D200)+LEN(E200)+LEN(F200)+LEN(G200)+LEN(H200)</f>
        <v>66</v>
      </c>
    </row>
    <row r="201" s="3" customFormat="true" ht="15" hidden="false" customHeight="false" outlineLevel="0" collapsed="false">
      <c r="A201" s="3" t="s">
        <v>5556</v>
      </c>
      <c r="B201" s="3" t="n">
        <v>1892</v>
      </c>
      <c r="C201" s="3" t="s">
        <v>5557</v>
      </c>
      <c r="H201" s="3" t="s">
        <v>5045</v>
      </c>
      <c r="P201" s="3" t="n">
        <f aca="false">LEN(C201)+LEN(D201)+LEN(E201)+LEN(F201)+LEN(G201)+LEN(H201)</f>
        <v>16</v>
      </c>
    </row>
    <row r="202" s="3" customFormat="true" ht="15" hidden="false" customHeight="false" outlineLevel="0" collapsed="false">
      <c r="A202" s="3" t="s">
        <v>5558</v>
      </c>
      <c r="B202" s="3" t="n">
        <v>1892</v>
      </c>
      <c r="C202" s="3" t="s">
        <v>5559</v>
      </c>
      <c r="F202" s="3" t="s">
        <v>882</v>
      </c>
      <c r="G202" s="3" t="s">
        <v>5560</v>
      </c>
      <c r="H202" s="3" t="s">
        <v>5561</v>
      </c>
      <c r="P202" s="3" t="n">
        <f aca="false">LEN(C202)+LEN(D202)+LEN(E202)+LEN(F202)+LEN(G202)+LEN(H202)</f>
        <v>46</v>
      </c>
    </row>
    <row r="203" s="3" customFormat="true" ht="15" hidden="false" customHeight="false" outlineLevel="0" collapsed="false">
      <c r="A203" s="3" t="s">
        <v>5562</v>
      </c>
      <c r="B203" s="3" t="n">
        <v>1892</v>
      </c>
      <c r="C203" s="3" t="s">
        <v>5563</v>
      </c>
      <c r="F203" s="3" t="s">
        <v>5564</v>
      </c>
      <c r="H203" s="3" t="s">
        <v>5565</v>
      </c>
      <c r="P203" s="3" t="n">
        <f aca="false">LEN(C203)+LEN(D203)+LEN(E203)+LEN(F203)+LEN(G203)+LEN(H203)</f>
        <v>41</v>
      </c>
    </row>
    <row r="204" s="3" customFormat="true" ht="15" hidden="false" customHeight="false" outlineLevel="0" collapsed="false">
      <c r="A204" s="3" t="s">
        <v>5566</v>
      </c>
      <c r="B204" s="3" t="n">
        <v>1892</v>
      </c>
      <c r="C204" s="3" t="s">
        <v>5567</v>
      </c>
      <c r="F204" s="3" t="s">
        <v>931</v>
      </c>
      <c r="H204" s="3" t="s">
        <v>3090</v>
      </c>
      <c r="P204" s="3" t="n">
        <f aca="false">LEN(C204)+LEN(D204)+LEN(E204)+LEN(F204)+LEN(G204)+LEN(H204)</f>
        <v>34</v>
      </c>
    </row>
    <row r="205" s="3" customFormat="true" ht="15" hidden="false" customHeight="false" outlineLevel="0" collapsed="false">
      <c r="A205" s="3" t="s">
        <v>5568</v>
      </c>
      <c r="B205" s="3" t="n">
        <v>1892</v>
      </c>
      <c r="C205" s="3" t="s">
        <v>5569</v>
      </c>
      <c r="G205" s="3" t="s">
        <v>5570</v>
      </c>
      <c r="H205" s="3" t="s">
        <v>5325</v>
      </c>
      <c r="P205" s="3" t="n">
        <f aca="false">LEN(C205)+LEN(D205)+LEN(E205)+LEN(F205)+LEN(G205)+LEN(H205)</f>
        <v>39</v>
      </c>
    </row>
    <row r="206" s="3" customFormat="true" ht="15" hidden="false" customHeight="false" outlineLevel="0" collapsed="false">
      <c r="A206" s="3" t="s">
        <v>5571</v>
      </c>
      <c r="B206" s="3" t="n">
        <v>1892</v>
      </c>
      <c r="C206" s="3" t="s">
        <v>5572</v>
      </c>
      <c r="F206" s="3" t="s">
        <v>5502</v>
      </c>
      <c r="H206" s="3" t="s">
        <v>5076</v>
      </c>
      <c r="P206" s="3" t="n">
        <f aca="false">LEN(C206)+LEN(D206)+LEN(E206)+LEN(F206)+LEN(G206)+LEN(H206)</f>
        <v>37</v>
      </c>
    </row>
    <row r="207" s="3" customFormat="true" ht="15" hidden="false" customHeight="false" outlineLevel="0" collapsed="false">
      <c r="A207" s="3" t="s">
        <v>5573</v>
      </c>
      <c r="B207" s="3" t="n">
        <v>1892</v>
      </c>
      <c r="C207" s="3" t="s">
        <v>5574</v>
      </c>
      <c r="H207" s="3" t="s">
        <v>5575</v>
      </c>
      <c r="P207" s="3" t="n">
        <f aca="false">LEN(C207)+LEN(D207)+LEN(E207)+LEN(F207)+LEN(G207)+LEN(H207)</f>
        <v>26</v>
      </c>
    </row>
    <row r="208" s="3" customFormat="true" ht="15" hidden="false" customHeight="false" outlineLevel="0" collapsed="false">
      <c r="A208" s="3" t="s">
        <v>5576</v>
      </c>
      <c r="B208" s="3" t="n">
        <v>1892</v>
      </c>
      <c r="C208" s="3" t="s">
        <v>5577</v>
      </c>
      <c r="F208" s="3" t="s">
        <v>4448</v>
      </c>
      <c r="G208" s="3" t="s">
        <v>5578</v>
      </c>
      <c r="H208" s="3" t="s">
        <v>5579</v>
      </c>
      <c r="P208" s="3" t="n">
        <f aca="false">LEN(C208)+LEN(D208)+LEN(E208)+LEN(F208)+LEN(G208)+LEN(H208)</f>
        <v>35</v>
      </c>
    </row>
    <row r="209" s="3" customFormat="true" ht="15" hidden="false" customHeight="false" outlineLevel="0" collapsed="false">
      <c r="A209" s="3" t="s">
        <v>5580</v>
      </c>
      <c r="B209" s="3" t="n">
        <v>1892</v>
      </c>
      <c r="C209" s="3" t="s">
        <v>5581</v>
      </c>
      <c r="F209" s="3" t="s">
        <v>4554</v>
      </c>
      <c r="G209" s="3" t="s">
        <v>5582</v>
      </c>
      <c r="H209" s="3" t="s">
        <v>5583</v>
      </c>
      <c r="P209" s="3" t="n">
        <f aca="false">LEN(C209)+LEN(D209)+LEN(E209)+LEN(F209)+LEN(G209)+LEN(H209)</f>
        <v>44</v>
      </c>
    </row>
    <row r="210" s="3" customFormat="true" ht="15" hidden="false" customHeight="false" outlineLevel="0" collapsed="false">
      <c r="A210" s="3" t="s">
        <v>5584</v>
      </c>
      <c r="B210" s="3" t="n">
        <v>1892</v>
      </c>
      <c r="C210" s="3" t="s">
        <v>5585</v>
      </c>
      <c r="F210" s="3" t="s">
        <v>882</v>
      </c>
      <c r="G210" s="3" t="s">
        <v>5586</v>
      </c>
      <c r="H210" s="3" t="s">
        <v>5587</v>
      </c>
      <c r="P210" s="3" t="n">
        <f aca="false">LEN(C210)+LEN(D210)+LEN(E210)+LEN(F210)+LEN(G210)+LEN(H210)</f>
        <v>52</v>
      </c>
    </row>
    <row r="211" s="3" customFormat="true" ht="15" hidden="false" customHeight="false" outlineLevel="0" collapsed="false">
      <c r="A211" s="3" t="s">
        <v>5588</v>
      </c>
      <c r="B211" s="3" t="n">
        <v>1892</v>
      </c>
      <c r="C211" s="3" t="s">
        <v>5589</v>
      </c>
      <c r="G211" s="3" t="s">
        <v>5590</v>
      </c>
      <c r="H211" s="3" t="s">
        <v>5591</v>
      </c>
      <c r="P211" s="3" t="n">
        <f aca="false">LEN(C211)+LEN(D211)+LEN(E211)+LEN(F211)+LEN(G211)+LEN(H211)</f>
        <v>45</v>
      </c>
    </row>
    <row r="212" s="3" customFormat="true" ht="15" hidden="false" customHeight="false" outlineLevel="0" collapsed="false">
      <c r="A212" s="3" t="s">
        <v>5592</v>
      </c>
      <c r="B212" s="3" t="n">
        <v>1892</v>
      </c>
      <c r="C212" s="3" t="s">
        <v>5593</v>
      </c>
      <c r="H212" s="3" t="s">
        <v>5347</v>
      </c>
      <c r="P212" s="3" t="n">
        <f aca="false">LEN(C212)+LEN(D212)+LEN(E212)+LEN(F212)+LEN(G212)+LEN(H212)</f>
        <v>17</v>
      </c>
    </row>
    <row r="213" customFormat="false" ht="15" hidden="false" customHeight="false" outlineLevel="0" collapsed="false">
      <c r="A213" s="0" t="s">
        <v>5594</v>
      </c>
      <c r="B213" s="0" t="n">
        <v>1892</v>
      </c>
      <c r="C213" s="0" t="s">
        <v>5595</v>
      </c>
      <c r="F213" s="0" t="s">
        <v>1357</v>
      </c>
      <c r="H213" s="0" t="s">
        <v>4176</v>
      </c>
      <c r="L213" s="0" t="s">
        <v>29</v>
      </c>
      <c r="P213" s="0" t="n">
        <f aca="false">LEN(C213)+LEN(D213)+LEN(E213)+LEN(F213)+LEN(G213)+LEN(H213)</f>
        <v>32</v>
      </c>
    </row>
    <row r="214" s="3" customFormat="true" ht="15" hidden="false" customHeight="false" outlineLevel="0" collapsed="false">
      <c r="A214" s="3" t="s">
        <v>5596</v>
      </c>
      <c r="B214" s="3" t="n">
        <v>1892</v>
      </c>
      <c r="C214" s="3" t="s">
        <v>5597</v>
      </c>
      <c r="F214" s="3" t="s">
        <v>5502</v>
      </c>
      <c r="G214" s="3" t="s">
        <v>5598</v>
      </c>
      <c r="H214" s="3" t="s">
        <v>5599</v>
      </c>
      <c r="P214" s="3" t="n">
        <f aca="false">LEN(C214)+LEN(D214)+LEN(E214)+LEN(F214)+LEN(G214)+LEN(H214)</f>
        <v>63</v>
      </c>
    </row>
    <row r="215" customFormat="false" ht="15" hidden="false" customHeight="false" outlineLevel="0" collapsed="false">
      <c r="A215" s="0" t="s">
        <v>5600</v>
      </c>
      <c r="B215" s="0" t="n">
        <v>1892</v>
      </c>
      <c r="C215" s="0" t="s">
        <v>5601</v>
      </c>
      <c r="F215" s="0" t="s">
        <v>5502</v>
      </c>
      <c r="H215" s="0" t="s">
        <v>5602</v>
      </c>
      <c r="L215" s="0" t="s">
        <v>29</v>
      </c>
      <c r="P215" s="0" t="n">
        <f aca="false">LEN(C215)+LEN(D215)+LEN(E215)+LEN(F215)+LEN(G215)+LEN(H215)</f>
        <v>37</v>
      </c>
    </row>
    <row r="216" customFormat="false" ht="15" hidden="false" customHeight="false" outlineLevel="0" collapsed="false">
      <c r="A216" s="0" t="s">
        <v>5603</v>
      </c>
      <c r="B216" s="0" t="n">
        <v>1894</v>
      </c>
      <c r="C216" s="0" t="s">
        <v>5604</v>
      </c>
      <c r="H216" s="0" t="s">
        <v>5605</v>
      </c>
      <c r="M216" s="0" t="s">
        <v>29</v>
      </c>
      <c r="P216" s="0" t="n">
        <f aca="false">LEN(C216)+LEN(D216)+LEN(E216)+LEN(F216)+LEN(G216)+LEN(H216)</f>
        <v>26</v>
      </c>
    </row>
    <row r="217" customFormat="false" ht="15" hidden="false" customHeight="false" outlineLevel="0" collapsed="false">
      <c r="A217" s="0" t="s">
        <v>5606</v>
      </c>
      <c r="B217" s="0" t="n">
        <v>1895</v>
      </c>
      <c r="C217" s="0" t="s">
        <v>5607</v>
      </c>
      <c r="H217" s="0" t="s">
        <v>5608</v>
      </c>
      <c r="L217" s="0" t="s">
        <v>29</v>
      </c>
      <c r="P217" s="0" t="n">
        <f aca="false">LEN(C217)+LEN(D217)+LEN(E217)+LEN(F217)+LEN(G217)+LEN(H217)</f>
        <v>24</v>
      </c>
    </row>
    <row r="218" customFormat="false" ht="15" hidden="false" customHeight="false" outlineLevel="0" collapsed="false">
      <c r="A218" s="0" t="s">
        <v>5609</v>
      </c>
      <c r="B218" s="0" t="n">
        <v>1895</v>
      </c>
      <c r="C218" s="0" t="s">
        <v>5610</v>
      </c>
      <c r="H218" s="0" t="s">
        <v>5036</v>
      </c>
      <c r="P218" s="0" t="n">
        <f aca="false">LEN(C218)+LEN(D218)+LEN(E218)+LEN(F218)+LEN(G218)+LEN(H218)</f>
        <v>25</v>
      </c>
    </row>
    <row r="219" customFormat="false" ht="15" hidden="false" customHeight="false" outlineLevel="0" collapsed="false">
      <c r="A219" s="0" t="s">
        <v>5611</v>
      </c>
      <c r="B219" s="0" t="n">
        <v>1896</v>
      </c>
      <c r="C219" s="0" t="s">
        <v>5612</v>
      </c>
      <c r="H219" s="0" t="s">
        <v>5613</v>
      </c>
      <c r="N219" s="0" t="s">
        <v>69</v>
      </c>
      <c r="O219" s="0" t="n">
        <v>3</v>
      </c>
      <c r="P219" s="0" t="n">
        <f aca="false">LEN(C219)+LEN(D219)+LEN(E219)+LEN(F219)+LEN(G219)+LEN(H219)</f>
        <v>33</v>
      </c>
    </row>
    <row r="220" customFormat="false" ht="15" hidden="false" customHeight="false" outlineLevel="0" collapsed="false">
      <c r="A220" s="0" t="s">
        <v>5614</v>
      </c>
      <c r="B220" s="0" t="n">
        <v>1896</v>
      </c>
      <c r="C220" s="0" t="s">
        <v>5615</v>
      </c>
      <c r="H220" s="0" t="s">
        <v>5616</v>
      </c>
      <c r="P220" s="0" t="n">
        <f aca="false">LEN(C220)+LEN(D220)+LEN(E220)+LEN(F220)+LEN(G220)+LEN(H220)</f>
        <v>30</v>
      </c>
    </row>
    <row r="221" customFormat="false" ht="15" hidden="false" customHeight="false" outlineLevel="0" collapsed="false">
      <c r="A221" s="0" t="s">
        <v>5617</v>
      </c>
      <c r="B221" s="0" t="n">
        <v>1899</v>
      </c>
      <c r="C221" s="0" t="s">
        <v>5618</v>
      </c>
      <c r="H221" s="0" t="s">
        <v>5619</v>
      </c>
      <c r="P221" s="0" t="n">
        <f aca="false">LEN(C221)+LEN(D221)+LEN(E221)+LEN(F221)+LEN(G221)+LEN(H221)</f>
        <v>35</v>
      </c>
    </row>
    <row r="222" customFormat="false" ht="15" hidden="false" customHeight="false" outlineLevel="0" collapsed="false">
      <c r="A222" s="0" t="s">
        <v>5620</v>
      </c>
      <c r="B222" s="0" t="n">
        <v>1900</v>
      </c>
      <c r="C222" s="0" t="s">
        <v>5621</v>
      </c>
      <c r="H222" s="0" t="s">
        <v>5622</v>
      </c>
      <c r="N222" s="0" t="s">
        <v>29</v>
      </c>
      <c r="P222" s="0" t="n">
        <f aca="false">LEN(C222)+LEN(D222)+LEN(E222)+LEN(F222)+LEN(G222)+LEN(H222)</f>
        <v>25</v>
      </c>
    </row>
    <row r="223" s="3" customFormat="true" ht="15" hidden="false" customHeight="false" outlineLevel="0" collapsed="false">
      <c r="A223" s="3" t="s">
        <v>5623</v>
      </c>
      <c r="B223" s="3" t="n">
        <v>1902</v>
      </c>
      <c r="C223" s="3" t="s">
        <v>5624</v>
      </c>
      <c r="H223" s="3" t="s">
        <v>3944</v>
      </c>
      <c r="P223" s="3" t="n">
        <f aca="false">LEN(C223)+LEN(D223)+LEN(E223)+LEN(F223)+LEN(G223)+LEN(H223)</f>
        <v>18</v>
      </c>
    </row>
    <row r="224" s="3" customFormat="true" ht="15" hidden="false" customHeight="false" outlineLevel="0" collapsed="false">
      <c r="A224" s="3" t="s">
        <v>5625</v>
      </c>
      <c r="B224" s="3" t="n">
        <v>1902</v>
      </c>
      <c r="C224" s="3" t="s">
        <v>5626</v>
      </c>
      <c r="G224" s="3" t="s">
        <v>5627</v>
      </c>
      <c r="H224" s="3" t="s">
        <v>5628</v>
      </c>
      <c r="P224" s="3" t="n">
        <f aca="false">LEN(C224)+LEN(D224)+LEN(E224)+LEN(F224)+LEN(G224)+LEN(H224)</f>
        <v>52</v>
      </c>
    </row>
    <row r="225" s="3" customFormat="true" ht="15" hidden="false" customHeight="false" outlineLevel="0" collapsed="false">
      <c r="A225" s="3" t="s">
        <v>5629</v>
      </c>
      <c r="B225" s="3" t="n">
        <v>1902</v>
      </c>
      <c r="C225" s="3" t="s">
        <v>5630</v>
      </c>
      <c r="F225" s="3" t="s">
        <v>5502</v>
      </c>
      <c r="G225" s="3" t="s">
        <v>5631</v>
      </c>
      <c r="H225" s="3" t="s">
        <v>5070</v>
      </c>
      <c r="P225" s="3" t="n">
        <f aca="false">LEN(C225)+LEN(D225)+LEN(E225)+LEN(F225)+LEN(G225)+LEN(H225)</f>
        <v>61</v>
      </c>
    </row>
    <row r="226" s="3" customFormat="true" ht="15" hidden="false" customHeight="false" outlineLevel="0" collapsed="false">
      <c r="A226" s="3" t="s">
        <v>5632</v>
      </c>
      <c r="B226" s="3" t="n">
        <v>1902</v>
      </c>
      <c r="C226" s="3" t="s">
        <v>5633</v>
      </c>
      <c r="F226" s="3" t="s">
        <v>2871</v>
      </c>
      <c r="G226" s="3" t="s">
        <v>5634</v>
      </c>
      <c r="H226" s="3" t="s">
        <v>3692</v>
      </c>
      <c r="P226" s="3" t="n">
        <f aca="false">LEN(C226)+LEN(D226)+LEN(E226)+LEN(F226)+LEN(G226)+LEN(H226)</f>
        <v>56</v>
      </c>
    </row>
    <row r="227" s="3" customFormat="true" ht="15" hidden="false" customHeight="false" outlineLevel="0" collapsed="false">
      <c r="A227" s="3" t="s">
        <v>5635</v>
      </c>
      <c r="B227" s="3" t="n">
        <v>1902</v>
      </c>
      <c r="C227" s="3" t="s">
        <v>5636</v>
      </c>
      <c r="F227" s="3" t="s">
        <v>5502</v>
      </c>
      <c r="H227" s="3" t="s">
        <v>5637</v>
      </c>
      <c r="P227" s="3" t="n">
        <f aca="false">LEN(C227)+LEN(D227)+LEN(E227)+LEN(F227)+LEN(G227)+LEN(H227)</f>
        <v>40</v>
      </c>
    </row>
    <row r="228" customFormat="false" ht="15" hidden="false" customHeight="false" outlineLevel="0" collapsed="false">
      <c r="A228" s="0" t="s">
        <v>5638</v>
      </c>
      <c r="B228" s="0" t="n">
        <v>1902</v>
      </c>
      <c r="C228" s="0" t="s">
        <v>5639</v>
      </c>
      <c r="G228" s="0" t="s">
        <v>5640</v>
      </c>
      <c r="H228" s="0" t="s">
        <v>5042</v>
      </c>
      <c r="P228" s="0" t="n">
        <f aca="false">LEN(C228)+LEN(D228)+LEN(E228)+LEN(F228)+LEN(G228)+LEN(H228)</f>
        <v>44</v>
      </c>
    </row>
    <row r="229" customFormat="false" ht="15" hidden="false" customHeight="false" outlineLevel="0" collapsed="false">
      <c r="A229" s="0" t="s">
        <v>5641</v>
      </c>
      <c r="B229" s="0" t="n">
        <v>1902</v>
      </c>
      <c r="C229" s="0" t="s">
        <v>5642</v>
      </c>
      <c r="F229" s="0" t="s">
        <v>5502</v>
      </c>
      <c r="G229" s="0" t="s">
        <v>5643</v>
      </c>
      <c r="H229" s="0" t="s">
        <v>32</v>
      </c>
      <c r="P229" s="0" t="n">
        <f aca="false">LEN(C229)+LEN(D229)+LEN(E229)+LEN(F229)+LEN(G229)+LEN(H229)</f>
        <v>50</v>
      </c>
    </row>
    <row r="230" customFormat="false" ht="15" hidden="false" customHeight="false" outlineLevel="0" collapsed="false">
      <c r="A230" s="0" t="s">
        <v>5644</v>
      </c>
      <c r="B230" s="0" t="n">
        <v>1902</v>
      </c>
      <c r="C230" s="0" t="s">
        <v>5645</v>
      </c>
      <c r="H230" s="0" t="s">
        <v>5439</v>
      </c>
      <c r="P230" s="0" t="n">
        <f aca="false">LEN(C230)+LEN(D230)+LEN(E230)+LEN(F230)+LEN(G230)+LEN(H230)</f>
        <v>21</v>
      </c>
    </row>
    <row r="231" customFormat="false" ht="15" hidden="false" customHeight="false" outlineLevel="0" collapsed="false">
      <c r="A231" s="0" t="s">
        <v>5646</v>
      </c>
      <c r="B231" s="0" t="n">
        <v>1902</v>
      </c>
      <c r="C231" s="0" t="s">
        <v>5647</v>
      </c>
      <c r="D231" s="0" t="s">
        <v>5133</v>
      </c>
      <c r="H231" s="0" t="s">
        <v>4176</v>
      </c>
      <c r="P231" s="0" t="n">
        <f aca="false">LEN(C231)+LEN(D231)+LEN(E231)+LEN(F231)+LEN(G231)+LEN(H231)</f>
        <v>32</v>
      </c>
    </row>
    <row r="232" customFormat="false" ht="15" hidden="false" customHeight="false" outlineLevel="0" collapsed="false">
      <c r="A232" s="0" t="s">
        <v>5648</v>
      </c>
      <c r="B232" s="0" t="n">
        <v>1902</v>
      </c>
      <c r="C232" s="0" t="s">
        <v>5649</v>
      </c>
      <c r="H232" s="0" t="s">
        <v>5650</v>
      </c>
      <c r="P232" s="0" t="n">
        <f aca="false">LEN(C232)+LEN(D232)+LEN(E232)+LEN(F232)+LEN(G232)+LEN(H232)</f>
        <v>23</v>
      </c>
    </row>
    <row r="233" customFormat="false" ht="15" hidden="false" customHeight="false" outlineLevel="0" collapsed="false">
      <c r="A233" s="0" t="s">
        <v>5651</v>
      </c>
      <c r="B233" s="0" t="n">
        <v>1902</v>
      </c>
      <c r="C233" s="0" t="s">
        <v>5652</v>
      </c>
      <c r="H233" s="0" t="s">
        <v>5653</v>
      </c>
      <c r="P233" s="0" t="n">
        <f aca="false">LEN(C233)+LEN(D233)+LEN(E233)+LEN(F233)+LEN(G233)+LEN(H233)</f>
        <v>33</v>
      </c>
    </row>
    <row r="234" customFormat="false" ht="15" hidden="false" customHeight="false" outlineLevel="0" collapsed="false">
      <c r="A234" s="0" t="s">
        <v>5654</v>
      </c>
      <c r="B234" s="0" t="n">
        <v>1902</v>
      </c>
      <c r="C234" s="0" t="s">
        <v>5203</v>
      </c>
      <c r="G234" s="0" t="s">
        <v>5655</v>
      </c>
      <c r="H234" s="0" t="s">
        <v>3090</v>
      </c>
      <c r="P234" s="0" t="n">
        <f aca="false">LEN(C234)+LEN(D234)+LEN(E234)+LEN(F234)+LEN(G234)+LEN(H234)</f>
        <v>39</v>
      </c>
    </row>
    <row r="235" customFormat="false" ht="15" hidden="false" customHeight="false" outlineLevel="0" collapsed="false">
      <c r="A235" s="0" t="s">
        <v>5656</v>
      </c>
      <c r="B235" s="0" t="n">
        <v>1902</v>
      </c>
      <c r="C235" s="0" t="s">
        <v>5657</v>
      </c>
      <c r="F235" s="0" t="s">
        <v>5502</v>
      </c>
      <c r="H235" s="0" t="s">
        <v>5658</v>
      </c>
      <c r="P235" s="0" t="n">
        <f aca="false">LEN(C235)+LEN(D235)+LEN(E235)+LEN(F235)+LEN(G235)+LEN(H235)</f>
        <v>45</v>
      </c>
    </row>
    <row r="236" customFormat="false" ht="15" hidden="false" customHeight="false" outlineLevel="0" collapsed="false">
      <c r="A236" s="0" t="s">
        <v>5659</v>
      </c>
      <c r="B236" s="0" t="n">
        <v>1902</v>
      </c>
      <c r="C236" s="0" t="s">
        <v>5660</v>
      </c>
      <c r="H236" s="0" t="s">
        <v>5661</v>
      </c>
      <c r="P236" s="0" t="n">
        <f aca="false">LEN(C236)+LEN(D236)+LEN(E236)+LEN(F236)+LEN(G236)+LEN(H236)</f>
        <v>26</v>
      </c>
    </row>
    <row r="237" customFormat="false" ht="15" hidden="false" customHeight="false" outlineLevel="0" collapsed="false">
      <c r="A237" s="0" t="s">
        <v>5662</v>
      </c>
      <c r="B237" s="0" t="n">
        <v>1902</v>
      </c>
      <c r="C237" s="0" t="s">
        <v>5663</v>
      </c>
      <c r="H237" s="0" t="s">
        <v>5029</v>
      </c>
      <c r="P237" s="0" t="n">
        <f aca="false">LEN(C237)+LEN(D237)+LEN(E237)+LEN(F237)+LEN(G237)+LEN(H237)</f>
        <v>22</v>
      </c>
    </row>
    <row r="238" customFormat="false" ht="15" hidden="false" customHeight="false" outlineLevel="0" collapsed="false">
      <c r="A238" s="0" t="s">
        <v>5664</v>
      </c>
      <c r="B238" s="0" t="n">
        <v>1902</v>
      </c>
      <c r="C238" s="0" t="s">
        <v>5665</v>
      </c>
      <c r="F238" s="0" t="s">
        <v>931</v>
      </c>
      <c r="G238" s="0" t="s">
        <v>5666</v>
      </c>
      <c r="H238" s="0" t="s">
        <v>5667</v>
      </c>
      <c r="P238" s="0" t="n">
        <f aca="false">LEN(C238)+LEN(D238)+LEN(E238)+LEN(F238)+LEN(G238)+LEN(H238)</f>
        <v>57</v>
      </c>
    </row>
    <row r="239" customFormat="false" ht="15" hidden="false" customHeight="false" outlineLevel="0" collapsed="false">
      <c r="A239" s="0" t="s">
        <v>5668</v>
      </c>
      <c r="B239" s="0" t="n">
        <v>1902</v>
      </c>
      <c r="C239" s="0" t="s">
        <v>5669</v>
      </c>
      <c r="H239" s="0" t="s">
        <v>5670</v>
      </c>
      <c r="P239" s="0" t="n">
        <f aca="false">LEN(C239)+LEN(D239)+LEN(E239)+LEN(F239)+LEN(G239)+LEN(H239)</f>
        <v>23</v>
      </c>
    </row>
    <row r="240" customFormat="false" ht="15" hidden="false" customHeight="false" outlineLevel="0" collapsed="false">
      <c r="A240" s="0" t="s">
        <v>5671</v>
      </c>
      <c r="B240" s="0" t="n">
        <v>1902</v>
      </c>
      <c r="C240" s="0" t="s">
        <v>5672</v>
      </c>
      <c r="F240" s="0" t="s">
        <v>2948</v>
      </c>
      <c r="G240" s="0" t="s">
        <v>5673</v>
      </c>
      <c r="H240" s="0" t="s">
        <v>3090</v>
      </c>
      <c r="P240" s="0" t="n">
        <f aca="false">LEN(C240)+LEN(D240)+LEN(E240)+LEN(F240)+LEN(G240)+LEN(H240)</f>
        <v>48</v>
      </c>
    </row>
    <row r="241" customFormat="false" ht="15" hidden="false" customHeight="false" outlineLevel="0" collapsed="false">
      <c r="A241" s="0" t="s">
        <v>5674</v>
      </c>
      <c r="B241" s="0" t="n">
        <v>1902</v>
      </c>
      <c r="C241" s="0" t="s">
        <v>5675</v>
      </c>
      <c r="F241" s="0" t="s">
        <v>2948</v>
      </c>
      <c r="G241" s="0" t="s">
        <v>5676</v>
      </c>
      <c r="H241" s="0" t="s">
        <v>5510</v>
      </c>
      <c r="P241" s="0" t="n">
        <f aca="false">LEN(C241)+LEN(D241)+LEN(E241)+LEN(F241)+LEN(G241)+LEN(H241)</f>
        <v>52</v>
      </c>
    </row>
    <row r="242" customFormat="false" ht="15" hidden="false" customHeight="false" outlineLevel="0" collapsed="false">
      <c r="A242" s="0" t="s">
        <v>5677</v>
      </c>
      <c r="B242" s="0" t="n">
        <v>1902</v>
      </c>
      <c r="C242" s="0" t="s">
        <v>5678</v>
      </c>
      <c r="F242" s="0" t="s">
        <v>4554</v>
      </c>
      <c r="G242" s="0" t="s">
        <v>5679</v>
      </c>
      <c r="H242" s="0" t="s">
        <v>3993</v>
      </c>
      <c r="P242" s="0" t="n">
        <f aca="false">LEN(C242)+LEN(D242)+LEN(E242)+LEN(F242)+LEN(G242)+LEN(H242)</f>
        <v>45</v>
      </c>
    </row>
    <row r="243" customFormat="false" ht="15" hidden="false" customHeight="false" outlineLevel="0" collapsed="false">
      <c r="A243" s="0" t="s">
        <v>5680</v>
      </c>
      <c r="B243" s="0" t="n">
        <v>1902</v>
      </c>
      <c r="C243" s="0" t="s">
        <v>5681</v>
      </c>
      <c r="F243" s="0" t="s">
        <v>5682</v>
      </c>
      <c r="G243" s="0" t="s">
        <v>5683</v>
      </c>
      <c r="H243" s="0" t="s">
        <v>5684</v>
      </c>
      <c r="P243" s="0" t="n">
        <f aca="false">LEN(C243)+LEN(D243)+LEN(E243)+LEN(F243)+LEN(G243)+LEN(H243)</f>
        <v>67</v>
      </c>
    </row>
    <row r="244" customFormat="false" ht="15" hidden="false" customHeight="false" outlineLevel="0" collapsed="false">
      <c r="A244" s="0" t="s">
        <v>5685</v>
      </c>
      <c r="B244" s="0" t="n">
        <v>1902</v>
      </c>
      <c r="C244" s="0" t="s">
        <v>5686</v>
      </c>
      <c r="H244" s="0" t="s">
        <v>5687</v>
      </c>
      <c r="P244" s="0" t="n">
        <f aca="false">LEN(C244)+LEN(D244)+LEN(E244)+LEN(F244)+LEN(G244)+LEN(H244)</f>
        <v>23</v>
      </c>
    </row>
    <row r="245" customFormat="false" ht="15" hidden="false" customHeight="false" outlineLevel="0" collapsed="false">
      <c r="A245" s="0" t="s">
        <v>5688</v>
      </c>
      <c r="B245" s="0" t="n">
        <v>1902</v>
      </c>
      <c r="C245" s="0" t="s">
        <v>5689</v>
      </c>
      <c r="F245" s="0" t="s">
        <v>931</v>
      </c>
      <c r="G245" s="0" t="s">
        <v>5690</v>
      </c>
      <c r="H245" s="0" t="s">
        <v>5691</v>
      </c>
      <c r="P245" s="0" t="n">
        <f aca="false">LEN(C245)+LEN(D245)+LEN(E245)+LEN(F245)+LEN(G245)+LEN(H245)</f>
        <v>44</v>
      </c>
    </row>
    <row r="246" customFormat="false" ht="15" hidden="false" customHeight="false" outlineLevel="0" collapsed="false">
      <c r="A246" s="0" t="s">
        <v>5692</v>
      </c>
      <c r="B246" s="0" t="n">
        <v>1902</v>
      </c>
      <c r="C246" s="0" t="s">
        <v>5693</v>
      </c>
      <c r="F246" s="0" t="s">
        <v>5502</v>
      </c>
      <c r="H246" s="0" t="s">
        <v>5042</v>
      </c>
      <c r="P246" s="0" t="n">
        <f aca="false">LEN(C246)+LEN(D246)+LEN(E246)+LEN(F246)+LEN(G246)+LEN(H246)</f>
        <v>41</v>
      </c>
    </row>
    <row r="247" customFormat="false" ht="15" hidden="false" customHeight="false" outlineLevel="0" collapsed="false">
      <c r="A247" s="0" t="s">
        <v>5694</v>
      </c>
      <c r="B247" s="0" t="n">
        <v>1902</v>
      </c>
      <c r="C247" s="0" t="s">
        <v>5695</v>
      </c>
      <c r="H247" s="0" t="s">
        <v>3692</v>
      </c>
      <c r="P247" s="0" t="n">
        <f aca="false">LEN(C247)+LEN(D247)+LEN(E247)+LEN(F247)+LEN(G247)+LEN(H247)</f>
        <v>21</v>
      </c>
    </row>
    <row r="248" customFormat="false" ht="15" hidden="false" customHeight="false" outlineLevel="0" collapsed="false">
      <c r="A248" s="0" t="s">
        <v>5696</v>
      </c>
      <c r="B248" s="0" t="n">
        <v>1902</v>
      </c>
      <c r="C248" s="0" t="s">
        <v>5697</v>
      </c>
      <c r="F248" s="0" t="s">
        <v>5502</v>
      </c>
      <c r="H248" s="0" t="s">
        <v>4176</v>
      </c>
      <c r="P248" s="0" t="n">
        <f aca="false">LEN(C248)+LEN(D248)+LEN(E248)+LEN(F248)+LEN(G248)+LEN(H248)</f>
        <v>38</v>
      </c>
    </row>
    <row r="249" customFormat="false" ht="15" hidden="false" customHeight="false" outlineLevel="0" collapsed="false">
      <c r="A249" s="0" t="s">
        <v>5698</v>
      </c>
      <c r="B249" s="0" t="n">
        <v>1902</v>
      </c>
      <c r="C249" s="0" t="s">
        <v>5699</v>
      </c>
      <c r="F249" s="0" t="s">
        <v>931</v>
      </c>
      <c r="G249" s="0" t="s">
        <v>5700</v>
      </c>
      <c r="H249" s="0" t="s">
        <v>5472</v>
      </c>
      <c r="P249" s="0" t="n">
        <f aca="false">LEN(C249)+LEN(D249)+LEN(E249)+LEN(F249)+LEN(G249)+LEN(H249)</f>
        <v>58</v>
      </c>
    </row>
    <row r="250" customFormat="false" ht="15" hidden="false" customHeight="false" outlineLevel="0" collapsed="false">
      <c r="A250" s="0" t="s">
        <v>5701</v>
      </c>
      <c r="B250" s="0" t="n">
        <v>1902</v>
      </c>
      <c r="C250" s="0" t="s">
        <v>5702</v>
      </c>
      <c r="H250" s="0" t="s">
        <v>3944</v>
      </c>
      <c r="P250" s="0" t="n">
        <f aca="false">LEN(C250)+LEN(D250)+LEN(E250)+LEN(F250)+LEN(G250)+LEN(H250)</f>
        <v>15</v>
      </c>
    </row>
    <row r="251" customFormat="false" ht="15" hidden="false" customHeight="false" outlineLevel="0" collapsed="false">
      <c r="A251" s="0" t="s">
        <v>5703</v>
      </c>
      <c r="B251" s="0" t="n">
        <v>1902</v>
      </c>
      <c r="C251" s="0" t="s">
        <v>5704</v>
      </c>
      <c r="F251" s="0" t="s">
        <v>931</v>
      </c>
      <c r="G251" s="0" t="s">
        <v>5705</v>
      </c>
      <c r="H251" s="0" t="s">
        <v>5706</v>
      </c>
      <c r="P251" s="0" t="n">
        <f aca="false">LEN(C251)+LEN(D251)+LEN(E251)+LEN(F251)+LEN(G251)+LEN(H251)</f>
        <v>81</v>
      </c>
    </row>
    <row r="252" customFormat="false" ht="15" hidden="false" customHeight="false" outlineLevel="0" collapsed="false">
      <c r="A252" s="0" t="s">
        <v>5707</v>
      </c>
      <c r="B252" s="0" t="n">
        <v>1902</v>
      </c>
      <c r="C252" s="0" t="s">
        <v>5708</v>
      </c>
      <c r="H252" s="0" t="s">
        <v>5546</v>
      </c>
      <c r="P252" s="0" t="n">
        <f aca="false">LEN(C252)+LEN(D252)+LEN(E252)+LEN(F252)+LEN(G252)+LEN(H252)</f>
        <v>20</v>
      </c>
    </row>
    <row r="253" customFormat="false" ht="15" hidden="false" customHeight="false" outlineLevel="0" collapsed="false">
      <c r="A253" s="0" t="s">
        <v>5709</v>
      </c>
      <c r="B253" s="0" t="n">
        <v>1902</v>
      </c>
      <c r="C253" s="0" t="s">
        <v>5710</v>
      </c>
      <c r="H253" s="0" t="s">
        <v>5711</v>
      </c>
      <c r="P253" s="0" t="n">
        <f aca="false">LEN(C253)+LEN(D253)+LEN(E253)+LEN(F253)+LEN(G253)+LEN(H253)</f>
        <v>22</v>
      </c>
    </row>
    <row r="254" customFormat="false" ht="15" hidden="false" customHeight="false" outlineLevel="0" collapsed="false">
      <c r="A254" s="0" t="s">
        <v>5712</v>
      </c>
      <c r="B254" s="0" t="n">
        <v>1902</v>
      </c>
      <c r="C254" s="0" t="s">
        <v>5713</v>
      </c>
      <c r="H254" s="0" t="s">
        <v>5714</v>
      </c>
      <c r="P254" s="0" t="n">
        <f aca="false">LEN(C254)+LEN(D254)+LEN(E254)+LEN(F254)+LEN(G254)+LEN(H254)</f>
        <v>27</v>
      </c>
    </row>
    <row r="255" customFormat="false" ht="15" hidden="false" customHeight="false" outlineLevel="0" collapsed="false">
      <c r="A255" s="0" t="s">
        <v>5715</v>
      </c>
      <c r="B255" s="0" t="n">
        <v>1902</v>
      </c>
      <c r="C255" s="0" t="s">
        <v>5716</v>
      </c>
      <c r="F255" s="0" t="s">
        <v>882</v>
      </c>
      <c r="G255" s="0" t="s">
        <v>5717</v>
      </c>
      <c r="H255" s="0" t="s">
        <v>5718</v>
      </c>
      <c r="P255" s="0" t="n">
        <f aca="false">LEN(C255)+LEN(D255)+LEN(E255)+LEN(F255)+LEN(G255)+LEN(H255)</f>
        <v>47</v>
      </c>
    </row>
    <row r="256" customFormat="false" ht="15" hidden="false" customHeight="false" outlineLevel="0" collapsed="false">
      <c r="A256" s="0" t="s">
        <v>5719</v>
      </c>
      <c r="B256" s="0" t="n">
        <v>1902</v>
      </c>
      <c r="C256" s="0" t="s">
        <v>5720</v>
      </c>
      <c r="H256" s="0" t="s">
        <v>5721</v>
      </c>
      <c r="P256" s="0" t="n">
        <f aca="false">LEN(C256)+LEN(D256)+LEN(E256)+LEN(F256)+LEN(G256)+LEN(H256)</f>
        <v>23</v>
      </c>
    </row>
    <row r="257" customFormat="false" ht="15" hidden="false" customHeight="false" outlineLevel="0" collapsed="false">
      <c r="A257" s="0" t="s">
        <v>5722</v>
      </c>
      <c r="B257" s="0" t="n">
        <v>1902</v>
      </c>
      <c r="C257" s="0" t="s">
        <v>5310</v>
      </c>
      <c r="H257" s="0" t="s">
        <v>5546</v>
      </c>
      <c r="P257" s="0" t="n">
        <f aca="false">LEN(C257)+LEN(D257)+LEN(E257)+LEN(F257)+LEN(G257)+LEN(H257)</f>
        <v>20</v>
      </c>
    </row>
    <row r="258" customFormat="false" ht="15" hidden="false" customHeight="false" outlineLevel="0" collapsed="false">
      <c r="A258" s="0" t="s">
        <v>5723</v>
      </c>
      <c r="B258" s="0" t="n">
        <v>1902</v>
      </c>
      <c r="C258" s="0" t="s">
        <v>5724</v>
      </c>
      <c r="G258" s="0" t="s">
        <v>5725</v>
      </c>
      <c r="H258" s="0" t="s">
        <v>3944</v>
      </c>
      <c r="P258" s="0" t="n">
        <f aca="false">LEN(C258)+LEN(D258)+LEN(E258)+LEN(F258)+LEN(G258)+LEN(H258)</f>
        <v>33</v>
      </c>
    </row>
    <row r="259" customFormat="false" ht="15" hidden="false" customHeight="false" outlineLevel="0" collapsed="false">
      <c r="A259" s="0" t="s">
        <v>5726</v>
      </c>
      <c r="B259" s="0" t="n">
        <v>1902</v>
      </c>
      <c r="C259" s="0" t="s">
        <v>5727</v>
      </c>
      <c r="F259" s="0" t="s">
        <v>882</v>
      </c>
      <c r="H259" s="0" t="s">
        <v>5728</v>
      </c>
      <c r="P259" s="0" t="n">
        <f aca="false">LEN(C259)+LEN(D259)+LEN(E259)+LEN(F259)+LEN(G259)+LEN(H259)</f>
        <v>37</v>
      </c>
    </row>
    <row r="260" customFormat="false" ht="15" hidden="false" customHeight="false" outlineLevel="0" collapsed="false">
      <c r="A260" s="0" t="s">
        <v>5729</v>
      </c>
      <c r="B260" s="0" t="n">
        <v>1902</v>
      </c>
      <c r="C260" s="0" t="s">
        <v>5730</v>
      </c>
      <c r="F260" s="0" t="s">
        <v>4448</v>
      </c>
      <c r="G260" s="0" t="s">
        <v>5731</v>
      </c>
      <c r="H260" s="0" t="s">
        <v>5732</v>
      </c>
      <c r="P260" s="0" t="n">
        <f aca="false">LEN(C260)+LEN(D260)+LEN(E260)+LEN(F260)+LEN(G260)+LEN(H260)</f>
        <v>52</v>
      </c>
    </row>
    <row r="261" customFormat="false" ht="15" hidden="false" customHeight="false" outlineLevel="0" collapsed="false">
      <c r="A261" s="0" t="s">
        <v>5733</v>
      </c>
      <c r="B261" s="0" t="n">
        <v>1902</v>
      </c>
      <c r="C261" s="0" t="s">
        <v>5734</v>
      </c>
      <c r="F261" s="0" t="s">
        <v>5502</v>
      </c>
      <c r="H261" s="0" t="s">
        <v>5735</v>
      </c>
      <c r="P261" s="0" t="n">
        <f aca="false">LEN(C261)+LEN(D261)+LEN(E261)+LEN(F261)+LEN(G261)+LEN(H261)</f>
        <v>38</v>
      </c>
    </row>
    <row r="262" customFormat="false" ht="15" hidden="false" customHeight="false" outlineLevel="0" collapsed="false">
      <c r="A262" s="0" t="s">
        <v>5736</v>
      </c>
      <c r="B262" s="0" t="n">
        <v>1902</v>
      </c>
      <c r="C262" s="0" t="s">
        <v>5737</v>
      </c>
      <c r="F262" s="0" t="s">
        <v>2948</v>
      </c>
      <c r="G262" s="0" t="s">
        <v>5738</v>
      </c>
      <c r="H262" s="0" t="s">
        <v>5546</v>
      </c>
      <c r="P262" s="0" t="n">
        <f aca="false">LEN(C262)+LEN(D262)+LEN(E262)+LEN(F262)+LEN(G262)+LEN(H262)</f>
        <v>63</v>
      </c>
    </row>
    <row r="263" customFormat="false" ht="15" hidden="false" customHeight="false" outlineLevel="0" collapsed="false">
      <c r="A263" s="0" t="s">
        <v>5739</v>
      </c>
      <c r="B263" s="0" t="n">
        <v>1902</v>
      </c>
      <c r="C263" s="0" t="s">
        <v>5740</v>
      </c>
      <c r="F263" s="0" t="s">
        <v>5502</v>
      </c>
      <c r="G263" s="0" t="s">
        <v>5741</v>
      </c>
      <c r="H263" s="0" t="s">
        <v>5602</v>
      </c>
      <c r="P263" s="0" t="n">
        <f aca="false">LEN(C263)+LEN(D263)+LEN(E263)+LEN(F263)+LEN(G263)+LEN(H263)</f>
        <v>58</v>
      </c>
    </row>
    <row r="264" customFormat="false" ht="15" hidden="false" customHeight="false" outlineLevel="0" collapsed="false">
      <c r="A264" s="0" t="s">
        <v>5742</v>
      </c>
      <c r="B264" s="0" t="n">
        <v>1902</v>
      </c>
      <c r="C264" s="0" t="s">
        <v>5743</v>
      </c>
      <c r="G264" s="0" t="s">
        <v>5744</v>
      </c>
      <c r="H264" s="0" t="s">
        <v>5745</v>
      </c>
      <c r="P264" s="0" t="n">
        <f aca="false">LEN(C264)+LEN(D264)+LEN(E264)+LEN(F264)+LEN(G264)+LEN(H264)</f>
        <v>51</v>
      </c>
    </row>
    <row r="265" customFormat="false" ht="15" hidden="false" customHeight="false" outlineLevel="0" collapsed="false">
      <c r="A265" s="0" t="s">
        <v>5746</v>
      </c>
      <c r="B265" s="0" t="n">
        <v>1902</v>
      </c>
      <c r="C265" s="0" t="s">
        <v>5747</v>
      </c>
      <c r="H265" s="0" t="s">
        <v>5533</v>
      </c>
      <c r="P265" s="0" t="n">
        <f aca="false">LEN(C265)+LEN(D265)+LEN(E265)+LEN(F265)+LEN(G265)+LEN(H265)</f>
        <v>26</v>
      </c>
    </row>
    <row r="266" customFormat="false" ht="15" hidden="false" customHeight="false" outlineLevel="0" collapsed="false">
      <c r="A266" s="0" t="s">
        <v>5748</v>
      </c>
      <c r="B266" s="0" t="n">
        <v>1902</v>
      </c>
      <c r="C266" s="0" t="s">
        <v>5749</v>
      </c>
      <c r="F266" s="0" t="s">
        <v>5750</v>
      </c>
      <c r="G266" s="0" t="s">
        <v>5751</v>
      </c>
      <c r="H266" s="0" t="s">
        <v>5070</v>
      </c>
      <c r="P266" s="0" t="n">
        <f aca="false">LEN(C266)+LEN(D266)+LEN(E266)+LEN(F266)+LEN(G266)+LEN(H266)</f>
        <v>52</v>
      </c>
    </row>
    <row r="267" customFormat="false" ht="15" hidden="false" customHeight="false" outlineLevel="0" collapsed="false">
      <c r="A267" s="0" t="s">
        <v>5752</v>
      </c>
      <c r="B267" s="0" t="n">
        <v>1902</v>
      </c>
      <c r="C267" s="0" t="s">
        <v>5753</v>
      </c>
      <c r="H267" s="0" t="s">
        <v>5754</v>
      </c>
      <c r="P267" s="0" t="n">
        <f aca="false">LEN(C267)+LEN(D267)+LEN(E267)+LEN(F267)+LEN(G267)+LEN(H267)</f>
        <v>18</v>
      </c>
    </row>
    <row r="268" customFormat="false" ht="15" hidden="false" customHeight="false" outlineLevel="0" collapsed="false">
      <c r="A268" s="0" t="s">
        <v>5755</v>
      </c>
      <c r="B268" s="0" t="n">
        <v>1902</v>
      </c>
      <c r="C268" s="0" t="s">
        <v>5756</v>
      </c>
      <c r="H268" s="0" t="s">
        <v>5757</v>
      </c>
      <c r="P268" s="0" t="n">
        <f aca="false">LEN(C268)+LEN(D268)+LEN(E268)+LEN(F268)+LEN(G268)+LEN(H268)</f>
        <v>19</v>
      </c>
    </row>
    <row r="269" customFormat="false" ht="15" hidden="false" customHeight="false" outlineLevel="0" collapsed="false">
      <c r="A269" s="0" t="s">
        <v>5758</v>
      </c>
      <c r="B269" s="0" t="n">
        <v>1902</v>
      </c>
      <c r="C269" s="0" t="s">
        <v>5759</v>
      </c>
      <c r="H269" s="0" t="s">
        <v>5760</v>
      </c>
      <c r="P269" s="0" t="n">
        <f aca="false">LEN(C269)+LEN(D269)+LEN(E269)+LEN(F269)+LEN(G269)+LEN(H269)</f>
        <v>30</v>
      </c>
    </row>
    <row r="270" customFormat="false" ht="15" hidden="false" customHeight="false" outlineLevel="0" collapsed="false">
      <c r="A270" s="0" t="s">
        <v>5761</v>
      </c>
      <c r="B270" s="0" t="n">
        <v>1902</v>
      </c>
      <c r="C270" s="0" t="s">
        <v>5762</v>
      </c>
      <c r="F270" s="0" t="s">
        <v>5516</v>
      </c>
      <c r="G270" s="0" t="s">
        <v>5763</v>
      </c>
      <c r="H270" s="0" t="s">
        <v>5764</v>
      </c>
      <c r="P270" s="0" t="n">
        <f aca="false">LEN(C270)+LEN(D270)+LEN(E270)+LEN(F270)+LEN(G270)+LEN(H270)</f>
        <v>54</v>
      </c>
    </row>
    <row r="271" customFormat="false" ht="15" hidden="false" customHeight="false" outlineLevel="0" collapsed="false">
      <c r="A271" s="0" t="s">
        <v>5765</v>
      </c>
      <c r="B271" s="0" t="n">
        <v>1902</v>
      </c>
      <c r="C271" s="0" t="s">
        <v>5766</v>
      </c>
      <c r="G271" s="0" t="s">
        <v>5767</v>
      </c>
      <c r="H271" s="0" t="s">
        <v>5768</v>
      </c>
      <c r="P271" s="0" t="n">
        <f aca="false">LEN(C271)+LEN(D271)+LEN(E271)+LEN(F271)+LEN(G271)+LEN(H271)</f>
        <v>47</v>
      </c>
    </row>
    <row r="272" customFormat="false" ht="15" hidden="false" customHeight="false" outlineLevel="0" collapsed="false">
      <c r="A272" s="0" t="s">
        <v>5769</v>
      </c>
      <c r="B272" s="0" t="n">
        <v>1902</v>
      </c>
      <c r="C272" s="0" t="s">
        <v>5770</v>
      </c>
      <c r="F272" s="0" t="s">
        <v>882</v>
      </c>
      <c r="G272" s="0" t="s">
        <v>5578</v>
      </c>
      <c r="H272" s="0" t="s">
        <v>5771</v>
      </c>
      <c r="P272" s="0" t="n">
        <f aca="false">LEN(C272)+LEN(D272)+LEN(E272)+LEN(F272)+LEN(G272)+LEN(H272)</f>
        <v>34</v>
      </c>
    </row>
    <row r="273" customFormat="false" ht="15" hidden="false" customHeight="false" outlineLevel="0" collapsed="false">
      <c r="A273" s="0" t="s">
        <v>5772</v>
      </c>
      <c r="B273" s="0" t="n">
        <v>1902</v>
      </c>
      <c r="C273" s="0" t="s">
        <v>5773</v>
      </c>
      <c r="F273" s="0" t="s">
        <v>931</v>
      </c>
      <c r="G273" s="0" t="s">
        <v>5774</v>
      </c>
      <c r="H273" s="0" t="s">
        <v>3692</v>
      </c>
      <c r="P273" s="0" t="n">
        <f aca="false">LEN(C273)+LEN(D273)+LEN(E273)+LEN(F273)+LEN(G273)+LEN(H273)</f>
        <v>49</v>
      </c>
    </row>
    <row r="274" customFormat="false" ht="15" hidden="false" customHeight="false" outlineLevel="0" collapsed="false">
      <c r="A274" s="0" t="s">
        <v>5775</v>
      </c>
      <c r="B274" s="0" t="n">
        <v>1902</v>
      </c>
      <c r="C274" s="0" t="s">
        <v>5776</v>
      </c>
      <c r="F274" s="0" t="s">
        <v>5502</v>
      </c>
      <c r="G274" s="0" t="s">
        <v>5777</v>
      </c>
      <c r="H274" s="0" t="s">
        <v>5778</v>
      </c>
      <c r="P274" s="0" t="n">
        <f aca="false">LEN(C274)+LEN(D274)+LEN(E274)+LEN(F274)+LEN(G274)+LEN(H274)</f>
        <v>71</v>
      </c>
    </row>
    <row r="275" customFormat="false" ht="15" hidden="false" customHeight="false" outlineLevel="0" collapsed="false">
      <c r="A275" s="0" t="s">
        <v>5779</v>
      </c>
      <c r="B275" s="0" t="n">
        <v>1902</v>
      </c>
      <c r="C275" s="0" t="s">
        <v>5780</v>
      </c>
      <c r="G275" s="0" t="s">
        <v>5781</v>
      </c>
      <c r="H275" s="0" t="s">
        <v>5782</v>
      </c>
      <c r="P275" s="0" t="n">
        <f aca="false">LEN(C275)+LEN(D275)+LEN(E275)+LEN(F275)+LEN(G275)+LEN(H275)</f>
        <v>41</v>
      </c>
    </row>
    <row r="276" customFormat="false" ht="15" hidden="false" customHeight="false" outlineLevel="0" collapsed="false">
      <c r="A276" s="0" t="s">
        <v>5783</v>
      </c>
      <c r="B276" s="0" t="n">
        <v>1902</v>
      </c>
      <c r="C276" s="0" t="s">
        <v>5784</v>
      </c>
      <c r="F276" s="0" t="s">
        <v>931</v>
      </c>
      <c r="G276" s="0" t="s">
        <v>5785</v>
      </c>
      <c r="H276" s="0" t="s">
        <v>5533</v>
      </c>
      <c r="P276" s="0" t="n">
        <f aca="false">LEN(C276)+LEN(D276)+LEN(E276)+LEN(F276)+LEN(G276)+LEN(H276)</f>
        <v>60</v>
      </c>
    </row>
    <row r="277" customFormat="false" ht="15" hidden="false" customHeight="false" outlineLevel="0" collapsed="false">
      <c r="A277" s="0" t="s">
        <v>5786</v>
      </c>
      <c r="B277" s="0" t="n">
        <v>1902</v>
      </c>
      <c r="C277" s="0" t="s">
        <v>5787</v>
      </c>
      <c r="F277" s="0" t="s">
        <v>5480</v>
      </c>
      <c r="G277" s="0" t="s">
        <v>5741</v>
      </c>
      <c r="H277" s="0" t="s">
        <v>5788</v>
      </c>
      <c r="P277" s="0" t="n">
        <f aca="false">LEN(C277)+LEN(D277)+LEN(E277)+LEN(F277)+LEN(G277)+LEN(H277)</f>
        <v>58</v>
      </c>
    </row>
    <row r="278" customFormat="false" ht="15" hidden="false" customHeight="false" outlineLevel="0" collapsed="false">
      <c r="A278" s="0" t="s">
        <v>5789</v>
      </c>
      <c r="B278" s="0" t="n">
        <v>1902</v>
      </c>
      <c r="C278" s="0" t="s">
        <v>5790</v>
      </c>
      <c r="F278" s="0" t="s">
        <v>931</v>
      </c>
      <c r="G278" s="0" t="s">
        <v>5791</v>
      </c>
      <c r="H278" s="0" t="s">
        <v>5792</v>
      </c>
      <c r="P278" s="0" t="n">
        <f aca="false">LEN(C278)+LEN(D278)+LEN(E278)+LEN(F278)+LEN(G278)+LEN(H278)</f>
        <v>50</v>
      </c>
    </row>
    <row r="279" customFormat="false" ht="15" hidden="false" customHeight="false" outlineLevel="0" collapsed="false">
      <c r="A279" s="0" t="s">
        <v>5793</v>
      </c>
      <c r="B279" s="0" t="n">
        <v>1902</v>
      </c>
      <c r="C279" s="0" t="s">
        <v>5794</v>
      </c>
      <c r="F279" s="0" t="s">
        <v>4472</v>
      </c>
      <c r="G279" s="0" t="s">
        <v>5795</v>
      </c>
      <c r="H279" s="0" t="s">
        <v>5796</v>
      </c>
      <c r="P279" s="0" t="n">
        <f aca="false">LEN(C279)+LEN(D279)+LEN(E279)+LEN(F279)+LEN(G279)+LEN(H279)</f>
        <v>52</v>
      </c>
    </row>
    <row r="280" customFormat="false" ht="15" hidden="false" customHeight="false" outlineLevel="0" collapsed="false">
      <c r="A280" s="0" t="s">
        <v>5797</v>
      </c>
      <c r="B280" s="0" t="n">
        <v>1902</v>
      </c>
      <c r="C280" s="0" t="s">
        <v>5798</v>
      </c>
      <c r="F280" s="0" t="s">
        <v>4554</v>
      </c>
      <c r="H280" s="0" t="s">
        <v>3944</v>
      </c>
      <c r="P280" s="0" t="n">
        <f aca="false">LEN(C280)+LEN(D280)+LEN(E280)+LEN(F280)+LEN(G280)+LEN(H280)</f>
        <v>24</v>
      </c>
    </row>
    <row r="281" customFormat="false" ht="15" hidden="false" customHeight="false" outlineLevel="0" collapsed="false">
      <c r="A281" s="0" t="s">
        <v>5799</v>
      </c>
      <c r="B281" s="0" t="n">
        <v>1902</v>
      </c>
      <c r="C281" s="0" t="s">
        <v>5800</v>
      </c>
      <c r="H281" s="0" t="s">
        <v>5344</v>
      </c>
      <c r="P281" s="0" t="n">
        <f aca="false">LEN(C281)+LEN(D281)+LEN(E281)+LEN(F281)+LEN(G281)+LEN(H281)</f>
        <v>21</v>
      </c>
    </row>
    <row r="282" customFormat="false" ht="15" hidden="false" customHeight="false" outlineLevel="0" collapsed="false">
      <c r="A282" s="0" t="s">
        <v>5801</v>
      </c>
      <c r="B282" s="0" t="n">
        <v>1902</v>
      </c>
      <c r="C282" s="0" t="s">
        <v>5802</v>
      </c>
      <c r="F282" s="0" t="s">
        <v>5502</v>
      </c>
      <c r="H282" s="0" t="s">
        <v>4176</v>
      </c>
      <c r="P282" s="0" t="n">
        <f aca="false">LEN(C282)+LEN(D282)+LEN(E282)+LEN(F282)+LEN(G282)+LEN(H282)</f>
        <v>40</v>
      </c>
    </row>
    <row r="283" customFormat="false" ht="15" hidden="false" customHeight="false" outlineLevel="0" collapsed="false">
      <c r="A283" s="0" t="s">
        <v>5803</v>
      </c>
      <c r="B283" s="0" t="n">
        <v>1902</v>
      </c>
      <c r="C283" s="0" t="s">
        <v>5804</v>
      </c>
      <c r="F283" s="0" t="s">
        <v>931</v>
      </c>
      <c r="G283" s="0" t="s">
        <v>5805</v>
      </c>
      <c r="H283" s="0" t="s">
        <v>5344</v>
      </c>
      <c r="P283" s="0" t="n">
        <f aca="false">LEN(C283)+LEN(D283)+LEN(E283)+LEN(F283)+LEN(G283)+LEN(H283)</f>
        <v>51</v>
      </c>
    </row>
    <row r="284" customFormat="false" ht="15" hidden="false" customHeight="false" outlineLevel="0" collapsed="false">
      <c r="A284" s="0" t="s">
        <v>5806</v>
      </c>
      <c r="B284" s="0" t="n">
        <v>1902</v>
      </c>
      <c r="C284" s="0" t="s">
        <v>5545</v>
      </c>
      <c r="F284" s="0" t="s">
        <v>5502</v>
      </c>
      <c r="H284" s="0" t="s">
        <v>4176</v>
      </c>
      <c r="P284" s="0" t="n">
        <f aca="false">LEN(C284)+LEN(D284)+LEN(E284)+LEN(F284)+LEN(G284)+LEN(H284)</f>
        <v>41</v>
      </c>
    </row>
    <row r="285" customFormat="false" ht="15" hidden="false" customHeight="false" outlineLevel="0" collapsed="false">
      <c r="A285" s="0" t="s">
        <v>5806</v>
      </c>
      <c r="B285" s="0" t="n">
        <v>1902</v>
      </c>
      <c r="C285" s="0" t="s">
        <v>5545</v>
      </c>
      <c r="F285" s="0" t="s">
        <v>5502</v>
      </c>
      <c r="H285" s="0" t="s">
        <v>4176</v>
      </c>
      <c r="P285" s="0" t="n">
        <f aca="false">LEN(C285)+LEN(D285)+LEN(E285)+LEN(F285)+LEN(G285)+LEN(H285)</f>
        <v>41</v>
      </c>
    </row>
    <row r="286" customFormat="false" ht="15" hidden="false" customHeight="false" outlineLevel="0" collapsed="false">
      <c r="A286" s="0" t="s">
        <v>5807</v>
      </c>
      <c r="B286" s="0" t="n">
        <v>1902</v>
      </c>
      <c r="C286" s="0" t="s">
        <v>5808</v>
      </c>
      <c r="F286" s="0" t="s">
        <v>4622</v>
      </c>
      <c r="H286" s="0" t="s">
        <v>5809</v>
      </c>
      <c r="P286" s="0" t="n">
        <f aca="false">LEN(C286)+LEN(D286)+LEN(E286)+LEN(F286)+LEN(G286)+LEN(H286)</f>
        <v>30</v>
      </c>
    </row>
    <row r="287" customFormat="false" ht="15" hidden="false" customHeight="false" outlineLevel="0" collapsed="false">
      <c r="A287" s="0" t="s">
        <v>5810</v>
      </c>
      <c r="B287" s="0" t="n">
        <v>1902</v>
      </c>
      <c r="C287" s="0" t="s">
        <v>5811</v>
      </c>
      <c r="F287" s="0" t="s">
        <v>5480</v>
      </c>
      <c r="G287" s="0" t="s">
        <v>5812</v>
      </c>
      <c r="H287" s="0" t="s">
        <v>3944</v>
      </c>
      <c r="P287" s="0" t="n">
        <f aca="false">LEN(C287)+LEN(D287)+LEN(E287)+LEN(F287)+LEN(G287)+LEN(H287)</f>
        <v>44</v>
      </c>
    </row>
    <row r="288" customFormat="false" ht="15" hidden="false" customHeight="false" outlineLevel="0" collapsed="false">
      <c r="A288" s="0" t="s">
        <v>5813</v>
      </c>
      <c r="B288" s="0" t="n">
        <v>1902</v>
      </c>
      <c r="C288" s="0" t="s">
        <v>5814</v>
      </c>
      <c r="F288" s="0" t="s">
        <v>5564</v>
      </c>
      <c r="G288" s="0" t="s">
        <v>5815</v>
      </c>
      <c r="H288" s="0" t="s">
        <v>5816</v>
      </c>
      <c r="P288" s="0" t="n">
        <f aca="false">LEN(C288)+LEN(D288)+LEN(E288)+LEN(F288)+LEN(G288)+LEN(H288)</f>
        <v>54</v>
      </c>
    </row>
    <row r="289" customFormat="false" ht="15" hidden="false" customHeight="false" outlineLevel="0" collapsed="false">
      <c r="A289" s="0" t="s">
        <v>5817</v>
      </c>
      <c r="B289" s="0" t="n">
        <v>1902</v>
      </c>
      <c r="C289" s="0" t="s">
        <v>5818</v>
      </c>
      <c r="F289" s="0" t="s">
        <v>5502</v>
      </c>
      <c r="H289" s="0" t="s">
        <v>5602</v>
      </c>
      <c r="P289" s="0" t="n">
        <f aca="false">LEN(C289)+LEN(D289)+LEN(E289)+LEN(F289)+LEN(G289)+LEN(H289)</f>
        <v>36</v>
      </c>
    </row>
    <row r="290" customFormat="false" ht="15" hidden="false" customHeight="false" outlineLevel="0" collapsed="false">
      <c r="A290" s="0" t="s">
        <v>5819</v>
      </c>
      <c r="B290" s="0" t="n">
        <v>1902</v>
      </c>
      <c r="C290" s="0" t="s">
        <v>5820</v>
      </c>
      <c r="F290" s="0" t="s">
        <v>4237</v>
      </c>
      <c r="H290" s="0" t="s">
        <v>5821</v>
      </c>
      <c r="P290" s="0" t="n">
        <f aca="false">LEN(C290)+LEN(D290)+LEN(E290)+LEN(F290)+LEN(G290)+LEN(H290)</f>
        <v>29</v>
      </c>
    </row>
    <row r="291" customFormat="false" ht="15" hidden="false" customHeight="false" outlineLevel="0" collapsed="false">
      <c r="A291" s="0" t="s">
        <v>5822</v>
      </c>
      <c r="B291" s="0" t="n">
        <v>1902</v>
      </c>
      <c r="C291" s="0" t="s">
        <v>5823</v>
      </c>
      <c r="H291" s="0" t="s">
        <v>5824</v>
      </c>
      <c r="P291" s="0" t="n">
        <f aca="false">LEN(C291)+LEN(D291)+LEN(E291)+LEN(F291)+LEN(G291)+LEN(H291)</f>
        <v>23</v>
      </c>
    </row>
    <row r="292" customFormat="false" ht="15" hidden="false" customHeight="false" outlineLevel="0" collapsed="false">
      <c r="A292" s="0" t="s">
        <v>5825</v>
      </c>
      <c r="B292" s="0" t="n">
        <v>1902</v>
      </c>
      <c r="C292" s="0" t="s">
        <v>5826</v>
      </c>
      <c r="F292" s="0" t="s">
        <v>1357</v>
      </c>
      <c r="G292" s="0" t="s">
        <v>5827</v>
      </c>
      <c r="H292" s="0" t="s">
        <v>5070</v>
      </c>
      <c r="P292" s="0" t="n">
        <f aca="false">LEN(C292)+LEN(D292)+LEN(E292)+LEN(F292)+LEN(G292)+LEN(H292)</f>
        <v>53</v>
      </c>
    </row>
    <row r="293" customFormat="false" ht="15" hidden="false" customHeight="false" outlineLevel="0" collapsed="false">
      <c r="A293" s="0" t="s">
        <v>5828</v>
      </c>
      <c r="B293" s="0" t="n">
        <v>1902</v>
      </c>
      <c r="C293" s="0" t="s">
        <v>5829</v>
      </c>
      <c r="F293" s="0" t="s">
        <v>4622</v>
      </c>
      <c r="G293" s="0" t="s">
        <v>5830</v>
      </c>
      <c r="H293" s="0" t="s">
        <v>5036</v>
      </c>
      <c r="P293" s="0" t="n">
        <f aca="false">LEN(C293)+LEN(D293)+LEN(E293)+LEN(F293)+LEN(G293)+LEN(H293)</f>
        <v>50</v>
      </c>
    </row>
    <row r="294" customFormat="false" ht="15" hidden="false" customHeight="false" outlineLevel="0" collapsed="false">
      <c r="A294" s="0" t="s">
        <v>5831</v>
      </c>
      <c r="B294" s="0" t="n">
        <v>1902</v>
      </c>
      <c r="C294" s="0" t="s">
        <v>5557</v>
      </c>
      <c r="H294" s="0" t="s">
        <v>5045</v>
      </c>
      <c r="P294" s="0" t="n">
        <f aca="false">LEN(C294)+LEN(D294)+LEN(E294)+LEN(F294)+LEN(G294)+LEN(H294)</f>
        <v>16</v>
      </c>
    </row>
    <row r="295" s="5" customFormat="true" ht="15" hidden="false" customHeight="false" outlineLevel="0" collapsed="false">
      <c r="A295" s="5" t="s">
        <v>5832</v>
      </c>
      <c r="B295" s="5" t="n">
        <v>1902</v>
      </c>
      <c r="C295" s="5" t="s">
        <v>5833</v>
      </c>
      <c r="G295" s="5" t="s">
        <v>5834</v>
      </c>
      <c r="H295" s="5" t="s">
        <v>5835</v>
      </c>
      <c r="P295" s="5" t="n">
        <f aca="false">LEN(C295)+LEN(D295)+LEN(E295)+LEN(F295)+LEN(G295)+LEN(H295)</f>
        <v>37</v>
      </c>
    </row>
    <row r="296" s="3" customFormat="true" ht="15" hidden="false" customHeight="false" outlineLevel="0" collapsed="false">
      <c r="A296" s="3" t="s">
        <v>5836</v>
      </c>
      <c r="B296" s="3" t="n">
        <v>1902</v>
      </c>
      <c r="C296" s="3" t="s">
        <v>5837</v>
      </c>
      <c r="F296" s="3" t="s">
        <v>931</v>
      </c>
      <c r="G296" s="3" t="s">
        <v>5725</v>
      </c>
      <c r="H296" s="3" t="s">
        <v>5754</v>
      </c>
      <c r="P296" s="3" t="n">
        <f aca="false">LEN(C296)+LEN(D296)+LEN(E296)+LEN(F296)+LEN(G296)+LEN(H296)</f>
        <v>51</v>
      </c>
    </row>
    <row r="297" customFormat="false" ht="15" hidden="false" customHeight="false" outlineLevel="0" collapsed="false">
      <c r="A297" s="0" t="s">
        <v>5838</v>
      </c>
      <c r="B297" s="0" t="n">
        <v>1902</v>
      </c>
      <c r="C297" s="0" t="s">
        <v>5839</v>
      </c>
      <c r="H297" s="0" t="s">
        <v>5333</v>
      </c>
      <c r="P297" s="0" t="n">
        <f aca="false">LEN(C297)+LEN(D297)+LEN(E297)+LEN(F297)+LEN(G297)+LEN(H297)</f>
        <v>26</v>
      </c>
    </row>
    <row r="298" s="3" customFormat="true" ht="15" hidden="false" customHeight="false" outlineLevel="0" collapsed="false">
      <c r="A298" s="3" t="s">
        <v>5840</v>
      </c>
      <c r="B298" s="3" t="n">
        <v>1902</v>
      </c>
      <c r="C298" s="3" t="s">
        <v>5841</v>
      </c>
      <c r="H298" s="3" t="s">
        <v>3692</v>
      </c>
      <c r="P298" s="3" t="n">
        <f aca="false">LEN(C298)+LEN(D298)+LEN(E298)+LEN(F298)+LEN(G298)+LEN(H298)</f>
        <v>22</v>
      </c>
    </row>
    <row r="299" customFormat="false" ht="15" hidden="false" customHeight="false" outlineLevel="0" collapsed="false">
      <c r="A299" s="0" t="s">
        <v>5842</v>
      </c>
      <c r="B299" s="0" t="n">
        <v>1902</v>
      </c>
      <c r="C299" s="0" t="s">
        <v>5843</v>
      </c>
      <c r="F299" s="0" t="s">
        <v>5750</v>
      </c>
      <c r="G299" s="0" t="s">
        <v>5844</v>
      </c>
      <c r="H299" s="0" t="s">
        <v>5070</v>
      </c>
      <c r="L299" s="0" t="s">
        <v>29</v>
      </c>
      <c r="M299" s="0" t="s">
        <v>29</v>
      </c>
      <c r="P299" s="0" t="n">
        <f aca="false">LEN(C299)+LEN(D299)+LEN(E299)+LEN(F299)+LEN(G299)+LEN(H299)</f>
        <v>69</v>
      </c>
    </row>
    <row r="300" s="3" customFormat="true" ht="15" hidden="false" customHeight="false" outlineLevel="0" collapsed="false">
      <c r="A300" s="3" t="s">
        <v>5845</v>
      </c>
      <c r="B300" s="3" t="n">
        <v>1902</v>
      </c>
      <c r="C300" s="3" t="s">
        <v>5846</v>
      </c>
      <c r="H300" s="3" t="s">
        <v>5691</v>
      </c>
      <c r="P300" s="3" t="n">
        <f aca="false">LEN(C300)+LEN(D300)+LEN(E300)+LEN(F300)+LEN(G300)+LEN(H300)</f>
        <v>21</v>
      </c>
    </row>
    <row r="301" customFormat="false" ht="15" hidden="false" customHeight="false" outlineLevel="0" collapsed="false">
      <c r="A301" s="0" t="s">
        <v>5847</v>
      </c>
      <c r="B301" s="0" t="n">
        <v>1902</v>
      </c>
      <c r="C301" s="0" t="s">
        <v>5848</v>
      </c>
      <c r="F301" s="0" t="s">
        <v>5480</v>
      </c>
      <c r="G301" s="0" t="s">
        <v>5849</v>
      </c>
      <c r="H301" s="0" t="s">
        <v>5850</v>
      </c>
      <c r="P301" s="0" t="n">
        <f aca="false">LEN(C301)+LEN(D301)+LEN(E301)+LEN(F301)+LEN(G301)+LEN(H301)</f>
        <v>66</v>
      </c>
    </row>
    <row r="302" customFormat="false" ht="15" hidden="false" customHeight="false" outlineLevel="0" collapsed="false">
      <c r="A302" s="0" t="s">
        <v>5851</v>
      </c>
      <c r="B302" s="0" t="n">
        <v>1902</v>
      </c>
      <c r="C302" s="0" t="s">
        <v>5852</v>
      </c>
      <c r="G302" s="0" t="s">
        <v>5853</v>
      </c>
      <c r="H302" s="0" t="s">
        <v>3944</v>
      </c>
      <c r="M302" s="0" t="s">
        <v>29</v>
      </c>
      <c r="P302" s="0" t="n">
        <f aca="false">LEN(C302)+LEN(D302)+LEN(E302)+LEN(F302)+LEN(G302)+LEN(H302)</f>
        <v>27</v>
      </c>
    </row>
    <row r="303" s="3" customFormat="true" ht="15" hidden="false" customHeight="false" outlineLevel="0" collapsed="false">
      <c r="A303" s="3" t="s">
        <v>5854</v>
      </c>
      <c r="B303" s="3" t="n">
        <v>1902</v>
      </c>
      <c r="C303" s="3" t="s">
        <v>5855</v>
      </c>
      <c r="F303" s="3" t="s">
        <v>4622</v>
      </c>
      <c r="G303" s="3" t="s">
        <v>5856</v>
      </c>
      <c r="H303" s="3" t="s">
        <v>5857</v>
      </c>
      <c r="P303" s="3" t="n">
        <f aca="false">LEN(C303)+LEN(D303)+LEN(E303)+LEN(F303)+LEN(G303)+LEN(H303)</f>
        <v>49</v>
      </c>
    </row>
    <row r="304" customFormat="false" ht="15" hidden="false" customHeight="false" outlineLevel="0" collapsed="false">
      <c r="A304" s="0" t="s">
        <v>5858</v>
      </c>
      <c r="B304" s="0" t="n">
        <v>1902</v>
      </c>
      <c r="C304" s="0" t="s">
        <v>5859</v>
      </c>
      <c r="F304" s="0" t="s">
        <v>5502</v>
      </c>
      <c r="G304" s="0" t="s">
        <v>5860</v>
      </c>
      <c r="H304" s="0" t="s">
        <v>5546</v>
      </c>
      <c r="L304" s="0" t="s">
        <v>29</v>
      </c>
      <c r="M304" s="0" t="s">
        <v>29</v>
      </c>
      <c r="P304" s="0" t="n">
        <f aca="false">LEN(C304)+LEN(D304)+LEN(E304)+LEN(F304)+LEN(G304)+LEN(H304)</f>
        <v>53</v>
      </c>
    </row>
    <row r="305" s="3" customFormat="true" ht="15" hidden="false" customHeight="false" outlineLevel="0" collapsed="false">
      <c r="A305" s="3" t="s">
        <v>5861</v>
      </c>
      <c r="B305" s="3" t="n">
        <v>1902</v>
      </c>
      <c r="C305" s="3" t="s">
        <v>5862</v>
      </c>
      <c r="G305" s="3" t="s">
        <v>5863</v>
      </c>
      <c r="H305" s="3" t="s">
        <v>5487</v>
      </c>
      <c r="P305" s="3" t="n">
        <f aca="false">LEN(C305)+LEN(D305)+LEN(E305)+LEN(F305)+LEN(G305)+LEN(H305)</f>
        <v>29</v>
      </c>
    </row>
    <row r="306" s="3" customFormat="true" ht="15" hidden="false" customHeight="false" outlineLevel="0" collapsed="false">
      <c r="A306" s="3" t="s">
        <v>5864</v>
      </c>
      <c r="B306" s="3" t="n">
        <v>1902</v>
      </c>
      <c r="C306" s="3" t="s">
        <v>5865</v>
      </c>
      <c r="H306" s="3" t="s">
        <v>3944</v>
      </c>
      <c r="P306" s="3" t="n">
        <f aca="false">LEN(C306)+LEN(D306)+LEN(E306)+LEN(F306)+LEN(G306)+LEN(H306)</f>
        <v>18</v>
      </c>
    </row>
    <row r="307" s="3" customFormat="true" ht="15" hidden="false" customHeight="false" outlineLevel="0" collapsed="false">
      <c r="A307" s="3" t="s">
        <v>5866</v>
      </c>
      <c r="B307" s="3" t="n">
        <v>1902</v>
      </c>
      <c r="C307" s="3" t="s">
        <v>5867</v>
      </c>
      <c r="H307" s="3" t="s">
        <v>5868</v>
      </c>
      <c r="P307" s="3" t="n">
        <f aca="false">LEN(C307)+LEN(D307)+LEN(E307)+LEN(F307)+LEN(G307)+LEN(H307)</f>
        <v>36</v>
      </c>
    </row>
    <row r="308" s="3" customFormat="true" ht="15" hidden="false" customHeight="false" outlineLevel="0" collapsed="false">
      <c r="A308" s="3" t="s">
        <v>5869</v>
      </c>
      <c r="B308" s="3" t="n">
        <v>1902</v>
      </c>
      <c r="C308" s="3" t="s">
        <v>5870</v>
      </c>
      <c r="H308" s="3" t="s">
        <v>5871</v>
      </c>
      <c r="P308" s="3" t="n">
        <f aca="false">LEN(C308)+LEN(D308)+LEN(E308)+LEN(F308)+LEN(G308)+LEN(H308)</f>
        <v>23</v>
      </c>
    </row>
    <row r="309" s="3" customFormat="true" ht="15" hidden="false" customHeight="false" outlineLevel="0" collapsed="false">
      <c r="A309" s="3" t="s">
        <v>5872</v>
      </c>
      <c r="B309" s="3" t="n">
        <v>1902</v>
      </c>
      <c r="C309" s="3" t="s">
        <v>5873</v>
      </c>
      <c r="H309" s="3" t="s">
        <v>5619</v>
      </c>
      <c r="P309" s="3" t="n">
        <f aca="false">LEN(C309)+LEN(D309)+LEN(E309)+LEN(F309)+LEN(G309)+LEN(H309)</f>
        <v>37</v>
      </c>
    </row>
    <row r="310" s="3" customFormat="true" ht="15" hidden="false" customHeight="false" outlineLevel="0" collapsed="false">
      <c r="A310" s="3" t="s">
        <v>5874</v>
      </c>
      <c r="B310" s="3" t="n">
        <v>1902</v>
      </c>
      <c r="C310" s="3" t="s">
        <v>5875</v>
      </c>
      <c r="H310" s="3" t="s">
        <v>5876</v>
      </c>
      <c r="P310" s="3" t="n">
        <f aca="false">LEN(C310)+LEN(D310)+LEN(E310)+LEN(F310)+LEN(G310)+LEN(H310)</f>
        <v>21</v>
      </c>
    </row>
    <row r="311" customFormat="false" ht="15" hidden="false" customHeight="false" outlineLevel="0" collapsed="false">
      <c r="A311" s="0" t="s">
        <v>5877</v>
      </c>
      <c r="B311" s="0" t="n">
        <v>1902</v>
      </c>
      <c r="C311" s="0" t="s">
        <v>5878</v>
      </c>
      <c r="F311" s="0" t="s">
        <v>5502</v>
      </c>
      <c r="H311" s="0" t="s">
        <v>5879</v>
      </c>
      <c r="L311" s="0" t="s">
        <v>29</v>
      </c>
      <c r="N311" s="0" t="s">
        <v>29</v>
      </c>
      <c r="P311" s="0" t="n">
        <f aca="false">LEN(C311)+LEN(D311)+LEN(E311)+LEN(F311)+LEN(G311)+LEN(H311)</f>
        <v>41</v>
      </c>
    </row>
    <row r="312" customFormat="false" ht="15" hidden="false" customHeight="false" outlineLevel="0" collapsed="false">
      <c r="A312" s="0" t="s">
        <v>5880</v>
      </c>
      <c r="B312" s="0" t="n">
        <v>1902</v>
      </c>
      <c r="C312" s="0" t="s">
        <v>5881</v>
      </c>
      <c r="F312" s="0" t="s">
        <v>4448</v>
      </c>
      <c r="G312" s="0" t="s">
        <v>5882</v>
      </c>
      <c r="H312" s="0" t="s">
        <v>5546</v>
      </c>
      <c r="L312" s="0" t="s">
        <v>29</v>
      </c>
      <c r="M312" s="0" t="s">
        <v>29</v>
      </c>
      <c r="N312" s="0" t="s">
        <v>29</v>
      </c>
      <c r="P312" s="0" t="n">
        <f aca="false">LEN(C312)+LEN(D312)+LEN(E312)+LEN(F312)+LEN(G312)+LEN(H312)</f>
        <v>48</v>
      </c>
    </row>
    <row r="313" s="3" customFormat="true" ht="15" hidden="false" customHeight="false" outlineLevel="0" collapsed="false">
      <c r="A313" s="3" t="s">
        <v>5883</v>
      </c>
      <c r="B313" s="3" t="n">
        <v>1902</v>
      </c>
      <c r="C313" s="3" t="s">
        <v>5884</v>
      </c>
      <c r="F313" s="3" t="s">
        <v>5516</v>
      </c>
      <c r="G313" s="3" t="s">
        <v>5885</v>
      </c>
      <c r="H313" s="3" t="s">
        <v>5886</v>
      </c>
      <c r="P313" s="3" t="n">
        <f aca="false">LEN(C313)+LEN(D313)+LEN(E313)+LEN(F313)+LEN(G313)+LEN(H313)</f>
        <v>54</v>
      </c>
    </row>
    <row r="314" customFormat="false" ht="15" hidden="false" customHeight="false" outlineLevel="0" collapsed="false">
      <c r="A314" s="0" t="s">
        <v>5887</v>
      </c>
      <c r="B314" s="0" t="n">
        <v>1902</v>
      </c>
      <c r="C314" s="0" t="s">
        <v>5888</v>
      </c>
      <c r="F314" s="0" t="s">
        <v>5502</v>
      </c>
      <c r="H314" s="0" t="s">
        <v>5889</v>
      </c>
      <c r="L314" s="0" t="s">
        <v>29</v>
      </c>
      <c r="N314" s="0" t="s">
        <v>29</v>
      </c>
      <c r="P314" s="0" t="n">
        <f aca="false">LEN(C314)+LEN(D314)+LEN(E314)+LEN(F314)+LEN(G314)+LEN(H314)</f>
        <v>37</v>
      </c>
    </row>
    <row r="315" s="3" customFormat="true" ht="15" hidden="false" customHeight="false" outlineLevel="0" collapsed="false">
      <c r="A315" s="3" t="s">
        <v>5890</v>
      </c>
      <c r="B315" s="3" t="n">
        <v>1902</v>
      </c>
      <c r="C315" s="3" t="s">
        <v>5891</v>
      </c>
      <c r="F315" s="3" t="s">
        <v>5564</v>
      </c>
      <c r="H315" s="3" t="s">
        <v>5892</v>
      </c>
      <c r="P315" s="3" t="n">
        <f aca="false">LEN(C315)+LEN(D315)+LEN(E315)+LEN(F315)+LEN(G315)+LEN(H315)</f>
        <v>32</v>
      </c>
    </row>
    <row r="316" customFormat="false" ht="15" hidden="false" customHeight="false" outlineLevel="0" collapsed="false">
      <c r="A316" s="0" t="s">
        <v>5893</v>
      </c>
      <c r="B316" s="0" t="n">
        <v>1902</v>
      </c>
      <c r="C316" s="0" t="s">
        <v>5894</v>
      </c>
      <c r="F316" s="0" t="s">
        <v>931</v>
      </c>
      <c r="H316" s="0" t="s">
        <v>5895</v>
      </c>
      <c r="L316" s="0" t="s">
        <v>29</v>
      </c>
      <c r="N316" s="0" t="s">
        <v>29</v>
      </c>
      <c r="P316" s="0" t="n">
        <f aca="false">LEN(C316)+LEN(D316)+LEN(E316)+LEN(F316)+LEN(G316)+LEN(H316)</f>
        <v>35</v>
      </c>
    </row>
    <row r="317" customFormat="false" ht="15" hidden="false" customHeight="false" outlineLevel="0" collapsed="false">
      <c r="A317" s="0" t="s">
        <v>5896</v>
      </c>
      <c r="B317" s="0" t="n">
        <v>1902</v>
      </c>
      <c r="C317" s="0" t="s">
        <v>5894</v>
      </c>
      <c r="F317" s="0" t="s">
        <v>882</v>
      </c>
      <c r="G317" s="0" t="s">
        <v>5897</v>
      </c>
      <c r="H317" s="0" t="s">
        <v>5898</v>
      </c>
      <c r="M317" s="0" t="s">
        <v>29</v>
      </c>
      <c r="N317" s="0" t="s">
        <v>29</v>
      </c>
      <c r="P317" s="0" t="n">
        <f aca="false">LEN(C317)+LEN(D317)+LEN(E317)+LEN(F317)+LEN(G317)+LEN(H317)</f>
        <v>52</v>
      </c>
    </row>
    <row r="318" s="3" customFormat="true" ht="15" hidden="false" customHeight="false" outlineLevel="0" collapsed="false">
      <c r="A318" s="3" t="s">
        <v>5899</v>
      </c>
      <c r="B318" s="3" t="n">
        <v>1902</v>
      </c>
      <c r="C318" s="3" t="s">
        <v>5900</v>
      </c>
      <c r="G318" s="3" t="s">
        <v>5598</v>
      </c>
      <c r="H318" s="3" t="s">
        <v>3944</v>
      </c>
      <c r="P318" s="3" t="n">
        <f aca="false">LEN(C318)+LEN(D318)+LEN(E318)+LEN(F318)+LEN(G318)+LEN(H318)</f>
        <v>34</v>
      </c>
    </row>
    <row r="319" s="3" customFormat="true" ht="15" hidden="false" customHeight="false" outlineLevel="0" collapsed="false">
      <c r="A319" s="3" t="s">
        <v>5901</v>
      </c>
      <c r="B319" s="3" t="n">
        <v>1902</v>
      </c>
      <c r="C319" s="3" t="s">
        <v>5902</v>
      </c>
      <c r="F319" s="3" t="s">
        <v>5502</v>
      </c>
      <c r="G319" s="3" t="s">
        <v>5903</v>
      </c>
      <c r="H319" s="3" t="s">
        <v>5904</v>
      </c>
      <c r="P319" s="3" t="n">
        <f aca="false">LEN(C319)+LEN(D319)+LEN(E319)+LEN(F319)+LEN(G319)+LEN(H319)</f>
        <v>55</v>
      </c>
    </row>
    <row r="320" s="3" customFormat="true" ht="15" hidden="false" customHeight="false" outlineLevel="0" collapsed="false">
      <c r="A320" s="3" t="s">
        <v>5905</v>
      </c>
      <c r="B320" s="3" t="n">
        <v>1902</v>
      </c>
      <c r="C320" s="3" t="s">
        <v>5906</v>
      </c>
      <c r="F320" s="3" t="s">
        <v>931</v>
      </c>
      <c r="G320" s="3" t="s">
        <v>5907</v>
      </c>
      <c r="H320" s="3" t="s">
        <v>5908</v>
      </c>
      <c r="P320" s="3" t="n">
        <f aca="false">LEN(C320)+LEN(D320)+LEN(E320)+LEN(F320)+LEN(G320)+LEN(H320)</f>
        <v>47</v>
      </c>
    </row>
    <row r="321" s="3" customFormat="true" ht="15" hidden="false" customHeight="false" outlineLevel="0" collapsed="false">
      <c r="A321" s="3" t="s">
        <v>5909</v>
      </c>
      <c r="B321" s="3" t="n">
        <v>1902</v>
      </c>
      <c r="C321" s="3" t="s">
        <v>5910</v>
      </c>
      <c r="H321" s="3" t="s">
        <v>5911</v>
      </c>
      <c r="P321" s="3" t="n">
        <f aca="false">LEN(C321)+LEN(D321)+LEN(E321)+LEN(F321)+LEN(G321)+LEN(H321)</f>
        <v>28</v>
      </c>
    </row>
    <row r="322" customFormat="false" ht="15" hidden="false" customHeight="false" outlineLevel="0" collapsed="false">
      <c r="A322" s="0" t="s">
        <v>5912</v>
      </c>
      <c r="B322" s="0" t="n">
        <v>1902</v>
      </c>
      <c r="C322" s="0" t="s">
        <v>5913</v>
      </c>
      <c r="H322" s="0" t="s">
        <v>5533</v>
      </c>
      <c r="P322" s="0" t="n">
        <f aca="false">LEN(C322)+LEN(D322)+LEN(E322)+LEN(F322)+LEN(G322)+LEN(H322)</f>
        <v>29</v>
      </c>
    </row>
    <row r="323" s="3" customFormat="true" ht="15" hidden="false" customHeight="false" outlineLevel="0" collapsed="false">
      <c r="A323" s="3" t="s">
        <v>5914</v>
      </c>
      <c r="B323" s="3" t="n">
        <v>1902</v>
      </c>
      <c r="C323" s="3" t="s">
        <v>5915</v>
      </c>
      <c r="F323" s="3" t="s">
        <v>931</v>
      </c>
      <c r="G323" s="3" t="s">
        <v>5916</v>
      </c>
      <c r="H323" s="3" t="s">
        <v>5917</v>
      </c>
      <c r="P323" s="3" t="n">
        <f aca="false">LEN(C323)+LEN(D323)+LEN(E323)+LEN(F323)+LEN(G323)+LEN(H323)</f>
        <v>56</v>
      </c>
    </row>
    <row r="324" s="3" customFormat="true" ht="15" hidden="false" customHeight="false" outlineLevel="0" collapsed="false">
      <c r="A324" s="3" t="s">
        <v>5918</v>
      </c>
      <c r="B324" s="3" t="n">
        <v>1902</v>
      </c>
      <c r="C324" s="3" t="s">
        <v>5919</v>
      </c>
      <c r="F324" s="3" t="s">
        <v>5920</v>
      </c>
      <c r="G324" s="3" t="s">
        <v>5921</v>
      </c>
      <c r="H324" s="3" t="s">
        <v>3944</v>
      </c>
      <c r="P324" s="3" t="n">
        <f aca="false">LEN(C324)+LEN(D324)+LEN(E324)+LEN(F324)+LEN(G324)+LEN(H324)</f>
        <v>46</v>
      </c>
    </row>
    <row r="325" s="3" customFormat="true" ht="15" hidden="false" customHeight="false" outlineLevel="0" collapsed="false">
      <c r="A325" s="3" t="s">
        <v>5922</v>
      </c>
      <c r="B325" s="3" t="n">
        <v>1902</v>
      </c>
      <c r="C325" s="3" t="s">
        <v>5923</v>
      </c>
      <c r="F325" s="3" t="s">
        <v>5502</v>
      </c>
      <c r="G325" s="3" t="s">
        <v>5924</v>
      </c>
      <c r="H325" s="3" t="s">
        <v>5070</v>
      </c>
      <c r="P325" s="3" t="n">
        <f aca="false">LEN(C325)+LEN(D325)+LEN(E325)+LEN(F325)+LEN(G325)+LEN(H325)</f>
        <v>52</v>
      </c>
    </row>
    <row r="326" s="3" customFormat="true" ht="15" hidden="false" customHeight="false" outlineLevel="0" collapsed="false">
      <c r="A326" s="3" t="s">
        <v>5925</v>
      </c>
      <c r="B326" s="3" t="n">
        <v>1902</v>
      </c>
      <c r="C326" s="3" t="s">
        <v>5926</v>
      </c>
      <c r="F326" s="3" t="s">
        <v>5502</v>
      </c>
      <c r="H326" s="3" t="s">
        <v>5927</v>
      </c>
      <c r="P326" s="3" t="n">
        <f aca="false">LEN(C326)+LEN(D326)+LEN(E326)+LEN(F326)+LEN(G326)+LEN(H326)</f>
        <v>43</v>
      </c>
    </row>
    <row r="327" customFormat="false" ht="15" hidden="false" customHeight="false" outlineLevel="0" collapsed="false">
      <c r="A327" s="0" t="s">
        <v>5928</v>
      </c>
      <c r="B327" s="0" t="n">
        <v>1902</v>
      </c>
      <c r="C327" s="0" t="s">
        <v>5929</v>
      </c>
      <c r="F327" s="0" t="s">
        <v>931</v>
      </c>
      <c r="G327" s="0" t="s">
        <v>5930</v>
      </c>
      <c r="H327" s="0" t="s">
        <v>5931</v>
      </c>
      <c r="L327" s="0" t="s">
        <v>29</v>
      </c>
      <c r="M327" s="0" t="s">
        <v>29</v>
      </c>
      <c r="P327" s="0" t="n">
        <f aca="false">LEN(C327)+LEN(D327)+LEN(E327)+LEN(F327)+LEN(G327)+LEN(H327)</f>
        <v>51</v>
      </c>
    </row>
    <row r="328" s="3" customFormat="true" ht="15" hidden="false" customHeight="false" outlineLevel="0" collapsed="false">
      <c r="A328" s="3" t="s">
        <v>5932</v>
      </c>
      <c r="B328" s="3" t="n">
        <v>1902</v>
      </c>
      <c r="C328" s="3" t="s">
        <v>5933</v>
      </c>
      <c r="H328" s="3" t="s">
        <v>5934</v>
      </c>
      <c r="P328" s="3" t="n">
        <f aca="false">LEN(C328)+LEN(D328)+LEN(E328)+LEN(F328)+LEN(G328)+LEN(H328)</f>
        <v>21</v>
      </c>
    </row>
    <row r="329" s="3" customFormat="true" ht="15" hidden="false" customHeight="false" outlineLevel="0" collapsed="false">
      <c r="A329" s="3" t="s">
        <v>5935</v>
      </c>
      <c r="B329" s="3" t="n">
        <v>1902</v>
      </c>
      <c r="C329" s="3" t="s">
        <v>5936</v>
      </c>
      <c r="F329" s="3" t="s">
        <v>4738</v>
      </c>
      <c r="G329" s="3" t="s">
        <v>5937</v>
      </c>
      <c r="H329" s="3" t="s">
        <v>5938</v>
      </c>
      <c r="P329" s="3" t="n">
        <f aca="false">LEN(C329)+LEN(D329)+LEN(E329)+LEN(F329)+LEN(G329)+LEN(H329)</f>
        <v>59</v>
      </c>
    </row>
    <row r="330" s="3" customFormat="true" ht="15" hidden="false" customHeight="false" outlineLevel="0" collapsed="false">
      <c r="A330" s="3" t="s">
        <v>5939</v>
      </c>
      <c r="B330" s="3" t="n">
        <v>1902</v>
      </c>
      <c r="C330" s="3" t="s">
        <v>5940</v>
      </c>
      <c r="F330" s="3" t="s">
        <v>882</v>
      </c>
      <c r="G330" s="3" t="s">
        <v>5941</v>
      </c>
      <c r="H330" s="3" t="s">
        <v>5942</v>
      </c>
      <c r="P330" s="3" t="n">
        <f aca="false">LEN(C330)+LEN(D330)+LEN(E330)+LEN(F330)+LEN(G330)+LEN(H330)</f>
        <v>52</v>
      </c>
    </row>
    <row r="331" customFormat="false" ht="15" hidden="false" customHeight="false" outlineLevel="0" collapsed="false">
      <c r="A331" s="0" t="s">
        <v>5943</v>
      </c>
      <c r="B331" s="0" t="n">
        <v>1902</v>
      </c>
      <c r="C331" s="0" t="s">
        <v>5944</v>
      </c>
      <c r="H331" s="0" t="s">
        <v>5945</v>
      </c>
      <c r="N331" s="0" t="s">
        <v>29</v>
      </c>
      <c r="P331" s="0" t="n">
        <f aca="false">LEN(C331)+LEN(D331)+LEN(E331)+LEN(F331)+LEN(G331)+LEN(H331)</f>
        <v>31</v>
      </c>
    </row>
    <row r="332" s="3" customFormat="true" ht="15" hidden="false" customHeight="false" outlineLevel="0" collapsed="false">
      <c r="A332" s="3" t="s">
        <v>5946</v>
      </c>
      <c r="B332" s="3" t="n">
        <v>1902</v>
      </c>
      <c r="C332" s="3" t="s">
        <v>5947</v>
      </c>
      <c r="F332" s="3" t="s">
        <v>882</v>
      </c>
      <c r="G332" s="3" t="s">
        <v>5948</v>
      </c>
      <c r="H332" s="3" t="s">
        <v>5949</v>
      </c>
      <c r="P332" s="3" t="n">
        <f aca="false">LEN(C332)+LEN(D332)+LEN(E332)+LEN(F332)+LEN(G332)+LEN(H332)</f>
        <v>59</v>
      </c>
    </row>
    <row r="333" s="3" customFormat="true" ht="15" hidden="false" customHeight="false" outlineLevel="0" collapsed="false">
      <c r="A333" s="3" t="s">
        <v>5950</v>
      </c>
      <c r="B333" s="3" t="n">
        <v>1903</v>
      </c>
      <c r="C333" s="3" t="s">
        <v>5951</v>
      </c>
      <c r="F333" s="3" t="s">
        <v>5480</v>
      </c>
      <c r="H333" s="3" t="s">
        <v>5952</v>
      </c>
      <c r="P333" s="3" t="n">
        <f aca="false">LEN(C333)+LEN(D333)+LEN(E333)+LEN(F333)+LEN(G333)+LEN(H333)</f>
        <v>40</v>
      </c>
    </row>
    <row r="334" s="3" customFormat="true" ht="15" hidden="false" customHeight="false" outlineLevel="0" collapsed="false">
      <c r="A334" s="3" t="s">
        <v>5953</v>
      </c>
      <c r="B334" s="3" t="n">
        <v>1903</v>
      </c>
      <c r="C334" s="3" t="s">
        <v>5954</v>
      </c>
      <c r="F334" s="3" t="s">
        <v>5564</v>
      </c>
      <c r="H334" s="3" t="s">
        <v>5955</v>
      </c>
      <c r="P334" s="3" t="n">
        <f aca="false">LEN(C334)+LEN(D334)+LEN(E334)+LEN(F334)+LEN(G334)+LEN(H334)</f>
        <v>34</v>
      </c>
    </row>
    <row r="335" customFormat="false" ht="15" hidden="false" customHeight="false" outlineLevel="0" collapsed="false">
      <c r="A335" s="0" t="s">
        <v>5956</v>
      </c>
      <c r="B335" s="0" t="n">
        <v>1904</v>
      </c>
      <c r="C335" s="0" t="s">
        <v>5957</v>
      </c>
      <c r="F335" s="0" t="s">
        <v>5502</v>
      </c>
      <c r="H335" s="0" t="s">
        <v>5386</v>
      </c>
      <c r="P335" s="0" t="n">
        <f aca="false">LEN(C335)+LEN(D335)+LEN(E335)+LEN(F335)+LEN(G335)+LEN(H335)</f>
        <v>40</v>
      </c>
    </row>
    <row r="336" customFormat="false" ht="15" hidden="false" customHeight="false" outlineLevel="0" collapsed="false">
      <c r="A336" s="0" t="s">
        <v>5958</v>
      </c>
      <c r="B336" s="0" t="n">
        <v>1904</v>
      </c>
      <c r="C336" s="0" t="s">
        <v>5959</v>
      </c>
      <c r="F336" s="0" t="s">
        <v>5960</v>
      </c>
      <c r="H336" s="0" t="s">
        <v>5961</v>
      </c>
      <c r="P336" s="0" t="n">
        <f aca="false">LEN(C336)+LEN(D336)+LEN(E336)+LEN(F336)+LEN(G336)+LEN(H336)</f>
        <v>42</v>
      </c>
    </row>
    <row r="337" customFormat="false" ht="15" hidden="false" customHeight="false" outlineLevel="0" collapsed="false">
      <c r="A337" s="0" t="s">
        <v>5962</v>
      </c>
      <c r="B337" s="0" t="n">
        <v>1904</v>
      </c>
      <c r="C337" s="0" t="s">
        <v>5963</v>
      </c>
      <c r="F337" s="0" t="s">
        <v>5564</v>
      </c>
      <c r="H337" s="0" t="s">
        <v>5964</v>
      </c>
      <c r="P337" s="0" t="n">
        <f aca="false">LEN(C337)+LEN(D337)+LEN(E337)+LEN(F337)+LEN(G337)+LEN(H337)</f>
        <v>30</v>
      </c>
    </row>
    <row r="338" customFormat="false" ht="15" hidden="false" customHeight="false" outlineLevel="0" collapsed="false">
      <c r="A338" s="0" t="s">
        <v>5965</v>
      </c>
      <c r="B338" s="0" t="n">
        <v>1904</v>
      </c>
      <c r="C338" s="0" t="s">
        <v>5966</v>
      </c>
      <c r="F338" s="0" t="s">
        <v>2948</v>
      </c>
      <c r="H338" s="0" t="s">
        <v>5961</v>
      </c>
      <c r="P338" s="0" t="n">
        <f aca="false">LEN(C338)+LEN(D338)+LEN(E338)+LEN(F338)+LEN(G338)+LEN(H338)</f>
        <v>31</v>
      </c>
    </row>
    <row r="339" customFormat="false" ht="15" hidden="false" customHeight="false" outlineLevel="0" collapsed="false">
      <c r="A339" s="0" t="s">
        <v>5967</v>
      </c>
      <c r="B339" s="0" t="n">
        <v>1905</v>
      </c>
      <c r="C339" s="0" t="s">
        <v>5968</v>
      </c>
      <c r="H339" s="0" t="s">
        <v>5969</v>
      </c>
      <c r="P339" s="0" t="n">
        <f aca="false">LEN(C339)+LEN(D339)+LEN(E339)+LEN(F339)+LEN(G339)+LEN(H339)</f>
        <v>23</v>
      </c>
    </row>
    <row r="340" customFormat="false" ht="15" hidden="false" customHeight="false" outlineLevel="0" collapsed="false">
      <c r="A340" s="0" t="s">
        <v>5970</v>
      </c>
      <c r="B340" s="0" t="n">
        <v>1905</v>
      </c>
      <c r="C340" s="0" t="s">
        <v>5971</v>
      </c>
      <c r="H340" s="0" t="s">
        <v>5546</v>
      </c>
      <c r="P340" s="0" t="n">
        <f aca="false">LEN(C340)+LEN(D340)+LEN(E340)+LEN(F340)+LEN(G340)+LEN(H340)</f>
        <v>23</v>
      </c>
    </row>
    <row r="341" customFormat="false" ht="15" hidden="false" customHeight="false" outlineLevel="0" collapsed="false">
      <c r="A341" s="0" t="s">
        <v>5972</v>
      </c>
      <c r="B341" s="0" t="n">
        <v>1905</v>
      </c>
      <c r="C341" s="0" t="s">
        <v>5973</v>
      </c>
      <c r="H341" s="0" t="s">
        <v>3692</v>
      </c>
      <c r="P341" s="0" t="n">
        <f aca="false">LEN(C341)+LEN(D341)+LEN(E341)+LEN(F341)+LEN(G341)+LEN(H341)</f>
        <v>23</v>
      </c>
    </row>
    <row r="342" customFormat="false" ht="15" hidden="false" customHeight="false" outlineLevel="0" collapsed="false">
      <c r="A342" s="0" t="s">
        <v>5974</v>
      </c>
      <c r="B342" s="0" t="n">
        <v>1905</v>
      </c>
      <c r="C342" s="0" t="s">
        <v>5975</v>
      </c>
      <c r="H342" s="0" t="s">
        <v>5976</v>
      </c>
      <c r="P342" s="0" t="n">
        <f aca="false">LEN(C342)+LEN(D342)+LEN(E342)+LEN(F342)+LEN(G342)+LEN(H342)</f>
        <v>27</v>
      </c>
    </row>
    <row r="343" customFormat="false" ht="15" hidden="false" customHeight="false" outlineLevel="0" collapsed="false">
      <c r="A343" s="0" t="s">
        <v>5977</v>
      </c>
      <c r="B343" s="0" t="n">
        <v>1905</v>
      </c>
      <c r="C343" s="0" t="s">
        <v>5978</v>
      </c>
      <c r="H343" s="0" t="s">
        <v>5979</v>
      </c>
      <c r="P343" s="0" t="n">
        <f aca="false">LEN(C343)+LEN(D343)+LEN(E343)+LEN(F343)+LEN(G343)+LEN(H343)</f>
        <v>26</v>
      </c>
    </row>
    <row r="344" customFormat="false" ht="15" hidden="false" customHeight="false" outlineLevel="0" collapsed="false">
      <c r="A344" s="0" t="s">
        <v>5980</v>
      </c>
      <c r="B344" s="0" t="n">
        <v>1905</v>
      </c>
      <c r="C344" s="0" t="s">
        <v>5981</v>
      </c>
      <c r="H344" s="0" t="s">
        <v>5982</v>
      </c>
      <c r="P344" s="0" t="n">
        <f aca="false">LEN(C344)+LEN(D344)+LEN(E344)+LEN(F344)+LEN(G344)+LEN(H344)</f>
        <v>29</v>
      </c>
    </row>
    <row r="345" customFormat="false" ht="15" hidden="false" customHeight="false" outlineLevel="0" collapsed="false">
      <c r="A345" s="0" t="s">
        <v>5983</v>
      </c>
      <c r="B345" s="0" t="n">
        <v>1905</v>
      </c>
      <c r="C345" s="0" t="s">
        <v>5984</v>
      </c>
      <c r="H345" s="0" t="s">
        <v>3692</v>
      </c>
      <c r="P345" s="0" t="n">
        <f aca="false">LEN(C345)+LEN(D345)+LEN(E345)+LEN(F345)+LEN(G345)+LEN(H345)</f>
        <v>21</v>
      </c>
    </row>
    <row r="346" customFormat="false" ht="15" hidden="false" customHeight="false" outlineLevel="0" collapsed="false">
      <c r="A346" s="0" t="s">
        <v>5985</v>
      </c>
      <c r="B346" s="0" t="n">
        <v>1905</v>
      </c>
      <c r="C346" s="0" t="s">
        <v>5986</v>
      </c>
      <c r="H346" s="0" t="s">
        <v>5938</v>
      </c>
      <c r="P346" s="0" t="n">
        <f aca="false">LEN(C346)+LEN(D346)+LEN(E346)+LEN(F346)+LEN(G346)+LEN(H346)</f>
        <v>21</v>
      </c>
    </row>
    <row r="347" customFormat="false" ht="15" hidden="false" customHeight="false" outlineLevel="0" collapsed="false">
      <c r="A347" s="0" t="s">
        <v>5987</v>
      </c>
      <c r="B347" s="0" t="n">
        <v>1905</v>
      </c>
      <c r="C347" s="0" t="s">
        <v>5988</v>
      </c>
      <c r="H347" s="0" t="s">
        <v>5989</v>
      </c>
      <c r="P347" s="0" t="n">
        <f aca="false">LEN(C347)+LEN(D347)+LEN(E347)+LEN(F347)+LEN(G347)+LEN(H347)</f>
        <v>32</v>
      </c>
    </row>
    <row r="348" s="12" customFormat="true" ht="15" hidden="false" customHeight="false" outlineLevel="0" collapsed="false">
      <c r="A348" s="12" t="s">
        <v>5990</v>
      </c>
      <c r="B348" s="12" t="n">
        <v>1906</v>
      </c>
      <c r="C348" s="12" t="s">
        <v>5991</v>
      </c>
      <c r="H348" s="12" t="s">
        <v>5992</v>
      </c>
      <c r="P348" s="12" t="n">
        <f aca="false">LEN(C348)+LEN(D348)+LEN(E348)+LEN(F348)+LEN(G348)+LEN(H348)</f>
        <v>32</v>
      </c>
    </row>
    <row r="349" customFormat="false" ht="15" hidden="false" customHeight="false" outlineLevel="0" collapsed="false">
      <c r="A349" s="0" t="s">
        <v>5993</v>
      </c>
      <c r="B349" s="0" t="n">
        <v>1907</v>
      </c>
      <c r="C349" s="0" t="s">
        <v>5994</v>
      </c>
      <c r="H349" s="0" t="s">
        <v>5995</v>
      </c>
      <c r="P349" s="0" t="n">
        <f aca="false">LEN(C349)+LEN(D349)+LEN(E349)+LEN(F349)+LEN(G349)+LEN(H349)</f>
        <v>19</v>
      </c>
    </row>
    <row r="350" customFormat="false" ht="15" hidden="false" customHeight="false" outlineLevel="0" collapsed="false">
      <c r="A350" s="0" t="s">
        <v>5996</v>
      </c>
      <c r="B350" s="0" t="n">
        <v>1907</v>
      </c>
      <c r="C350" s="0" t="s">
        <v>5997</v>
      </c>
      <c r="H350" s="0" t="s">
        <v>5998</v>
      </c>
      <c r="P350" s="0" t="n">
        <f aca="false">LEN(C350)+LEN(D350)+LEN(E350)+LEN(F350)+LEN(G350)+LEN(H350)</f>
        <v>19</v>
      </c>
    </row>
    <row r="351" customFormat="false" ht="15" hidden="false" customHeight="false" outlineLevel="0" collapsed="false">
      <c r="A351" s="0" t="s">
        <v>5999</v>
      </c>
      <c r="B351" s="0" t="n">
        <v>1907</v>
      </c>
      <c r="C351" s="0" t="s">
        <v>6000</v>
      </c>
      <c r="H351" s="0" t="s">
        <v>5350</v>
      </c>
      <c r="P351" s="0" t="n">
        <f aca="false">LEN(C351)+LEN(D351)+LEN(E351)+LEN(F351)+LEN(G351)+LEN(H351)</f>
        <v>23</v>
      </c>
    </row>
    <row r="352" customFormat="false" ht="15" hidden="false" customHeight="false" outlineLevel="0" collapsed="false">
      <c r="A352" s="0" t="s">
        <v>6001</v>
      </c>
      <c r="B352" s="0" t="n">
        <v>1907</v>
      </c>
      <c r="C352" s="0" t="s">
        <v>6002</v>
      </c>
      <c r="H352" s="0" t="s">
        <v>6003</v>
      </c>
      <c r="P352" s="0" t="n">
        <f aca="false">LEN(C352)+LEN(D352)+LEN(E352)+LEN(F352)+LEN(G352)+LEN(H352)</f>
        <v>32</v>
      </c>
    </row>
    <row r="353" customFormat="false" ht="15" hidden="false" customHeight="false" outlineLevel="0" collapsed="false">
      <c r="A353" s="0" t="s">
        <v>6004</v>
      </c>
      <c r="B353" s="0" t="n">
        <v>1907</v>
      </c>
      <c r="C353" s="0" t="s">
        <v>6005</v>
      </c>
      <c r="H353" s="0" t="s">
        <v>6006</v>
      </c>
      <c r="P353" s="0" t="n">
        <f aca="false">LEN(C353)+LEN(D353)+LEN(E353)+LEN(F353)+LEN(G353)+LEN(H353)</f>
        <v>19</v>
      </c>
    </row>
    <row r="354" customFormat="false" ht="15" hidden="false" customHeight="false" outlineLevel="0" collapsed="false">
      <c r="A354" s="0" t="s">
        <v>6007</v>
      </c>
      <c r="B354" s="0" t="n">
        <v>1907</v>
      </c>
      <c r="C354" s="0" t="s">
        <v>6008</v>
      </c>
      <c r="H354" s="0" t="s">
        <v>6009</v>
      </c>
      <c r="P354" s="0" t="n">
        <f aca="false">LEN(C354)+LEN(D354)+LEN(E354)+LEN(F354)+LEN(G354)+LEN(H354)</f>
        <v>23</v>
      </c>
    </row>
    <row r="355" customFormat="false" ht="15" hidden="false" customHeight="false" outlineLevel="0" collapsed="false">
      <c r="A355" s="0" t="s">
        <v>6010</v>
      </c>
      <c r="B355" s="0" t="n">
        <v>1907</v>
      </c>
      <c r="C355" s="0" t="s">
        <v>6011</v>
      </c>
      <c r="H355" s="0" t="s">
        <v>6012</v>
      </c>
      <c r="P355" s="0" t="n">
        <f aca="false">LEN(C355)+LEN(D355)+LEN(E355)+LEN(F355)+LEN(G355)+LEN(H355)</f>
        <v>24</v>
      </c>
    </row>
    <row r="356" customFormat="false" ht="15" hidden="false" customHeight="false" outlineLevel="0" collapsed="false">
      <c r="A356" s="0" t="s">
        <v>6013</v>
      </c>
      <c r="B356" s="0" t="n">
        <v>1907</v>
      </c>
      <c r="C356" s="0" t="s">
        <v>5944</v>
      </c>
      <c r="H356" s="0" t="s">
        <v>6014</v>
      </c>
      <c r="P356" s="0" t="n">
        <f aca="false">LEN(C356)+LEN(D356)+LEN(E356)+LEN(F356)+LEN(G356)+LEN(H356)</f>
        <v>24</v>
      </c>
    </row>
    <row r="357" customFormat="false" ht="15" hidden="false" customHeight="false" outlineLevel="0" collapsed="false">
      <c r="A357" s="0" t="s">
        <v>6015</v>
      </c>
      <c r="B357" s="0" t="n">
        <v>1908</v>
      </c>
      <c r="C357" s="0" t="s">
        <v>6016</v>
      </c>
      <c r="H357" s="0" t="s">
        <v>6017</v>
      </c>
      <c r="P357" s="0" t="n">
        <f aca="false">LEN(C357)+LEN(D357)+LEN(E357)+LEN(F357)+LEN(G357)+LEN(H357)</f>
        <v>20</v>
      </c>
    </row>
    <row r="358" customFormat="false" ht="15" hidden="false" customHeight="false" outlineLevel="0" collapsed="false">
      <c r="A358" s="0" t="s">
        <v>6018</v>
      </c>
      <c r="B358" s="0" t="n">
        <v>1908</v>
      </c>
      <c r="C358" s="0" t="s">
        <v>6019</v>
      </c>
      <c r="H358" s="0" t="s">
        <v>6020</v>
      </c>
      <c r="P358" s="0" t="n">
        <f aca="false">LEN(C358)+LEN(D358)+LEN(E358)+LEN(F358)+LEN(G358)+LEN(H358)</f>
        <v>24</v>
      </c>
    </row>
    <row r="359" customFormat="false" ht="15" hidden="false" customHeight="false" outlineLevel="0" collapsed="false">
      <c r="A359" s="0" t="s">
        <v>6021</v>
      </c>
      <c r="B359" s="0" t="n">
        <v>1908</v>
      </c>
      <c r="C359" s="0" t="s">
        <v>6022</v>
      </c>
      <c r="H359" s="0" t="s">
        <v>5718</v>
      </c>
      <c r="P359" s="0" t="n">
        <f aca="false">LEN(C359)+LEN(D359)+LEN(E359)+LEN(F359)+LEN(G359)+LEN(H359)</f>
        <v>22</v>
      </c>
    </row>
    <row r="360" customFormat="false" ht="15" hidden="false" customHeight="false" outlineLevel="0" collapsed="false">
      <c r="A360" s="0" t="s">
        <v>6023</v>
      </c>
      <c r="B360" s="0" t="n">
        <v>1908</v>
      </c>
      <c r="C360" s="0" t="s">
        <v>6024</v>
      </c>
      <c r="H360" s="0" t="s">
        <v>6025</v>
      </c>
      <c r="P360" s="0" t="n">
        <f aca="false">LEN(C360)+LEN(D360)+LEN(E360)+LEN(F360)+LEN(G360)+LEN(H360)</f>
        <v>26</v>
      </c>
    </row>
    <row r="361" customFormat="false" ht="15" hidden="false" customHeight="false" outlineLevel="0" collapsed="false">
      <c r="A361" s="0" t="s">
        <v>6026</v>
      </c>
      <c r="B361" s="0" t="n">
        <v>1908</v>
      </c>
      <c r="C361" s="0" t="s">
        <v>6027</v>
      </c>
      <c r="H361" s="0" t="s">
        <v>6028</v>
      </c>
      <c r="P361" s="0" t="n">
        <f aca="false">LEN(C361)+LEN(D361)+LEN(E361)+LEN(F361)+LEN(G361)+LEN(H361)</f>
        <v>25</v>
      </c>
    </row>
    <row r="362" customFormat="false" ht="15" hidden="false" customHeight="false" outlineLevel="0" collapsed="false">
      <c r="A362" s="0" t="s">
        <v>6029</v>
      </c>
      <c r="B362" s="0" t="n">
        <v>1908</v>
      </c>
      <c r="C362" s="0" t="s">
        <v>6030</v>
      </c>
      <c r="H362" s="0" t="s">
        <v>6031</v>
      </c>
      <c r="P362" s="0" t="n">
        <f aca="false">LEN(C362)+LEN(D362)+LEN(E362)+LEN(F362)+LEN(G362)+LEN(H362)</f>
        <v>32</v>
      </c>
    </row>
    <row r="363" customFormat="false" ht="15" hidden="false" customHeight="false" outlineLevel="0" collapsed="false">
      <c r="A363" s="0" t="s">
        <v>6032</v>
      </c>
      <c r="B363" s="0" t="n">
        <v>1909</v>
      </c>
      <c r="C363" s="0" t="s">
        <v>6033</v>
      </c>
      <c r="H363" s="0" t="s">
        <v>5487</v>
      </c>
      <c r="P363" s="0" t="n">
        <f aca="false">LEN(C363)+LEN(D363)+LEN(E363)+LEN(F363)+LEN(G363)+LEN(H363)</f>
        <v>18</v>
      </c>
    </row>
    <row r="364" customFormat="false" ht="15" hidden="false" customHeight="false" outlineLevel="0" collapsed="false">
      <c r="A364" s="0" t="s">
        <v>6034</v>
      </c>
      <c r="B364" s="0" t="n">
        <v>1909</v>
      </c>
      <c r="C364" s="0" t="s">
        <v>6035</v>
      </c>
      <c r="H364" s="0" t="s">
        <v>6036</v>
      </c>
      <c r="P364" s="0" t="n">
        <f aca="false">LEN(C364)+LEN(D364)+LEN(E364)+LEN(F364)+LEN(G364)+LEN(H364)</f>
        <v>25</v>
      </c>
    </row>
    <row r="365" customFormat="false" ht="15" hidden="false" customHeight="false" outlineLevel="0" collapsed="false">
      <c r="A365" s="0" t="s">
        <v>6037</v>
      </c>
      <c r="B365" s="0" t="n">
        <v>1909</v>
      </c>
      <c r="C365" s="0" t="s">
        <v>6038</v>
      </c>
      <c r="H365" s="0" t="s">
        <v>3090</v>
      </c>
      <c r="P365" s="0" t="n">
        <f aca="false">LEN(C365)+LEN(D365)+LEN(E365)+LEN(F365)+LEN(G365)+LEN(H365)</f>
        <v>23</v>
      </c>
    </row>
    <row r="366" customFormat="false" ht="15" hidden="false" customHeight="false" outlineLevel="0" collapsed="false">
      <c r="A366" s="0" t="s">
        <v>6039</v>
      </c>
      <c r="B366" s="0" t="n">
        <v>1910</v>
      </c>
      <c r="C366" s="0" t="s">
        <v>6040</v>
      </c>
      <c r="H366" s="0" t="s">
        <v>6041</v>
      </c>
      <c r="P366" s="0" t="n">
        <f aca="false">LEN(C366)+LEN(D366)+LEN(E366)+LEN(F366)+LEN(G366)+LEN(H366)</f>
        <v>21</v>
      </c>
    </row>
    <row r="367" customFormat="false" ht="15" hidden="false" customHeight="false" outlineLevel="0" collapsed="false">
      <c r="A367" s="0" t="s">
        <v>6042</v>
      </c>
      <c r="B367" s="0" t="n">
        <v>1910</v>
      </c>
      <c r="C367" s="0" t="s">
        <v>6043</v>
      </c>
      <c r="H367" s="0" t="s">
        <v>6044</v>
      </c>
      <c r="P367" s="0" t="n">
        <f aca="false">LEN(C367)+LEN(D367)+LEN(E367)+LEN(F367)+LEN(G367)+LEN(H367)</f>
        <v>22</v>
      </c>
    </row>
    <row r="368" customFormat="false" ht="15" hidden="false" customHeight="false" outlineLevel="0" collapsed="false">
      <c r="A368" s="0" t="s">
        <v>6045</v>
      </c>
      <c r="B368" s="0" t="n">
        <v>1910</v>
      </c>
      <c r="C368" s="0" t="s">
        <v>6046</v>
      </c>
      <c r="H368" s="0" t="s">
        <v>6047</v>
      </c>
      <c r="P368" s="0" t="n">
        <f aca="false">LEN(C368)+LEN(D368)+LEN(E368)+LEN(F368)+LEN(G368)+LEN(H368)</f>
        <v>20</v>
      </c>
    </row>
    <row r="369" customFormat="false" ht="15" hidden="false" customHeight="false" outlineLevel="0" collapsed="false">
      <c r="A369" s="0" t="s">
        <v>6048</v>
      </c>
      <c r="B369" s="0" t="n">
        <v>1911</v>
      </c>
      <c r="C369" s="0" t="s">
        <v>6049</v>
      </c>
      <c r="H369" s="0" t="s">
        <v>5961</v>
      </c>
      <c r="P369" s="0" t="n">
        <f aca="false">LEN(C369)+LEN(D369)+LEN(E369)+LEN(F369)+LEN(G369)+LEN(H369)</f>
        <v>20</v>
      </c>
    </row>
    <row r="370" customFormat="false" ht="15" hidden="false" customHeight="false" outlineLevel="0" collapsed="false">
      <c r="A370" s="0" t="s">
        <v>6050</v>
      </c>
      <c r="B370" s="0" t="n">
        <v>1911</v>
      </c>
      <c r="C370" s="0" t="s">
        <v>6051</v>
      </c>
      <c r="H370" s="0" t="s">
        <v>5439</v>
      </c>
      <c r="P370" s="0" t="n">
        <f aca="false">LEN(C370)+LEN(D370)+LEN(E370)+LEN(F370)+LEN(G370)+LEN(H370)</f>
        <v>19</v>
      </c>
    </row>
    <row r="371" customFormat="false" ht="15" hidden="false" customHeight="false" outlineLevel="0" collapsed="false">
      <c r="A371" s="0" t="s">
        <v>6052</v>
      </c>
      <c r="B371" s="0" t="n">
        <v>1911</v>
      </c>
      <c r="C371" s="0" t="s">
        <v>6053</v>
      </c>
      <c r="H371" s="0" t="s">
        <v>6054</v>
      </c>
      <c r="P371" s="0" t="n">
        <f aca="false">LEN(C371)+LEN(D371)+LEN(E371)+LEN(F371)+LEN(G371)+LEN(H371)</f>
        <v>28</v>
      </c>
    </row>
    <row r="372" customFormat="false" ht="15" hidden="false" customHeight="false" outlineLevel="0" collapsed="false">
      <c r="A372" s="0" t="s">
        <v>6055</v>
      </c>
      <c r="B372" s="0" t="n">
        <v>1911</v>
      </c>
      <c r="C372" s="0" t="s">
        <v>6056</v>
      </c>
      <c r="H372" s="0" t="s">
        <v>5969</v>
      </c>
      <c r="P372" s="0" t="n">
        <f aca="false">LEN(C372)+LEN(D372)+LEN(E372)+LEN(F372)+LEN(G372)+LEN(H372)</f>
        <v>24</v>
      </c>
    </row>
    <row r="373" customFormat="false" ht="15" hidden="false" customHeight="false" outlineLevel="0" collapsed="false">
      <c r="A373" s="0" t="s">
        <v>6057</v>
      </c>
      <c r="B373" s="0" t="n">
        <v>1911</v>
      </c>
      <c r="C373" s="0" t="s">
        <v>6058</v>
      </c>
      <c r="H373" s="0" t="s">
        <v>6059</v>
      </c>
      <c r="P373" s="0" t="n">
        <f aca="false">LEN(C373)+LEN(D373)+LEN(E373)+LEN(F373)+LEN(G373)+LEN(H373)</f>
        <v>20</v>
      </c>
    </row>
    <row r="374" customFormat="false" ht="15" hidden="false" customHeight="false" outlineLevel="0" collapsed="false">
      <c r="A374" s="0" t="s">
        <v>6060</v>
      </c>
      <c r="B374" s="0" t="n">
        <v>1912</v>
      </c>
      <c r="C374" s="0" t="s">
        <v>6061</v>
      </c>
      <c r="H374" s="0" t="s">
        <v>5788</v>
      </c>
      <c r="P374" s="0" t="n">
        <f aca="false">LEN(C374)+LEN(D374)+LEN(E374)+LEN(F374)+LEN(G374)+LEN(H374)</f>
        <v>23</v>
      </c>
    </row>
    <row r="375" customFormat="false" ht="15" hidden="false" customHeight="false" outlineLevel="0" collapsed="false">
      <c r="A375" s="0" t="s">
        <v>6062</v>
      </c>
      <c r="B375" s="0" t="n">
        <v>1912</v>
      </c>
      <c r="C375" s="0" t="s">
        <v>6063</v>
      </c>
      <c r="H375" s="0" t="s">
        <v>5961</v>
      </c>
      <c r="P375" s="0" t="n">
        <f aca="false">LEN(C375)+LEN(D375)+LEN(E375)+LEN(F375)+LEN(G375)+LEN(H375)</f>
        <v>19</v>
      </c>
    </row>
    <row r="376" customFormat="false" ht="15" hidden="false" customHeight="false" outlineLevel="0" collapsed="false">
      <c r="A376" s="0" t="s">
        <v>6064</v>
      </c>
      <c r="B376" s="0" t="n">
        <v>1912</v>
      </c>
      <c r="C376" s="0" t="s">
        <v>6065</v>
      </c>
      <c r="H376" s="0" t="s">
        <v>6066</v>
      </c>
      <c r="P376" s="0" t="n">
        <f aca="false">LEN(C376)+LEN(D376)+LEN(E376)+LEN(F376)+LEN(G376)+LEN(H376)</f>
        <v>19</v>
      </c>
    </row>
    <row r="377" customFormat="false" ht="15" hidden="false" customHeight="false" outlineLevel="0" collapsed="false">
      <c r="A377" s="0" t="s">
        <v>6067</v>
      </c>
      <c r="B377" s="0" t="n">
        <v>1912</v>
      </c>
      <c r="C377" s="0" t="s">
        <v>6068</v>
      </c>
      <c r="H377" s="0" t="s">
        <v>6069</v>
      </c>
      <c r="P377" s="0" t="n">
        <f aca="false">LEN(C377)+LEN(D377)+LEN(E377)+LEN(F377)+LEN(G377)+LEN(H377)</f>
        <v>24</v>
      </c>
    </row>
    <row r="378" customFormat="false" ht="15" hidden="false" customHeight="false" outlineLevel="0" collapsed="false">
      <c r="A378" s="0" t="s">
        <v>6070</v>
      </c>
      <c r="B378" s="0" t="n">
        <v>1912</v>
      </c>
      <c r="C378" s="0" t="s">
        <v>6071</v>
      </c>
      <c r="H378" s="0" t="s">
        <v>6072</v>
      </c>
      <c r="P378" s="0" t="n">
        <f aca="false">LEN(C378)+LEN(D378)+LEN(E378)+LEN(F378)+LEN(G378)+LEN(H378)</f>
        <v>19</v>
      </c>
    </row>
    <row r="379" customFormat="false" ht="15" hidden="false" customHeight="false" outlineLevel="0" collapsed="false">
      <c r="A379" s="0" t="s">
        <v>6073</v>
      </c>
      <c r="B379" s="0" t="n">
        <v>1912</v>
      </c>
      <c r="C379" s="0" t="s">
        <v>6074</v>
      </c>
      <c r="H379" s="0" t="s">
        <v>6075</v>
      </c>
      <c r="P379" s="0" t="n">
        <f aca="false">LEN(C379)+LEN(D379)+LEN(E379)+LEN(F379)+LEN(G379)+LEN(H379)</f>
        <v>23</v>
      </c>
    </row>
    <row r="380" customFormat="false" ht="15" hidden="false" customHeight="false" outlineLevel="0" collapsed="false">
      <c r="A380" s="0" t="s">
        <v>6076</v>
      </c>
      <c r="B380" s="0" t="n">
        <v>1912</v>
      </c>
      <c r="C380" s="0" t="s">
        <v>6077</v>
      </c>
      <c r="H380" s="0" t="s">
        <v>6078</v>
      </c>
      <c r="P380" s="0" t="n">
        <f aca="false">LEN(C380)+LEN(D380)+LEN(E380)+LEN(F380)+LEN(G380)+LEN(H380)</f>
        <v>21</v>
      </c>
    </row>
    <row r="381" customFormat="false" ht="15" hidden="false" customHeight="false" outlineLevel="0" collapsed="false">
      <c r="A381" s="0" t="s">
        <v>6079</v>
      </c>
      <c r="B381" s="0" t="n">
        <v>1912</v>
      </c>
      <c r="C381" s="0" t="s">
        <v>6080</v>
      </c>
      <c r="H381" s="0" t="s">
        <v>6081</v>
      </c>
      <c r="P381" s="0" t="n">
        <f aca="false">LEN(C381)+LEN(D381)+LEN(E381)+LEN(F381)+LEN(G381)+LEN(H381)</f>
        <v>20</v>
      </c>
    </row>
    <row r="382" customFormat="false" ht="15" hidden="false" customHeight="false" outlineLevel="0" collapsed="false">
      <c r="A382" s="0" t="s">
        <v>6082</v>
      </c>
      <c r="B382" s="0" t="n">
        <v>1912</v>
      </c>
      <c r="C382" s="0" t="s">
        <v>6083</v>
      </c>
      <c r="H382" s="0" t="s">
        <v>5042</v>
      </c>
      <c r="P382" s="0" t="n">
        <f aca="false">LEN(C382)+LEN(D382)+LEN(E382)+LEN(F382)+LEN(G382)+LEN(H382)</f>
        <v>27</v>
      </c>
    </row>
    <row r="383" customFormat="false" ht="15" hidden="false" customHeight="false" outlineLevel="0" collapsed="false">
      <c r="A383" s="0" t="s">
        <v>6084</v>
      </c>
      <c r="B383" s="0" t="n">
        <v>1912</v>
      </c>
      <c r="C383" s="0" t="s">
        <v>6085</v>
      </c>
      <c r="H383" s="0" t="s">
        <v>5969</v>
      </c>
      <c r="P383" s="0" t="n">
        <f aca="false">LEN(C383)+LEN(D383)+LEN(E383)+LEN(F383)+LEN(G383)+LEN(H383)</f>
        <v>25</v>
      </c>
    </row>
    <row r="384" customFormat="false" ht="15" hidden="false" customHeight="false" outlineLevel="0" collapsed="false">
      <c r="I384" s="0" t="n">
        <f aca="false">COUNTIF(I16:I383, "f") + COUNTIF(I16:I383, "a") + COUNTIF(I16:I383, "b") + COUNTIF(I16:I383, "a/b")</f>
        <v>55</v>
      </c>
      <c r="J384" s="0" t="n">
        <f aca="false">COUNTIF(J16:J383, "f") + COUNTIF(J16:J383, "a") + COUNTIF(J16:J383, "b") + COUNTIF(J16:J383, "a/b")</f>
        <v>2</v>
      </c>
      <c r="K384" s="0" t="n">
        <f aca="false">COUNTIF(K16:K383, "f") + COUNTIF(K16:K383, "a") + COUNTIF(K16:K383, "b") + COUNTIF(K16:K383, "a/b")</f>
        <v>0</v>
      </c>
      <c r="L384" s="0" t="n">
        <f aca="false">COUNTIF(L16:L383, "f") + COUNTIF(L16:L383, "a") + COUNTIF(L16:L383, "b") + COUNTIF(L16:L383, "a/b")</f>
        <v>18</v>
      </c>
      <c r="M384" s="0" t="n">
        <f aca="false">COUNTIF(M16:M383, "f") + COUNTIF(M16:M383, "a") + COUNTIF(M16:M383, "b") + COUNTIF(M16:M383, "a/b")</f>
        <v>42</v>
      </c>
      <c r="N384" s="0" t="n">
        <f aca="false">COUNTIF(N16:N383, "f") + COUNTIF(N16:N383, "a") + COUNTIF(N16:N383, "b") + COUNTIF(N16:N383, "a/b")</f>
        <v>30</v>
      </c>
      <c r="O384" s="0" t="n">
        <f aca="false">SUM(O2:O383)</f>
        <v>124</v>
      </c>
      <c r="P384" s="0" t="n">
        <f aca="false">SUM(P2:P383)</f>
        <v>11989</v>
      </c>
    </row>
    <row r="385" customFormat="false" ht="15" hidden="false" customHeight="false" outlineLevel="0" collapsed="false">
      <c r="I385" s="0" t="n">
        <f aca="false">1-(I384/409)</f>
        <v>0.865525672371638</v>
      </c>
      <c r="J385" s="0" t="n">
        <f aca="false">1-(J384/409)</f>
        <v>0.995110024449878</v>
      </c>
      <c r="K385" s="0" t="n">
        <f aca="false">1-(K384/409)</f>
        <v>1</v>
      </c>
      <c r="L385" s="0" t="n">
        <f aca="false">1-(L384/409)</f>
        <v>0.9559902200489</v>
      </c>
      <c r="M385" s="0" t="n">
        <f aca="false">1-(M384/409)</f>
        <v>0.897310513447433</v>
      </c>
      <c r="N385" s="0" t="n">
        <f aca="false">1-(N384/409)</f>
        <v>0.926650366748166</v>
      </c>
      <c r="O385" s="0" t="n">
        <f aca="false">O384/P384</f>
        <v>0.0103428142463925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86"/>
  <sheetViews>
    <sheetView showFormulas="false" showGridLines="true" showRowColHeaders="true" showZeros="true" rightToLeft="false" tabSelected="false" showOutlineSymbols="true" defaultGridColor="true" view="normal" topLeftCell="A46" colorId="64" zoomScale="100" zoomScaleNormal="100" zoomScalePageLayoutView="100" workbookViewId="0">
      <selection pane="topLeft" activeCell="E1" activeCellId="0" sqref="E1"/>
    </sheetView>
  </sheetViews>
  <sheetFormatPr defaultColWidth="8.6796875" defaultRowHeight="15" customHeight="false" zeroHeight="false" outlineLevelRow="0" outlineLevelCol="0"/>
  <cols>
    <col collapsed="false" customWidth="true" hidden="false" outlineLevel="0" max="3" min="3" style="0" width="40.57"/>
    <col collapsed="false" customWidth="true" hidden="false" outlineLevel="0" max="4" min="4" style="0" width="40.71"/>
    <col collapsed="false" customWidth="true" hidden="false" outlineLevel="0" max="11" min="6" style="0" width="46.86"/>
  </cols>
  <sheetData>
    <row r="1" customFormat="false" ht="15" hidden="false" customHeight="false" outlineLevel="0" collapsed="false">
      <c r="A1" s="0" t="s">
        <v>0</v>
      </c>
      <c r="B1" s="0" t="s">
        <v>1</v>
      </c>
      <c r="C1" s="0" t="s">
        <v>9</v>
      </c>
      <c r="D1" s="0" t="s">
        <v>2</v>
      </c>
      <c r="E1" s="0" t="s">
        <v>6086</v>
      </c>
    </row>
    <row r="2" customFormat="false" ht="15" hidden="false" customHeight="false" outlineLevel="0" collapsed="false">
      <c r="A2" s="0" t="s">
        <v>6087</v>
      </c>
      <c r="B2" s="0" t="n">
        <v>1887</v>
      </c>
      <c r="C2" s="0" t="s">
        <v>6088</v>
      </c>
      <c r="D2" s="0" t="s">
        <v>6089</v>
      </c>
      <c r="E2" s="0" t="s">
        <v>23</v>
      </c>
    </row>
    <row r="3" customFormat="false" ht="15" hidden="false" customHeight="false" outlineLevel="0" collapsed="false">
      <c r="A3" s="0" t="s">
        <v>6090</v>
      </c>
      <c r="B3" s="0" t="n">
        <v>1887</v>
      </c>
      <c r="C3" s="0" t="s">
        <v>6091</v>
      </c>
      <c r="D3" s="0" t="s">
        <v>6092</v>
      </c>
      <c r="E3" s="0" t="s">
        <v>23</v>
      </c>
    </row>
    <row r="4" customFormat="false" ht="15" hidden="false" customHeight="false" outlineLevel="0" collapsed="false">
      <c r="A4" s="0" t="s">
        <v>6093</v>
      </c>
      <c r="B4" s="0" t="n">
        <v>1887</v>
      </c>
      <c r="C4" s="0" t="s">
        <v>6094</v>
      </c>
      <c r="D4" s="0" t="s">
        <v>6095</v>
      </c>
      <c r="E4" s="0" t="s">
        <v>23</v>
      </c>
    </row>
    <row r="5" customFormat="false" ht="15" hidden="false" customHeight="false" outlineLevel="0" collapsed="false">
      <c r="A5" s="0" t="s">
        <v>6096</v>
      </c>
      <c r="B5" s="0" t="n">
        <v>1887</v>
      </c>
      <c r="C5" s="0" t="s">
        <v>6097</v>
      </c>
      <c r="D5" s="0" t="s">
        <v>6098</v>
      </c>
      <c r="E5" s="0" t="s">
        <v>23</v>
      </c>
    </row>
    <row r="6" customFormat="false" ht="15" hidden="false" customHeight="false" outlineLevel="0" collapsed="false">
      <c r="A6" s="0" t="s">
        <v>6099</v>
      </c>
      <c r="B6" s="0" t="n">
        <v>1887</v>
      </c>
      <c r="C6" s="0" t="s">
        <v>6100</v>
      </c>
      <c r="D6" s="0" t="s">
        <v>6101</v>
      </c>
      <c r="E6" s="0" t="s">
        <v>23</v>
      </c>
    </row>
    <row r="7" customFormat="false" ht="15" hidden="false" customHeight="false" outlineLevel="0" collapsed="false">
      <c r="A7" s="0" t="s">
        <v>6102</v>
      </c>
      <c r="B7" s="0" t="n">
        <v>1887</v>
      </c>
      <c r="C7" s="0" t="s">
        <v>6103</v>
      </c>
      <c r="D7" s="0" t="s">
        <v>6104</v>
      </c>
      <c r="E7" s="0" t="s">
        <v>23</v>
      </c>
    </row>
    <row r="8" customFormat="false" ht="15" hidden="false" customHeight="false" outlineLevel="0" collapsed="false">
      <c r="A8" s="0" t="s">
        <v>6105</v>
      </c>
      <c r="B8" s="0" t="n">
        <v>1887</v>
      </c>
      <c r="C8" s="0" t="s">
        <v>6106</v>
      </c>
      <c r="D8" s="0" t="s">
        <v>6107</v>
      </c>
      <c r="E8" s="0" t="s">
        <v>23</v>
      </c>
    </row>
    <row r="9" customFormat="false" ht="15" hidden="false" customHeight="false" outlineLevel="0" collapsed="false">
      <c r="A9" s="0" t="s">
        <v>6108</v>
      </c>
      <c r="B9" s="0" t="n">
        <v>1887</v>
      </c>
      <c r="C9" s="0" t="s">
        <v>6109</v>
      </c>
      <c r="D9" s="0" t="s">
        <v>6110</v>
      </c>
      <c r="E9" s="0" t="s">
        <v>23</v>
      </c>
    </row>
    <row r="10" customFormat="false" ht="15" hidden="false" customHeight="false" outlineLevel="0" collapsed="false">
      <c r="A10" s="0" t="s">
        <v>6111</v>
      </c>
      <c r="B10" s="0" t="n">
        <v>1887</v>
      </c>
      <c r="C10" s="0" t="s">
        <v>6112</v>
      </c>
      <c r="D10" s="0" t="s">
        <v>6113</v>
      </c>
      <c r="E10" s="0" t="s">
        <v>23</v>
      </c>
    </row>
    <row r="11" customFormat="false" ht="15" hidden="false" customHeight="false" outlineLevel="0" collapsed="false">
      <c r="A11" s="0" t="s">
        <v>6114</v>
      </c>
      <c r="B11" s="0" t="n">
        <v>1887</v>
      </c>
      <c r="C11" s="0" t="s">
        <v>6115</v>
      </c>
      <c r="D11" s="0" t="s">
        <v>6116</v>
      </c>
      <c r="E11" s="0" t="s">
        <v>23</v>
      </c>
    </row>
    <row r="12" customFormat="false" ht="15" hidden="false" customHeight="false" outlineLevel="0" collapsed="false">
      <c r="A12" s="0" t="s">
        <v>6117</v>
      </c>
      <c r="B12" s="0" t="n">
        <v>1887</v>
      </c>
      <c r="C12" s="0" t="s">
        <v>6118</v>
      </c>
      <c r="D12" s="0" t="s">
        <v>6119</v>
      </c>
      <c r="E12" s="0" t="s">
        <v>23</v>
      </c>
    </row>
    <row r="13" customFormat="false" ht="15" hidden="false" customHeight="false" outlineLevel="0" collapsed="false">
      <c r="A13" s="0" t="s">
        <v>6120</v>
      </c>
      <c r="B13" s="0" t="n">
        <v>1887</v>
      </c>
      <c r="C13" s="0" t="s">
        <v>6121</v>
      </c>
      <c r="D13" s="0" t="s">
        <v>6122</v>
      </c>
      <c r="E13" s="0" t="s">
        <v>23</v>
      </c>
    </row>
    <row r="14" customFormat="false" ht="15" hidden="false" customHeight="false" outlineLevel="0" collapsed="false">
      <c r="A14" s="0" t="s">
        <v>6123</v>
      </c>
      <c r="B14" s="0" t="n">
        <v>1887</v>
      </c>
      <c r="C14" s="0" t="s">
        <v>6124</v>
      </c>
      <c r="D14" s="0" t="s">
        <v>6125</v>
      </c>
      <c r="E14" s="0" t="s">
        <v>23</v>
      </c>
    </row>
    <row r="15" customFormat="false" ht="15" hidden="false" customHeight="false" outlineLevel="0" collapsed="false">
      <c r="A15" s="0" t="s">
        <v>6126</v>
      </c>
      <c r="B15" s="0" t="n">
        <v>1887</v>
      </c>
      <c r="C15" s="0" t="s">
        <v>6115</v>
      </c>
      <c r="D15" s="0" t="s">
        <v>6127</v>
      </c>
      <c r="E15" s="0" t="s">
        <v>23</v>
      </c>
    </row>
    <row r="16" customFormat="false" ht="15" hidden="false" customHeight="false" outlineLevel="0" collapsed="false">
      <c r="A16" s="0" t="s">
        <v>6128</v>
      </c>
      <c r="B16" s="0" t="n">
        <v>1887</v>
      </c>
      <c r="C16" s="0" t="s">
        <v>6129</v>
      </c>
      <c r="D16" s="0" t="s">
        <v>6130</v>
      </c>
      <c r="E16" s="0" t="s">
        <v>23</v>
      </c>
    </row>
    <row r="17" customFormat="false" ht="15" hidden="false" customHeight="false" outlineLevel="0" collapsed="false">
      <c r="A17" s="0" t="s">
        <v>6131</v>
      </c>
      <c r="B17" s="0" t="n">
        <v>1888</v>
      </c>
      <c r="C17" s="0" t="s">
        <v>6132</v>
      </c>
      <c r="D17" s="0" t="s">
        <v>6133</v>
      </c>
      <c r="E17" s="0" t="s">
        <v>23</v>
      </c>
    </row>
    <row r="18" customFormat="false" ht="15" hidden="false" customHeight="false" outlineLevel="0" collapsed="false">
      <c r="A18" s="0" t="s">
        <v>6134</v>
      </c>
      <c r="B18" s="0" t="n">
        <v>1888</v>
      </c>
      <c r="C18" s="0" t="s">
        <v>6135</v>
      </c>
      <c r="D18" s="0" t="s">
        <v>6136</v>
      </c>
      <c r="E18" s="0" t="s">
        <v>23</v>
      </c>
    </row>
    <row r="19" customFormat="false" ht="15" hidden="false" customHeight="false" outlineLevel="0" collapsed="false">
      <c r="A19" s="0" t="s">
        <v>6137</v>
      </c>
      <c r="B19" s="0" t="n">
        <v>1888</v>
      </c>
      <c r="C19" s="0" t="s">
        <v>6138</v>
      </c>
      <c r="D19" s="0" t="s">
        <v>6139</v>
      </c>
      <c r="E19" s="0" t="s">
        <v>69</v>
      </c>
    </row>
    <row r="20" customFormat="false" ht="15" hidden="false" customHeight="false" outlineLevel="0" collapsed="false">
      <c r="A20" s="0" t="s">
        <v>6140</v>
      </c>
      <c r="B20" s="0" t="n">
        <v>1888</v>
      </c>
      <c r="C20" s="0" t="s">
        <v>6141</v>
      </c>
      <c r="D20" s="0" t="s">
        <v>6142</v>
      </c>
      <c r="E20" s="0" t="s">
        <v>29</v>
      </c>
    </row>
    <row r="21" customFormat="false" ht="15" hidden="false" customHeight="false" outlineLevel="0" collapsed="false">
      <c r="A21" s="0" t="s">
        <v>6143</v>
      </c>
      <c r="B21" s="0" t="n">
        <v>1888</v>
      </c>
      <c r="C21" s="0" t="s">
        <v>6144</v>
      </c>
      <c r="D21" s="0" t="s">
        <v>6145</v>
      </c>
      <c r="E21" s="0" t="s">
        <v>23</v>
      </c>
    </row>
    <row r="22" customFormat="false" ht="15" hidden="false" customHeight="false" outlineLevel="0" collapsed="false">
      <c r="A22" s="0" t="s">
        <v>6146</v>
      </c>
      <c r="B22" s="0" t="n">
        <v>1888</v>
      </c>
      <c r="C22" s="0" t="s">
        <v>6147</v>
      </c>
      <c r="D22" s="0" t="s">
        <v>6148</v>
      </c>
      <c r="E22" s="0" t="s">
        <v>23</v>
      </c>
    </row>
    <row r="23" customFormat="false" ht="15" hidden="false" customHeight="false" outlineLevel="0" collapsed="false">
      <c r="A23" s="0" t="s">
        <v>6149</v>
      </c>
      <c r="B23" s="0" t="n">
        <v>1888</v>
      </c>
      <c r="C23" s="0" t="s">
        <v>6150</v>
      </c>
      <c r="D23" s="0" t="s">
        <v>6151</v>
      </c>
      <c r="E23" s="0" t="s">
        <v>29</v>
      </c>
    </row>
    <row r="24" customFormat="false" ht="15" hidden="false" customHeight="false" outlineLevel="0" collapsed="false">
      <c r="A24" s="0" t="s">
        <v>6152</v>
      </c>
      <c r="B24" s="0" t="n">
        <v>1888</v>
      </c>
      <c r="C24" s="0" t="s">
        <v>6153</v>
      </c>
      <c r="D24" s="0" t="s">
        <v>6154</v>
      </c>
      <c r="E24" s="0" t="s">
        <v>23</v>
      </c>
    </row>
    <row r="25" customFormat="false" ht="15" hidden="false" customHeight="false" outlineLevel="0" collapsed="false">
      <c r="A25" s="0" t="s">
        <v>6155</v>
      </c>
      <c r="B25" s="0" t="n">
        <v>1888</v>
      </c>
      <c r="C25" s="0" t="s">
        <v>6156</v>
      </c>
      <c r="D25" s="0" t="s">
        <v>6157</v>
      </c>
      <c r="E25" s="0" t="s">
        <v>23</v>
      </c>
    </row>
    <row r="26" customFormat="false" ht="15" hidden="false" customHeight="false" outlineLevel="0" collapsed="false">
      <c r="A26" s="0" t="s">
        <v>6158</v>
      </c>
      <c r="B26" s="0" t="n">
        <v>1888</v>
      </c>
      <c r="C26" s="0" t="s">
        <v>6159</v>
      </c>
      <c r="D26" s="0" t="s">
        <v>6160</v>
      </c>
      <c r="E26" s="0" t="s">
        <v>23</v>
      </c>
    </row>
    <row r="27" customFormat="false" ht="15" hidden="false" customHeight="false" outlineLevel="0" collapsed="false">
      <c r="A27" s="0" t="s">
        <v>6161</v>
      </c>
      <c r="B27" s="0" t="n">
        <v>1888</v>
      </c>
      <c r="C27" s="0" t="s">
        <v>6162</v>
      </c>
      <c r="D27" s="0" t="s">
        <v>6163</v>
      </c>
      <c r="E27" s="0" t="s">
        <v>23</v>
      </c>
    </row>
    <row r="28" customFormat="false" ht="15" hidden="false" customHeight="false" outlineLevel="0" collapsed="false">
      <c r="A28" s="0" t="s">
        <v>6164</v>
      </c>
      <c r="B28" s="0" t="n">
        <v>1888</v>
      </c>
      <c r="C28" s="0" t="s">
        <v>6165</v>
      </c>
      <c r="D28" s="0" t="s">
        <v>6166</v>
      </c>
      <c r="E28" s="0" t="s">
        <v>23</v>
      </c>
    </row>
    <row r="29" customFormat="false" ht="15" hidden="false" customHeight="false" outlineLevel="0" collapsed="false">
      <c r="A29" s="0" t="s">
        <v>6167</v>
      </c>
      <c r="B29" s="0" t="n">
        <v>1888</v>
      </c>
      <c r="C29" s="0" t="s">
        <v>6168</v>
      </c>
      <c r="D29" s="0" t="s">
        <v>6169</v>
      </c>
      <c r="E29" s="0" t="s">
        <v>23</v>
      </c>
    </row>
    <row r="30" customFormat="false" ht="15" hidden="false" customHeight="false" outlineLevel="0" collapsed="false">
      <c r="A30" s="0" t="s">
        <v>6170</v>
      </c>
      <c r="B30" s="0" t="n">
        <v>1889</v>
      </c>
      <c r="C30" s="0" t="s">
        <v>6171</v>
      </c>
      <c r="D30" s="0" t="s">
        <v>6172</v>
      </c>
      <c r="E30" s="0" t="s">
        <v>23</v>
      </c>
    </row>
    <row r="31" customFormat="false" ht="15" hidden="false" customHeight="false" outlineLevel="0" collapsed="false">
      <c r="A31" s="0" t="s">
        <v>6173</v>
      </c>
      <c r="B31" s="0" t="n">
        <v>1889</v>
      </c>
      <c r="C31" s="0" t="s">
        <v>6174</v>
      </c>
      <c r="D31" s="0" t="s">
        <v>6175</v>
      </c>
      <c r="E31" s="0" t="s">
        <v>23</v>
      </c>
    </row>
    <row r="32" customFormat="false" ht="15" hidden="false" customHeight="false" outlineLevel="0" collapsed="false">
      <c r="A32" s="0" t="s">
        <v>6176</v>
      </c>
      <c r="B32" s="0" t="n">
        <v>1889</v>
      </c>
      <c r="C32" s="0" t="s">
        <v>6177</v>
      </c>
      <c r="D32" s="0" t="s">
        <v>6178</v>
      </c>
      <c r="E32" s="0" t="s">
        <v>69</v>
      </c>
    </row>
    <row r="33" customFormat="false" ht="15" hidden="false" customHeight="false" outlineLevel="0" collapsed="false">
      <c r="A33" s="0" t="s">
        <v>6179</v>
      </c>
      <c r="B33" s="0" t="n">
        <v>1889</v>
      </c>
      <c r="C33" s="0" t="s">
        <v>6180</v>
      </c>
      <c r="D33" s="0" t="s">
        <v>6181</v>
      </c>
      <c r="E33" s="0" t="s">
        <v>23</v>
      </c>
    </row>
    <row r="34" customFormat="false" ht="15" hidden="false" customHeight="false" outlineLevel="0" collapsed="false">
      <c r="A34" s="0" t="s">
        <v>6182</v>
      </c>
      <c r="B34" s="0" t="n">
        <v>1889</v>
      </c>
      <c r="C34" s="0" t="s">
        <v>149</v>
      </c>
      <c r="D34" s="0" t="s">
        <v>6183</v>
      </c>
      <c r="E34" s="0" t="s">
        <v>23</v>
      </c>
    </row>
    <row r="35" customFormat="false" ht="15" hidden="false" customHeight="false" outlineLevel="0" collapsed="false">
      <c r="A35" s="0" t="s">
        <v>6184</v>
      </c>
      <c r="B35" s="0" t="n">
        <v>1889</v>
      </c>
      <c r="C35" s="0" t="s">
        <v>6185</v>
      </c>
      <c r="D35" s="0" t="s">
        <v>6186</v>
      </c>
      <c r="E35" s="0" t="s">
        <v>23</v>
      </c>
    </row>
    <row r="36" customFormat="false" ht="15" hidden="false" customHeight="false" outlineLevel="0" collapsed="false">
      <c r="A36" s="0" t="s">
        <v>6187</v>
      </c>
      <c r="B36" s="0" t="n">
        <v>1889</v>
      </c>
      <c r="C36" s="0" t="s">
        <v>6188</v>
      </c>
      <c r="D36" s="0" t="s">
        <v>6189</v>
      </c>
      <c r="E36" s="0" t="s">
        <v>23</v>
      </c>
    </row>
    <row r="37" customFormat="false" ht="15" hidden="false" customHeight="false" outlineLevel="0" collapsed="false">
      <c r="A37" s="0" t="s">
        <v>6190</v>
      </c>
      <c r="B37" s="0" t="n">
        <v>1889</v>
      </c>
      <c r="C37" s="0" t="s">
        <v>6191</v>
      </c>
      <c r="D37" s="0" t="s">
        <v>6192</v>
      </c>
      <c r="E37" s="0" t="s">
        <v>23</v>
      </c>
    </row>
    <row r="38" customFormat="false" ht="15" hidden="false" customHeight="false" outlineLevel="0" collapsed="false">
      <c r="A38" s="0" t="s">
        <v>6193</v>
      </c>
      <c r="B38" s="0" t="n">
        <v>1889</v>
      </c>
      <c r="C38" s="0" t="s">
        <v>6194</v>
      </c>
      <c r="D38" s="0" t="s">
        <v>6195</v>
      </c>
      <c r="E38" s="0" t="s">
        <v>23</v>
      </c>
    </row>
    <row r="39" customFormat="false" ht="15" hidden="false" customHeight="false" outlineLevel="0" collapsed="false">
      <c r="A39" s="0" t="s">
        <v>6196</v>
      </c>
      <c r="B39" s="0" t="n">
        <v>1889</v>
      </c>
      <c r="C39" s="0" t="s">
        <v>6197</v>
      </c>
      <c r="D39" s="0" t="s">
        <v>6198</v>
      </c>
      <c r="E39" s="0" t="s">
        <v>23</v>
      </c>
    </row>
    <row r="40" customFormat="false" ht="15" hidden="false" customHeight="false" outlineLevel="0" collapsed="false">
      <c r="A40" s="0" t="s">
        <v>6199</v>
      </c>
      <c r="B40" s="0" t="n">
        <v>1891</v>
      </c>
      <c r="C40" s="0" t="s">
        <v>6200</v>
      </c>
      <c r="D40" s="0" t="s">
        <v>6201</v>
      </c>
      <c r="E40" s="0" t="s">
        <v>29</v>
      </c>
    </row>
    <row r="41" customFormat="false" ht="15" hidden="false" customHeight="false" outlineLevel="0" collapsed="false">
      <c r="A41" s="0" t="s">
        <v>6202</v>
      </c>
      <c r="B41" s="0" t="n">
        <v>1891</v>
      </c>
      <c r="C41" s="0" t="s">
        <v>6203</v>
      </c>
      <c r="D41" s="0" t="s">
        <v>6204</v>
      </c>
    </row>
    <row r="42" customFormat="false" ht="15" hidden="false" customHeight="false" outlineLevel="0" collapsed="false">
      <c r="A42" s="0" t="s">
        <v>6205</v>
      </c>
      <c r="B42" s="0" t="n">
        <v>1891</v>
      </c>
      <c r="C42" s="0" t="s">
        <v>6206</v>
      </c>
      <c r="D42" s="0" t="s">
        <v>6207</v>
      </c>
    </row>
    <row r="43" customFormat="false" ht="15" hidden="false" customHeight="false" outlineLevel="0" collapsed="false">
      <c r="A43" s="0" t="s">
        <v>6208</v>
      </c>
      <c r="B43" s="0" t="n">
        <v>1891</v>
      </c>
      <c r="C43" s="0" t="s">
        <v>6209</v>
      </c>
      <c r="D43" s="0" t="s">
        <v>6210</v>
      </c>
    </row>
    <row r="44" customFormat="false" ht="15" hidden="false" customHeight="false" outlineLevel="0" collapsed="false">
      <c r="A44" s="0" t="s">
        <v>6211</v>
      </c>
      <c r="B44" s="0" t="n">
        <v>1891</v>
      </c>
      <c r="C44" s="0" t="s">
        <v>6212</v>
      </c>
      <c r="D44" s="0" t="s">
        <v>6186</v>
      </c>
    </row>
    <row r="45" customFormat="false" ht="15" hidden="false" customHeight="false" outlineLevel="0" collapsed="false">
      <c r="A45" s="0" t="s">
        <v>6213</v>
      </c>
      <c r="B45" s="0" t="n">
        <v>1891</v>
      </c>
      <c r="C45" s="0" t="s">
        <v>6214</v>
      </c>
      <c r="D45" s="0" t="s">
        <v>6215</v>
      </c>
    </row>
    <row r="46" customFormat="false" ht="15" hidden="false" customHeight="false" outlineLevel="0" collapsed="false">
      <c r="A46" s="0" t="s">
        <v>6216</v>
      </c>
      <c r="B46" s="0" t="n">
        <v>1891</v>
      </c>
      <c r="C46" s="0" t="s">
        <v>6217</v>
      </c>
      <c r="D46" s="0" t="s">
        <v>6218</v>
      </c>
    </row>
    <row r="47" customFormat="false" ht="15" hidden="false" customHeight="false" outlineLevel="0" collapsed="false">
      <c r="A47" s="0" t="s">
        <v>6219</v>
      </c>
      <c r="B47" s="0" t="n">
        <v>1891</v>
      </c>
      <c r="C47" s="0" t="s">
        <v>6220</v>
      </c>
      <c r="D47" s="0" t="s">
        <v>6221</v>
      </c>
    </row>
    <row r="48" customFormat="false" ht="15" hidden="false" customHeight="false" outlineLevel="0" collapsed="false">
      <c r="A48" s="0" t="s">
        <v>6222</v>
      </c>
      <c r="B48" s="0" t="n">
        <v>1891</v>
      </c>
      <c r="C48" s="0" t="s">
        <v>6223</v>
      </c>
      <c r="D48" s="0" t="s">
        <v>6224</v>
      </c>
    </row>
    <row r="49" customFormat="false" ht="15" hidden="false" customHeight="false" outlineLevel="0" collapsed="false">
      <c r="A49" s="0" t="s">
        <v>6225</v>
      </c>
      <c r="B49" s="0" t="n">
        <v>1891</v>
      </c>
      <c r="C49" s="0" t="s">
        <v>6226</v>
      </c>
      <c r="D49" s="0" t="s">
        <v>6227</v>
      </c>
    </row>
    <row r="50" customFormat="false" ht="15" hidden="false" customHeight="false" outlineLevel="0" collapsed="false">
      <c r="A50" s="0" t="s">
        <v>6228</v>
      </c>
      <c r="B50" s="0" t="n">
        <v>1891</v>
      </c>
      <c r="C50" s="0" t="s">
        <v>6229</v>
      </c>
      <c r="D50" s="0" t="s">
        <v>6230</v>
      </c>
    </row>
    <row r="51" customFormat="false" ht="15" hidden="false" customHeight="false" outlineLevel="0" collapsed="false">
      <c r="A51" s="0" t="s">
        <v>6231</v>
      </c>
      <c r="B51" s="0" t="n">
        <v>1893</v>
      </c>
      <c r="C51" s="0" t="s">
        <v>6232</v>
      </c>
      <c r="D51" s="0" t="s">
        <v>6233</v>
      </c>
    </row>
    <row r="52" customFormat="false" ht="15" hidden="false" customHeight="false" outlineLevel="0" collapsed="false">
      <c r="A52" s="0" t="s">
        <v>6234</v>
      </c>
      <c r="B52" s="0" t="n">
        <v>1893</v>
      </c>
      <c r="C52" s="0" t="s">
        <v>6235</v>
      </c>
      <c r="D52" s="0" t="s">
        <v>6236</v>
      </c>
    </row>
    <row r="53" customFormat="false" ht="15" hidden="false" customHeight="false" outlineLevel="0" collapsed="false">
      <c r="A53" s="0" t="s">
        <v>6237</v>
      </c>
      <c r="B53" s="0" t="n">
        <v>1893</v>
      </c>
      <c r="C53" s="0" t="s">
        <v>6238</v>
      </c>
      <c r="D53" s="0" t="s">
        <v>6239</v>
      </c>
    </row>
    <row r="54" customFormat="false" ht="15" hidden="false" customHeight="false" outlineLevel="0" collapsed="false">
      <c r="A54" s="0" t="s">
        <v>6240</v>
      </c>
      <c r="B54" s="0" t="n">
        <v>1893</v>
      </c>
      <c r="C54" s="0" t="s">
        <v>6241</v>
      </c>
      <c r="D54" s="0" t="s">
        <v>6242</v>
      </c>
    </row>
    <row r="55" customFormat="false" ht="15" hidden="false" customHeight="false" outlineLevel="0" collapsed="false">
      <c r="A55" s="0" t="s">
        <v>6243</v>
      </c>
      <c r="B55" s="0" t="n">
        <v>1893</v>
      </c>
      <c r="C55" s="0" t="s">
        <v>6244</v>
      </c>
      <c r="D55" s="0" t="s">
        <v>6245</v>
      </c>
    </row>
    <row r="56" customFormat="false" ht="15" hidden="false" customHeight="false" outlineLevel="0" collapsed="false">
      <c r="A56" s="0" t="s">
        <v>6246</v>
      </c>
      <c r="B56" s="0" t="n">
        <v>1893</v>
      </c>
      <c r="C56" s="0" t="s">
        <v>6247</v>
      </c>
      <c r="D56" s="0" t="s">
        <v>6248</v>
      </c>
    </row>
    <row r="57" customFormat="false" ht="15" hidden="false" customHeight="false" outlineLevel="0" collapsed="false">
      <c r="A57" s="0" t="s">
        <v>6249</v>
      </c>
      <c r="B57" s="0" t="n">
        <v>1893</v>
      </c>
      <c r="C57" s="0" t="s">
        <v>6250</v>
      </c>
      <c r="D57" s="0" t="s">
        <v>6251</v>
      </c>
    </row>
    <row r="58" customFormat="false" ht="15" hidden="false" customHeight="false" outlineLevel="0" collapsed="false">
      <c r="A58" s="0" t="s">
        <v>6252</v>
      </c>
      <c r="B58" s="0" t="n">
        <v>1893</v>
      </c>
      <c r="C58" s="0" t="s">
        <v>6253</v>
      </c>
      <c r="D58" s="0" t="s">
        <v>6254</v>
      </c>
    </row>
    <row r="59" customFormat="false" ht="15" hidden="false" customHeight="false" outlineLevel="0" collapsed="false">
      <c r="A59" s="0" t="s">
        <v>6255</v>
      </c>
      <c r="B59" s="0" t="n">
        <v>1893</v>
      </c>
      <c r="C59" s="0" t="s">
        <v>6256</v>
      </c>
      <c r="D59" s="0" t="s">
        <v>6257</v>
      </c>
    </row>
    <row r="60" customFormat="false" ht="15" hidden="false" customHeight="false" outlineLevel="0" collapsed="false">
      <c r="A60" s="0" t="s">
        <v>6258</v>
      </c>
      <c r="B60" s="0" t="n">
        <v>1893</v>
      </c>
      <c r="C60" s="0" t="s">
        <v>6259</v>
      </c>
      <c r="D60" s="0" t="s">
        <v>6260</v>
      </c>
    </row>
    <row r="61" customFormat="false" ht="15" hidden="false" customHeight="false" outlineLevel="0" collapsed="false">
      <c r="A61" s="0" t="s">
        <v>6261</v>
      </c>
      <c r="B61" s="0" t="n">
        <v>1893</v>
      </c>
      <c r="C61" s="0" t="s">
        <v>6262</v>
      </c>
      <c r="D61" s="0" t="s">
        <v>6263</v>
      </c>
    </row>
    <row r="62" customFormat="false" ht="15" hidden="false" customHeight="false" outlineLevel="0" collapsed="false">
      <c r="A62" s="0" t="s">
        <v>6264</v>
      </c>
      <c r="B62" s="0" t="n">
        <v>1894</v>
      </c>
      <c r="C62" s="0" t="s">
        <v>6265</v>
      </c>
      <c r="D62" s="0" t="s">
        <v>6266</v>
      </c>
    </row>
    <row r="63" customFormat="false" ht="15" hidden="false" customHeight="false" outlineLevel="0" collapsed="false">
      <c r="A63" s="0" t="s">
        <v>6267</v>
      </c>
      <c r="B63" s="0" t="n">
        <v>1894</v>
      </c>
      <c r="C63" s="0" t="s">
        <v>6268</v>
      </c>
      <c r="D63" s="0" t="s">
        <v>6269</v>
      </c>
    </row>
    <row r="64" customFormat="false" ht="15" hidden="false" customHeight="false" outlineLevel="0" collapsed="false">
      <c r="A64" s="0" t="s">
        <v>6270</v>
      </c>
      <c r="B64" s="0" t="n">
        <v>1894</v>
      </c>
      <c r="C64" s="0" t="s">
        <v>6271</v>
      </c>
      <c r="D64" s="0" t="s">
        <v>6272</v>
      </c>
    </row>
    <row r="65" customFormat="false" ht="15" hidden="false" customHeight="false" outlineLevel="0" collapsed="false">
      <c r="A65" s="0" t="s">
        <v>6273</v>
      </c>
      <c r="B65" s="0" t="n">
        <v>1894</v>
      </c>
      <c r="C65" s="0" t="s">
        <v>6274</v>
      </c>
      <c r="D65" s="0" t="s">
        <v>6275</v>
      </c>
    </row>
    <row r="66" customFormat="false" ht="15" hidden="false" customHeight="false" outlineLevel="0" collapsed="false">
      <c r="A66" s="0" t="s">
        <v>6276</v>
      </c>
      <c r="B66" s="0" t="n">
        <v>1894</v>
      </c>
      <c r="C66" s="0" t="s">
        <v>6277</v>
      </c>
      <c r="D66" s="0" t="s">
        <v>6278</v>
      </c>
    </row>
    <row r="67" customFormat="false" ht="15" hidden="false" customHeight="false" outlineLevel="0" collapsed="false">
      <c r="A67" s="0" t="s">
        <v>6279</v>
      </c>
      <c r="B67" s="0" t="n">
        <v>1895</v>
      </c>
      <c r="C67" s="0" t="s">
        <v>6280</v>
      </c>
      <c r="D67" s="0" t="s">
        <v>6281</v>
      </c>
    </row>
    <row r="68" customFormat="false" ht="15" hidden="false" customHeight="false" outlineLevel="0" collapsed="false">
      <c r="A68" s="0" t="s">
        <v>6282</v>
      </c>
      <c r="B68" s="0" t="n">
        <v>1895</v>
      </c>
      <c r="C68" s="0" t="s">
        <v>6283</v>
      </c>
      <c r="D68" s="0" t="s">
        <v>6284</v>
      </c>
    </row>
    <row r="69" customFormat="false" ht="15" hidden="false" customHeight="false" outlineLevel="0" collapsed="false">
      <c r="A69" s="0" t="s">
        <v>6285</v>
      </c>
      <c r="B69" s="0" t="n">
        <v>1895</v>
      </c>
      <c r="C69" s="0" t="s">
        <v>6286</v>
      </c>
      <c r="D69" s="0" t="s">
        <v>6287</v>
      </c>
    </row>
    <row r="70" customFormat="false" ht="15" hidden="false" customHeight="false" outlineLevel="0" collapsed="false">
      <c r="A70" s="0" t="s">
        <v>6288</v>
      </c>
      <c r="B70" s="0" t="n">
        <v>1895</v>
      </c>
      <c r="C70" s="0" t="s">
        <v>6289</v>
      </c>
      <c r="D70" s="0" t="s">
        <v>6290</v>
      </c>
    </row>
    <row r="71" customFormat="false" ht="15" hidden="false" customHeight="false" outlineLevel="0" collapsed="false">
      <c r="A71" s="0" t="s">
        <v>6291</v>
      </c>
      <c r="B71" s="0" t="n">
        <v>1895</v>
      </c>
      <c r="C71" s="0" t="s">
        <v>6292</v>
      </c>
      <c r="D71" s="0" t="s">
        <v>6293</v>
      </c>
    </row>
    <row r="72" customFormat="false" ht="15" hidden="false" customHeight="false" outlineLevel="0" collapsed="false">
      <c r="A72" s="0" t="s">
        <v>6294</v>
      </c>
      <c r="B72" s="0" t="n">
        <v>1895</v>
      </c>
      <c r="C72" s="0" t="s">
        <v>6295</v>
      </c>
      <c r="D72" s="0" t="s">
        <v>6296</v>
      </c>
    </row>
    <row r="73" customFormat="false" ht="15" hidden="false" customHeight="false" outlineLevel="0" collapsed="false">
      <c r="A73" s="0" t="s">
        <v>6297</v>
      </c>
      <c r="B73" s="0" t="n">
        <v>1895</v>
      </c>
      <c r="C73" s="0" t="s">
        <v>6298</v>
      </c>
      <c r="D73" s="0" t="s">
        <v>6299</v>
      </c>
    </row>
    <row r="74" customFormat="false" ht="15" hidden="false" customHeight="false" outlineLevel="0" collapsed="false">
      <c r="A74" s="0" t="s">
        <v>6300</v>
      </c>
      <c r="B74" s="0" t="n">
        <v>1895</v>
      </c>
      <c r="C74" s="0" t="s">
        <v>6301</v>
      </c>
      <c r="D74" s="0" t="s">
        <v>6302</v>
      </c>
    </row>
    <row r="75" customFormat="false" ht="15" hidden="false" customHeight="false" outlineLevel="0" collapsed="false">
      <c r="A75" s="0" t="s">
        <v>6303</v>
      </c>
      <c r="B75" s="0" t="n">
        <v>1895</v>
      </c>
      <c r="C75" s="0" t="s">
        <v>6304</v>
      </c>
      <c r="D75" s="0" t="s">
        <v>6305</v>
      </c>
    </row>
    <row r="76" customFormat="false" ht="15" hidden="false" customHeight="false" outlineLevel="0" collapsed="false">
      <c r="A76" s="0" t="s">
        <v>6306</v>
      </c>
      <c r="B76" s="0" t="n">
        <v>1895</v>
      </c>
      <c r="C76" s="0" t="s">
        <v>6307</v>
      </c>
      <c r="D76" s="0" t="s">
        <v>6308</v>
      </c>
    </row>
    <row r="77" customFormat="false" ht="15" hidden="false" customHeight="false" outlineLevel="0" collapsed="false">
      <c r="A77" s="0" t="s">
        <v>6309</v>
      </c>
      <c r="B77" s="0" t="n">
        <v>1895</v>
      </c>
      <c r="C77" s="0" t="s">
        <v>6310</v>
      </c>
      <c r="D77" s="0" t="s">
        <v>6311</v>
      </c>
    </row>
    <row r="78" customFormat="false" ht="15" hidden="false" customHeight="false" outlineLevel="0" collapsed="false">
      <c r="A78" s="0" t="s">
        <v>6312</v>
      </c>
      <c r="B78" s="0" t="n">
        <v>1895</v>
      </c>
      <c r="C78" s="0" t="s">
        <v>6313</v>
      </c>
      <c r="D78" s="0" t="s">
        <v>6314</v>
      </c>
    </row>
    <row r="79" customFormat="false" ht="15" hidden="false" customHeight="false" outlineLevel="0" collapsed="false">
      <c r="A79" s="0" t="s">
        <v>6315</v>
      </c>
      <c r="B79" s="0" t="n">
        <v>1895</v>
      </c>
      <c r="C79" s="0" t="s">
        <v>6316</v>
      </c>
      <c r="D79" s="0" t="s">
        <v>6317</v>
      </c>
    </row>
    <row r="80" customFormat="false" ht="15" hidden="false" customHeight="false" outlineLevel="0" collapsed="false">
      <c r="A80" s="0" t="s">
        <v>6318</v>
      </c>
      <c r="B80" s="0" t="n">
        <v>1895</v>
      </c>
      <c r="C80" s="0" t="s">
        <v>6319</v>
      </c>
      <c r="D80" s="0" t="s">
        <v>6320</v>
      </c>
    </row>
    <row r="81" customFormat="false" ht="15" hidden="false" customHeight="false" outlineLevel="0" collapsed="false">
      <c r="A81" s="0" t="s">
        <v>6321</v>
      </c>
      <c r="B81" s="0" t="n">
        <v>1895</v>
      </c>
      <c r="C81" s="0" t="s">
        <v>6322</v>
      </c>
      <c r="D81" s="0" t="s">
        <v>6323</v>
      </c>
    </row>
    <row r="82" customFormat="false" ht="15" hidden="false" customHeight="false" outlineLevel="0" collapsed="false">
      <c r="A82" s="0" t="s">
        <v>6324</v>
      </c>
      <c r="B82" s="0" t="n">
        <v>1895</v>
      </c>
      <c r="C82" s="0" t="s">
        <v>6325</v>
      </c>
      <c r="D82" s="0" t="s">
        <v>6326</v>
      </c>
    </row>
    <row r="83" customFormat="false" ht="15" hidden="false" customHeight="false" outlineLevel="0" collapsed="false">
      <c r="A83" s="0" t="s">
        <v>6327</v>
      </c>
      <c r="B83" s="0" t="n">
        <v>1895</v>
      </c>
      <c r="C83" s="0" t="s">
        <v>6328</v>
      </c>
      <c r="D83" s="0" t="s">
        <v>6329</v>
      </c>
    </row>
    <row r="84" customFormat="false" ht="15" hidden="false" customHeight="false" outlineLevel="0" collapsed="false">
      <c r="A84" s="0" t="s">
        <v>6330</v>
      </c>
      <c r="B84" s="0" t="n">
        <v>1895</v>
      </c>
      <c r="C84" s="0" t="s">
        <v>6331</v>
      </c>
      <c r="D84" s="0" t="s">
        <v>6332</v>
      </c>
    </row>
    <row r="85" customFormat="false" ht="15" hidden="false" customHeight="false" outlineLevel="0" collapsed="false">
      <c r="A85" s="0" t="s">
        <v>6333</v>
      </c>
      <c r="B85" s="0" t="n">
        <v>1895</v>
      </c>
      <c r="C85" s="0" t="s">
        <v>6334</v>
      </c>
      <c r="D85" s="0" t="s">
        <v>6335</v>
      </c>
    </row>
    <row r="86" customFormat="false" ht="15" hidden="false" customHeight="false" outlineLevel="0" collapsed="false">
      <c r="A86" s="0" t="s">
        <v>6336</v>
      </c>
      <c r="B86" s="0" t="n">
        <v>1895</v>
      </c>
      <c r="C86" s="0" t="s">
        <v>6337</v>
      </c>
      <c r="D86" s="0" t="s">
        <v>6338</v>
      </c>
    </row>
    <row r="87" customFormat="false" ht="15" hidden="false" customHeight="false" outlineLevel="0" collapsed="false">
      <c r="A87" s="0" t="s">
        <v>6339</v>
      </c>
      <c r="B87" s="0" t="n">
        <v>1895</v>
      </c>
      <c r="C87" s="0" t="s">
        <v>6340</v>
      </c>
      <c r="D87" s="0" t="s">
        <v>6341</v>
      </c>
    </row>
    <row r="88" customFormat="false" ht="15" hidden="false" customHeight="false" outlineLevel="0" collapsed="false">
      <c r="A88" s="0" t="s">
        <v>6342</v>
      </c>
      <c r="B88" s="0" t="n">
        <v>1903</v>
      </c>
      <c r="C88" s="0" t="s">
        <v>6343</v>
      </c>
      <c r="D88" s="0" t="s">
        <v>6344</v>
      </c>
    </row>
    <row r="89" customFormat="false" ht="15" hidden="false" customHeight="false" outlineLevel="0" collapsed="false">
      <c r="A89" s="0" t="s">
        <v>6345</v>
      </c>
      <c r="B89" s="0" t="n">
        <v>1903</v>
      </c>
      <c r="C89" s="0" t="s">
        <v>6346</v>
      </c>
      <c r="D89" s="0" t="s">
        <v>6347</v>
      </c>
    </row>
    <row r="90" customFormat="false" ht="15" hidden="false" customHeight="false" outlineLevel="0" collapsed="false">
      <c r="A90" s="0" t="s">
        <v>6348</v>
      </c>
      <c r="B90" s="0" t="n">
        <v>1903</v>
      </c>
      <c r="C90" s="0" t="s">
        <v>6349</v>
      </c>
      <c r="D90" s="0" t="s">
        <v>6350</v>
      </c>
    </row>
    <row r="91" customFormat="false" ht="15" hidden="false" customHeight="false" outlineLevel="0" collapsed="false">
      <c r="A91" s="0" t="s">
        <v>6351</v>
      </c>
      <c r="B91" s="0" t="n">
        <v>1903</v>
      </c>
      <c r="C91" s="0" t="s">
        <v>6352</v>
      </c>
      <c r="D91" s="0" t="s">
        <v>6353</v>
      </c>
    </row>
    <row r="92" customFormat="false" ht="15" hidden="false" customHeight="false" outlineLevel="0" collapsed="false">
      <c r="A92" s="0" t="s">
        <v>6354</v>
      </c>
      <c r="B92" s="0" t="n">
        <v>1908</v>
      </c>
      <c r="C92" s="0" t="s">
        <v>6355</v>
      </c>
      <c r="D92" s="0" t="s">
        <v>6356</v>
      </c>
    </row>
    <row r="93" customFormat="false" ht="15" hidden="false" customHeight="false" outlineLevel="0" collapsed="false">
      <c r="A93" s="0" t="s">
        <v>6357</v>
      </c>
      <c r="B93" s="0" t="n">
        <v>1908</v>
      </c>
      <c r="C93" s="0" t="s">
        <v>6358</v>
      </c>
      <c r="D93" s="0" t="s">
        <v>6359</v>
      </c>
    </row>
    <row r="94" customFormat="false" ht="15" hidden="false" customHeight="false" outlineLevel="0" collapsed="false">
      <c r="A94" s="0" t="s">
        <v>6360</v>
      </c>
      <c r="B94" s="0" t="n">
        <v>1908</v>
      </c>
      <c r="C94" s="0" t="s">
        <v>6361</v>
      </c>
      <c r="D94" s="0" t="s">
        <v>6362</v>
      </c>
    </row>
    <row r="95" customFormat="false" ht="15" hidden="false" customHeight="false" outlineLevel="0" collapsed="false">
      <c r="A95" s="0" t="s">
        <v>6363</v>
      </c>
      <c r="B95" s="0" t="n">
        <v>1908</v>
      </c>
      <c r="C95" s="0" t="s">
        <v>6364</v>
      </c>
      <c r="D95" s="0" t="s">
        <v>6365</v>
      </c>
    </row>
    <row r="96" customFormat="false" ht="15" hidden="false" customHeight="false" outlineLevel="0" collapsed="false">
      <c r="A96" s="0" t="s">
        <v>6366</v>
      </c>
      <c r="B96" s="0" t="n">
        <v>1908</v>
      </c>
      <c r="C96" s="0" t="s">
        <v>6367</v>
      </c>
      <c r="D96" s="0" t="s">
        <v>6368</v>
      </c>
    </row>
    <row r="97" customFormat="false" ht="15" hidden="false" customHeight="false" outlineLevel="0" collapsed="false">
      <c r="A97" s="0" t="s">
        <v>6369</v>
      </c>
      <c r="B97" s="0" t="n">
        <v>1908</v>
      </c>
      <c r="C97" s="0" t="s">
        <v>6370</v>
      </c>
      <c r="D97" s="0" t="s">
        <v>6371</v>
      </c>
    </row>
    <row r="98" customFormat="false" ht="15" hidden="false" customHeight="false" outlineLevel="0" collapsed="false">
      <c r="A98" s="0" t="s">
        <v>6372</v>
      </c>
      <c r="B98" s="0" t="n">
        <v>1908</v>
      </c>
      <c r="C98" s="0" t="s">
        <v>6373</v>
      </c>
      <c r="D98" s="0" t="s">
        <v>6374</v>
      </c>
    </row>
    <row r="99" customFormat="false" ht="15" hidden="false" customHeight="false" outlineLevel="0" collapsed="false">
      <c r="A99" s="0" t="s">
        <v>6375</v>
      </c>
      <c r="B99" s="0" t="n">
        <v>1908</v>
      </c>
      <c r="C99" s="0" t="s">
        <v>6376</v>
      </c>
      <c r="D99" s="0" t="s">
        <v>6377</v>
      </c>
    </row>
    <row r="100" customFormat="false" ht="15" hidden="false" customHeight="false" outlineLevel="0" collapsed="false">
      <c r="A100" s="0" t="s">
        <v>6378</v>
      </c>
      <c r="B100" s="0" t="n">
        <v>1908</v>
      </c>
      <c r="C100" s="0" t="s">
        <v>6379</v>
      </c>
      <c r="D100" s="0" t="s">
        <v>6380</v>
      </c>
    </row>
    <row r="101" customFormat="false" ht="15" hidden="false" customHeight="false" outlineLevel="0" collapsed="false">
      <c r="A101" s="0" t="s">
        <v>6381</v>
      </c>
      <c r="B101" s="0" t="n">
        <v>1908</v>
      </c>
      <c r="C101" s="0" t="s">
        <v>6382</v>
      </c>
      <c r="D101" s="0" t="s">
        <v>6383</v>
      </c>
    </row>
    <row r="102" customFormat="false" ht="15" hidden="false" customHeight="false" outlineLevel="0" collapsed="false">
      <c r="A102" s="0" t="s">
        <v>6384</v>
      </c>
      <c r="B102" s="0" t="n">
        <v>1908</v>
      </c>
      <c r="C102" s="0" t="s">
        <v>6385</v>
      </c>
      <c r="D102" s="0" t="s">
        <v>6386</v>
      </c>
    </row>
    <row r="103" customFormat="false" ht="15" hidden="false" customHeight="false" outlineLevel="0" collapsed="false">
      <c r="A103" s="0" t="s">
        <v>6387</v>
      </c>
      <c r="B103" s="0" t="n">
        <v>1908</v>
      </c>
      <c r="C103" s="0" t="s">
        <v>6388</v>
      </c>
      <c r="D103" s="0" t="s">
        <v>6389</v>
      </c>
    </row>
    <row r="104" customFormat="false" ht="15" hidden="false" customHeight="false" outlineLevel="0" collapsed="false">
      <c r="A104" s="0" t="s">
        <v>6390</v>
      </c>
      <c r="B104" s="0" t="n">
        <v>1908</v>
      </c>
      <c r="C104" s="0" t="s">
        <v>6391</v>
      </c>
      <c r="D104" s="0" t="s">
        <v>6392</v>
      </c>
    </row>
    <row r="105" customFormat="false" ht="15" hidden="false" customHeight="false" outlineLevel="0" collapsed="false">
      <c r="A105" s="0" t="s">
        <v>6393</v>
      </c>
      <c r="B105" s="0" t="n">
        <v>1908</v>
      </c>
      <c r="C105" s="0" t="s">
        <v>6394</v>
      </c>
      <c r="D105" s="0" t="s">
        <v>6395</v>
      </c>
    </row>
    <row r="106" customFormat="false" ht="15" hidden="false" customHeight="false" outlineLevel="0" collapsed="false">
      <c r="A106" s="0" t="s">
        <v>6396</v>
      </c>
      <c r="B106" s="0" t="n">
        <v>1908</v>
      </c>
      <c r="C106" s="0" t="s">
        <v>6397</v>
      </c>
      <c r="D106" s="0" t="s">
        <v>6398</v>
      </c>
    </row>
    <row r="107" customFormat="false" ht="15" hidden="false" customHeight="false" outlineLevel="0" collapsed="false">
      <c r="A107" s="0" t="s">
        <v>6399</v>
      </c>
      <c r="B107" s="0" t="n">
        <v>1908</v>
      </c>
      <c r="C107" s="0" t="s">
        <v>6400</v>
      </c>
      <c r="D107" s="0" t="s">
        <v>6401</v>
      </c>
    </row>
    <row r="108" customFormat="false" ht="15" hidden="false" customHeight="false" outlineLevel="0" collapsed="false">
      <c r="A108" s="0" t="s">
        <v>6402</v>
      </c>
      <c r="B108" s="0" t="n">
        <v>1908</v>
      </c>
      <c r="C108" s="0" t="s">
        <v>6403</v>
      </c>
      <c r="D108" s="0" t="s">
        <v>6404</v>
      </c>
    </row>
    <row r="109" customFormat="false" ht="15" hidden="false" customHeight="false" outlineLevel="0" collapsed="false">
      <c r="A109" s="0" t="s">
        <v>6405</v>
      </c>
      <c r="B109" s="0" t="n">
        <v>1908</v>
      </c>
      <c r="C109" s="0" t="s">
        <v>6406</v>
      </c>
      <c r="D109" s="0" t="s">
        <v>6407</v>
      </c>
    </row>
    <row r="110" customFormat="false" ht="15" hidden="false" customHeight="false" outlineLevel="0" collapsed="false">
      <c r="A110" s="0" t="s">
        <v>6408</v>
      </c>
      <c r="B110" s="0" t="n">
        <v>1908</v>
      </c>
      <c r="C110" s="0" t="s">
        <v>6409</v>
      </c>
      <c r="D110" s="0" t="s">
        <v>6410</v>
      </c>
    </row>
    <row r="111" customFormat="false" ht="15" hidden="false" customHeight="false" outlineLevel="0" collapsed="false">
      <c r="A111" s="0" t="s">
        <v>6411</v>
      </c>
      <c r="B111" s="0" t="n">
        <v>1908</v>
      </c>
      <c r="C111" s="0" t="s">
        <v>6412</v>
      </c>
      <c r="D111" s="0" t="s">
        <v>6413</v>
      </c>
    </row>
    <row r="112" customFormat="false" ht="15" hidden="false" customHeight="false" outlineLevel="0" collapsed="false">
      <c r="A112" s="0" t="s">
        <v>6414</v>
      </c>
      <c r="B112" s="0" t="n">
        <v>1908</v>
      </c>
      <c r="C112" s="0" t="s">
        <v>6415</v>
      </c>
      <c r="D112" s="0" t="s">
        <v>6416</v>
      </c>
    </row>
    <row r="113" customFormat="false" ht="15" hidden="false" customHeight="false" outlineLevel="0" collapsed="false">
      <c r="A113" s="0" t="s">
        <v>6417</v>
      </c>
      <c r="B113" s="0" t="n">
        <v>1908</v>
      </c>
      <c r="C113" s="0" t="s">
        <v>6418</v>
      </c>
      <c r="D113" s="0" t="s">
        <v>6419</v>
      </c>
    </row>
    <row r="114" customFormat="false" ht="15" hidden="false" customHeight="false" outlineLevel="0" collapsed="false">
      <c r="A114" s="0" t="s">
        <v>6420</v>
      </c>
      <c r="B114" s="0" t="n">
        <v>1908</v>
      </c>
      <c r="C114" s="0" t="s">
        <v>6421</v>
      </c>
      <c r="D114" s="0" t="s">
        <v>6236</v>
      </c>
    </row>
    <row r="115" customFormat="false" ht="15" hidden="false" customHeight="false" outlineLevel="0" collapsed="false">
      <c r="A115" s="0" t="s">
        <v>6422</v>
      </c>
      <c r="B115" s="0" t="n">
        <v>1908</v>
      </c>
      <c r="C115" s="0" t="s">
        <v>6423</v>
      </c>
      <c r="D115" s="0" t="s">
        <v>6424</v>
      </c>
    </row>
    <row r="116" customFormat="false" ht="15" hidden="false" customHeight="false" outlineLevel="0" collapsed="false">
      <c r="A116" s="0" t="s">
        <v>6425</v>
      </c>
      <c r="B116" s="0" t="n">
        <v>1908</v>
      </c>
      <c r="C116" s="0" t="s">
        <v>6426</v>
      </c>
      <c r="D116" s="0" t="s">
        <v>6427</v>
      </c>
    </row>
    <row r="117" customFormat="false" ht="15" hidden="false" customHeight="false" outlineLevel="0" collapsed="false">
      <c r="A117" s="0" t="s">
        <v>6428</v>
      </c>
      <c r="B117" s="0" t="n">
        <v>1909</v>
      </c>
      <c r="C117" s="0" t="s">
        <v>6429</v>
      </c>
      <c r="D117" s="0" t="s">
        <v>6430</v>
      </c>
    </row>
    <row r="118" customFormat="false" ht="15" hidden="false" customHeight="false" outlineLevel="0" collapsed="false">
      <c r="A118" s="0" t="s">
        <v>6431</v>
      </c>
      <c r="B118" s="0" t="n">
        <v>1909</v>
      </c>
      <c r="C118" s="0" t="s">
        <v>6432</v>
      </c>
      <c r="D118" s="0" t="s">
        <v>6163</v>
      </c>
    </row>
    <row r="119" customFormat="false" ht="15" hidden="false" customHeight="false" outlineLevel="0" collapsed="false">
      <c r="A119" s="0" t="s">
        <v>6433</v>
      </c>
      <c r="B119" s="0" t="n">
        <v>1909</v>
      </c>
      <c r="C119" s="0" t="s">
        <v>6434</v>
      </c>
      <c r="D119" s="0" t="s">
        <v>6435</v>
      </c>
    </row>
    <row r="120" customFormat="false" ht="15" hidden="false" customHeight="false" outlineLevel="0" collapsed="false">
      <c r="A120" s="0" t="s">
        <v>6436</v>
      </c>
      <c r="B120" s="0" t="n">
        <v>1909</v>
      </c>
      <c r="C120" s="0" t="s">
        <v>6437</v>
      </c>
      <c r="D120" s="0" t="s">
        <v>6438</v>
      </c>
    </row>
    <row r="121" customFormat="false" ht="15" hidden="false" customHeight="false" outlineLevel="0" collapsed="false">
      <c r="A121" s="0" t="s">
        <v>6439</v>
      </c>
      <c r="B121" s="0" t="n">
        <v>1909</v>
      </c>
      <c r="C121" s="0" t="s">
        <v>6440</v>
      </c>
      <c r="D121" s="0" t="s">
        <v>6441</v>
      </c>
    </row>
    <row r="122" customFormat="false" ht="15" hidden="false" customHeight="false" outlineLevel="0" collapsed="false">
      <c r="A122" s="0" t="s">
        <v>6442</v>
      </c>
      <c r="B122" s="0" t="n">
        <v>1909</v>
      </c>
      <c r="C122" s="0" t="s">
        <v>6443</v>
      </c>
      <c r="D122" s="0" t="s">
        <v>6251</v>
      </c>
    </row>
    <row r="123" customFormat="false" ht="15" hidden="false" customHeight="false" outlineLevel="0" collapsed="false">
      <c r="A123" s="0" t="s">
        <v>6444</v>
      </c>
      <c r="B123" s="0" t="n">
        <v>1909</v>
      </c>
      <c r="C123" s="0" t="s">
        <v>6445</v>
      </c>
      <c r="D123" s="0" t="s">
        <v>6446</v>
      </c>
    </row>
    <row r="124" customFormat="false" ht="15" hidden="false" customHeight="false" outlineLevel="0" collapsed="false">
      <c r="A124" s="0" t="s">
        <v>6447</v>
      </c>
      <c r="B124" s="0" t="n">
        <v>1909</v>
      </c>
      <c r="C124" s="0" t="s">
        <v>6448</v>
      </c>
      <c r="D124" s="0" t="s">
        <v>6449</v>
      </c>
    </row>
    <row r="125" customFormat="false" ht="15" hidden="false" customHeight="false" outlineLevel="0" collapsed="false">
      <c r="A125" s="0" t="s">
        <v>6450</v>
      </c>
      <c r="B125" s="0" t="n">
        <v>1909</v>
      </c>
      <c r="C125" s="0" t="s">
        <v>6451</v>
      </c>
      <c r="D125" s="0" t="s">
        <v>6452</v>
      </c>
    </row>
    <row r="126" customFormat="false" ht="15" hidden="false" customHeight="false" outlineLevel="0" collapsed="false">
      <c r="A126" s="0" t="s">
        <v>6453</v>
      </c>
      <c r="B126" s="0" t="n">
        <v>1909</v>
      </c>
      <c r="C126" s="0" t="s">
        <v>6454</v>
      </c>
      <c r="D126" s="0" t="s">
        <v>6305</v>
      </c>
    </row>
    <row r="127" customFormat="false" ht="15" hidden="false" customHeight="false" outlineLevel="0" collapsed="false">
      <c r="A127" s="0" t="s">
        <v>6455</v>
      </c>
      <c r="B127" s="0" t="n">
        <v>1909</v>
      </c>
      <c r="C127" s="0" t="s">
        <v>6456</v>
      </c>
      <c r="D127" s="0" t="s">
        <v>6457</v>
      </c>
    </row>
    <row r="128" customFormat="false" ht="15" hidden="false" customHeight="false" outlineLevel="0" collapsed="false">
      <c r="A128" s="0" t="s">
        <v>6458</v>
      </c>
      <c r="B128" s="0" t="n">
        <v>1909</v>
      </c>
      <c r="C128" s="0" t="s">
        <v>6459</v>
      </c>
      <c r="D128" s="0" t="s">
        <v>6460</v>
      </c>
    </row>
    <row r="129" customFormat="false" ht="15" hidden="false" customHeight="false" outlineLevel="0" collapsed="false">
      <c r="A129" s="0" t="s">
        <v>6461</v>
      </c>
      <c r="B129" s="0" t="n">
        <v>1909</v>
      </c>
      <c r="C129" s="0" t="s">
        <v>6462</v>
      </c>
      <c r="D129" s="0" t="s">
        <v>6407</v>
      </c>
    </row>
    <row r="130" customFormat="false" ht="15" hidden="false" customHeight="false" outlineLevel="0" collapsed="false">
      <c r="A130" s="0" t="s">
        <v>6463</v>
      </c>
      <c r="B130" s="0" t="n">
        <v>1909</v>
      </c>
      <c r="C130" s="0" t="s">
        <v>6464</v>
      </c>
      <c r="D130" s="0" t="s">
        <v>6465</v>
      </c>
    </row>
    <row r="131" customFormat="false" ht="15" hidden="false" customHeight="false" outlineLevel="0" collapsed="false">
      <c r="A131" s="0" t="s">
        <v>6466</v>
      </c>
      <c r="B131" s="0" t="n">
        <v>1909</v>
      </c>
      <c r="C131" s="0" t="s">
        <v>6467</v>
      </c>
      <c r="D131" s="0" t="s">
        <v>6468</v>
      </c>
    </row>
    <row r="132" customFormat="false" ht="15" hidden="false" customHeight="false" outlineLevel="0" collapsed="false">
      <c r="A132" s="0" t="s">
        <v>6469</v>
      </c>
      <c r="B132" s="0" t="n">
        <v>1909</v>
      </c>
      <c r="C132" s="0" t="s">
        <v>6470</v>
      </c>
      <c r="D132" s="0" t="s">
        <v>6471</v>
      </c>
    </row>
    <row r="133" customFormat="false" ht="15" hidden="false" customHeight="false" outlineLevel="0" collapsed="false">
      <c r="A133" s="0" t="s">
        <v>6472</v>
      </c>
      <c r="B133" s="0" t="n">
        <v>1909</v>
      </c>
      <c r="C133" s="0" t="s">
        <v>6473</v>
      </c>
      <c r="D133" s="0" t="s">
        <v>6474</v>
      </c>
    </row>
    <row r="134" customFormat="false" ht="15" hidden="false" customHeight="false" outlineLevel="0" collapsed="false">
      <c r="A134" s="0" t="s">
        <v>6475</v>
      </c>
      <c r="B134" s="0" t="n">
        <v>1909</v>
      </c>
      <c r="C134" s="0" t="s">
        <v>6476</v>
      </c>
      <c r="D134" s="0" t="s">
        <v>6477</v>
      </c>
    </row>
    <row r="135" customFormat="false" ht="15" hidden="false" customHeight="false" outlineLevel="0" collapsed="false">
      <c r="A135" s="0" t="s">
        <v>6478</v>
      </c>
      <c r="B135" s="0" t="n">
        <v>1909</v>
      </c>
      <c r="C135" s="0" t="s">
        <v>6479</v>
      </c>
      <c r="D135" s="0" t="s">
        <v>6480</v>
      </c>
    </row>
    <row r="136" customFormat="false" ht="15" hidden="false" customHeight="false" outlineLevel="0" collapsed="false">
      <c r="A136" s="0" t="s">
        <v>6481</v>
      </c>
      <c r="B136" s="0" t="n">
        <v>1909</v>
      </c>
      <c r="C136" s="0" t="s">
        <v>6482</v>
      </c>
      <c r="D136" s="0" t="s">
        <v>6483</v>
      </c>
    </row>
    <row r="137" customFormat="false" ht="15" hidden="false" customHeight="false" outlineLevel="0" collapsed="false">
      <c r="A137" s="0" t="s">
        <v>6484</v>
      </c>
      <c r="B137" s="0" t="n">
        <v>1909</v>
      </c>
      <c r="C137" s="0" t="s">
        <v>6485</v>
      </c>
      <c r="D137" s="0" t="s">
        <v>6486</v>
      </c>
    </row>
    <row r="138" customFormat="false" ht="15" hidden="false" customHeight="false" outlineLevel="0" collapsed="false">
      <c r="A138" s="0" t="s">
        <v>6487</v>
      </c>
      <c r="B138" s="0" t="n">
        <v>1909</v>
      </c>
      <c r="C138" s="0" t="s">
        <v>6488</v>
      </c>
      <c r="D138" s="0" t="s">
        <v>6489</v>
      </c>
    </row>
    <row r="139" customFormat="false" ht="15" hidden="false" customHeight="false" outlineLevel="0" collapsed="false">
      <c r="A139" s="0" t="s">
        <v>6490</v>
      </c>
      <c r="B139" s="0" t="n">
        <v>1910</v>
      </c>
      <c r="C139" s="0" t="s">
        <v>6491</v>
      </c>
      <c r="D139" s="0" t="s">
        <v>6492</v>
      </c>
    </row>
    <row r="140" customFormat="false" ht="15" hidden="false" customHeight="false" outlineLevel="0" collapsed="false">
      <c r="A140" s="0" t="s">
        <v>6493</v>
      </c>
      <c r="B140" s="0" t="n">
        <v>1910</v>
      </c>
      <c r="C140" s="0" t="s">
        <v>6494</v>
      </c>
      <c r="D140" s="0" t="s">
        <v>6430</v>
      </c>
    </row>
    <row r="141" customFormat="false" ht="15" hidden="false" customHeight="false" outlineLevel="0" collapsed="false">
      <c r="A141" s="0" t="s">
        <v>6495</v>
      </c>
      <c r="B141" s="0" t="n">
        <v>1910</v>
      </c>
      <c r="C141" s="0" t="s">
        <v>6496</v>
      </c>
      <c r="D141" s="0" t="s">
        <v>6497</v>
      </c>
    </row>
    <row r="142" customFormat="false" ht="15" hidden="false" customHeight="false" outlineLevel="0" collapsed="false">
      <c r="A142" s="0" t="s">
        <v>6498</v>
      </c>
      <c r="B142" s="0" t="n">
        <v>1910</v>
      </c>
      <c r="C142" s="0" t="s">
        <v>6499</v>
      </c>
      <c r="D142" s="0" t="s">
        <v>6500</v>
      </c>
    </row>
    <row r="143" customFormat="false" ht="15" hidden="false" customHeight="false" outlineLevel="0" collapsed="false">
      <c r="A143" s="0" t="s">
        <v>6501</v>
      </c>
      <c r="B143" s="0" t="n">
        <v>1910</v>
      </c>
      <c r="C143" s="0" t="s">
        <v>6502</v>
      </c>
      <c r="D143" s="0" t="s">
        <v>6503</v>
      </c>
    </row>
    <row r="144" customFormat="false" ht="15" hidden="false" customHeight="false" outlineLevel="0" collapsed="false">
      <c r="A144" s="0" t="s">
        <v>6504</v>
      </c>
      <c r="B144" s="0" t="n">
        <v>1910</v>
      </c>
      <c r="C144" s="0" t="s">
        <v>6505</v>
      </c>
      <c r="D144" s="0" t="s">
        <v>6506</v>
      </c>
    </row>
    <row r="145" customFormat="false" ht="15" hidden="false" customHeight="false" outlineLevel="0" collapsed="false">
      <c r="A145" s="0" t="s">
        <v>6507</v>
      </c>
      <c r="B145" s="0" t="n">
        <v>1910</v>
      </c>
      <c r="C145" s="0" t="s">
        <v>6508</v>
      </c>
      <c r="D145" s="0" t="s">
        <v>6509</v>
      </c>
    </row>
    <row r="146" customFormat="false" ht="15" hidden="false" customHeight="false" outlineLevel="0" collapsed="false">
      <c r="A146" s="0" t="s">
        <v>6510</v>
      </c>
      <c r="B146" s="0" t="n">
        <v>1910</v>
      </c>
      <c r="C146" s="0" t="s">
        <v>6511</v>
      </c>
      <c r="D146" s="0" t="s">
        <v>6512</v>
      </c>
    </row>
    <row r="147" customFormat="false" ht="15" hidden="false" customHeight="false" outlineLevel="0" collapsed="false">
      <c r="A147" s="0" t="s">
        <v>6513</v>
      </c>
      <c r="B147" s="0" t="n">
        <v>1910</v>
      </c>
      <c r="C147" s="0" t="s">
        <v>6514</v>
      </c>
      <c r="D147" s="0" t="s">
        <v>6515</v>
      </c>
    </row>
    <row r="148" customFormat="false" ht="15" hidden="false" customHeight="false" outlineLevel="0" collapsed="false">
      <c r="A148" s="0" t="s">
        <v>6516</v>
      </c>
      <c r="B148" s="0" t="n">
        <v>1910</v>
      </c>
      <c r="C148" s="0" t="s">
        <v>6517</v>
      </c>
      <c r="D148" s="0" t="s">
        <v>6518</v>
      </c>
    </row>
    <row r="149" customFormat="false" ht="15" hidden="false" customHeight="false" outlineLevel="0" collapsed="false">
      <c r="A149" s="0" t="s">
        <v>6519</v>
      </c>
      <c r="B149" s="0" t="n">
        <v>1910</v>
      </c>
      <c r="C149" s="0" t="s">
        <v>6520</v>
      </c>
      <c r="D149" s="0" t="s">
        <v>6521</v>
      </c>
    </row>
    <row r="150" customFormat="false" ht="15" hidden="false" customHeight="false" outlineLevel="0" collapsed="false">
      <c r="A150" s="0" t="s">
        <v>6522</v>
      </c>
      <c r="B150" s="0" t="n">
        <v>1910</v>
      </c>
      <c r="C150" s="0" t="s">
        <v>6523</v>
      </c>
      <c r="D150" s="0" t="s">
        <v>6524</v>
      </c>
    </row>
    <row r="151" customFormat="false" ht="15" hidden="false" customHeight="false" outlineLevel="0" collapsed="false">
      <c r="A151" s="0" t="s">
        <v>6525</v>
      </c>
      <c r="B151" s="0" t="n">
        <v>1910</v>
      </c>
      <c r="C151" s="0" t="s">
        <v>6526</v>
      </c>
      <c r="D151" s="0" t="s">
        <v>6527</v>
      </c>
    </row>
    <row r="152" customFormat="false" ht="15" hidden="false" customHeight="false" outlineLevel="0" collapsed="false">
      <c r="A152" s="0" t="s">
        <v>6528</v>
      </c>
      <c r="B152" s="0" t="n">
        <v>1910</v>
      </c>
      <c r="C152" s="0" t="s">
        <v>6529</v>
      </c>
      <c r="D152" s="0" t="s">
        <v>6530</v>
      </c>
    </row>
    <row r="153" customFormat="false" ht="15" hidden="false" customHeight="false" outlineLevel="0" collapsed="false">
      <c r="A153" s="0" t="s">
        <v>6531</v>
      </c>
      <c r="B153" s="0" t="n">
        <v>1910</v>
      </c>
      <c r="C153" s="0" t="s">
        <v>6532</v>
      </c>
      <c r="D153" s="0" t="s">
        <v>6533</v>
      </c>
    </row>
    <row r="154" customFormat="false" ht="15" hidden="false" customHeight="false" outlineLevel="0" collapsed="false">
      <c r="A154" s="0" t="s">
        <v>6534</v>
      </c>
      <c r="B154" s="0" t="n">
        <v>1910</v>
      </c>
      <c r="C154" s="0" t="s">
        <v>6535</v>
      </c>
      <c r="D154" s="0" t="s">
        <v>6536</v>
      </c>
    </row>
    <row r="155" customFormat="false" ht="15" hidden="false" customHeight="false" outlineLevel="0" collapsed="false">
      <c r="A155" s="0" t="s">
        <v>6537</v>
      </c>
      <c r="B155" s="0" t="n">
        <v>1910</v>
      </c>
      <c r="C155" s="0" t="s">
        <v>6538</v>
      </c>
      <c r="D155" s="0" t="s">
        <v>6539</v>
      </c>
    </row>
    <row r="156" customFormat="false" ht="15" hidden="false" customHeight="false" outlineLevel="0" collapsed="false">
      <c r="A156" s="0" t="s">
        <v>6540</v>
      </c>
      <c r="B156" s="0" t="n">
        <v>1910</v>
      </c>
      <c r="C156" s="0" t="s">
        <v>6541</v>
      </c>
      <c r="D156" s="0" t="s">
        <v>6542</v>
      </c>
    </row>
    <row r="157" customFormat="false" ht="15" hidden="false" customHeight="false" outlineLevel="0" collapsed="false">
      <c r="A157" s="0" t="s">
        <v>6543</v>
      </c>
      <c r="B157" s="0" t="n">
        <v>1910</v>
      </c>
      <c r="C157" s="0" t="s">
        <v>6544</v>
      </c>
      <c r="D157" s="0" t="s">
        <v>6545</v>
      </c>
    </row>
    <row r="158" customFormat="false" ht="15" hidden="false" customHeight="false" outlineLevel="0" collapsed="false">
      <c r="A158" s="0" t="s">
        <v>6546</v>
      </c>
      <c r="B158" s="0" t="n">
        <v>1910</v>
      </c>
      <c r="C158" s="0" t="s">
        <v>6547</v>
      </c>
      <c r="D158" s="0" t="s">
        <v>6548</v>
      </c>
    </row>
    <row r="159" customFormat="false" ht="15" hidden="false" customHeight="false" outlineLevel="0" collapsed="false">
      <c r="A159" s="0" t="s">
        <v>6549</v>
      </c>
      <c r="B159" s="0" t="n">
        <v>1910</v>
      </c>
      <c r="C159" s="0" t="s">
        <v>6550</v>
      </c>
      <c r="D159" s="0" t="s">
        <v>6551</v>
      </c>
    </row>
    <row r="160" customFormat="false" ht="15" hidden="false" customHeight="false" outlineLevel="0" collapsed="false">
      <c r="A160" s="0" t="s">
        <v>6552</v>
      </c>
      <c r="B160" s="0" t="n">
        <v>1910</v>
      </c>
      <c r="C160" s="0" t="s">
        <v>6553</v>
      </c>
      <c r="D160" s="0" t="s">
        <v>6554</v>
      </c>
    </row>
    <row r="161" customFormat="false" ht="15" hidden="false" customHeight="false" outlineLevel="0" collapsed="false">
      <c r="A161" s="0" t="s">
        <v>6555</v>
      </c>
      <c r="B161" s="0" t="n">
        <v>1910</v>
      </c>
      <c r="C161" s="0" t="s">
        <v>6556</v>
      </c>
      <c r="D161" s="0" t="s">
        <v>6557</v>
      </c>
    </row>
    <row r="162" customFormat="false" ht="15" hidden="false" customHeight="false" outlineLevel="0" collapsed="false">
      <c r="A162" s="0" t="s">
        <v>6558</v>
      </c>
      <c r="B162" s="0" t="n">
        <v>1910</v>
      </c>
      <c r="C162" s="0" t="s">
        <v>6559</v>
      </c>
      <c r="D162" s="0" t="s">
        <v>6560</v>
      </c>
    </row>
    <row r="163" customFormat="false" ht="15" hidden="false" customHeight="false" outlineLevel="0" collapsed="false">
      <c r="A163" s="0" t="s">
        <v>6561</v>
      </c>
      <c r="B163" s="0" t="n">
        <v>1910</v>
      </c>
      <c r="C163" s="0" t="s">
        <v>6562</v>
      </c>
      <c r="D163" s="0" t="s">
        <v>6563</v>
      </c>
    </row>
    <row r="164" customFormat="false" ht="15" hidden="false" customHeight="false" outlineLevel="0" collapsed="false">
      <c r="A164" s="0" t="s">
        <v>6564</v>
      </c>
      <c r="B164" s="0" t="n">
        <v>1910</v>
      </c>
      <c r="C164" s="0" t="s">
        <v>6565</v>
      </c>
      <c r="D164" s="0" t="s">
        <v>6566</v>
      </c>
    </row>
    <row r="165" customFormat="false" ht="15" hidden="false" customHeight="false" outlineLevel="0" collapsed="false">
      <c r="A165" s="0" t="s">
        <v>6567</v>
      </c>
      <c r="B165" s="0" t="n">
        <v>1910</v>
      </c>
      <c r="C165" s="0" t="s">
        <v>6568</v>
      </c>
      <c r="D165" s="0" t="s">
        <v>6569</v>
      </c>
    </row>
    <row r="166" customFormat="false" ht="15" hidden="false" customHeight="false" outlineLevel="0" collapsed="false">
      <c r="A166" s="0" t="s">
        <v>6570</v>
      </c>
      <c r="B166" s="0" t="n">
        <v>1910</v>
      </c>
      <c r="C166" s="0" t="s">
        <v>6571</v>
      </c>
      <c r="D166" s="0" t="s">
        <v>6572</v>
      </c>
    </row>
    <row r="167" customFormat="false" ht="15" hidden="false" customHeight="false" outlineLevel="0" collapsed="false">
      <c r="A167" s="0" t="s">
        <v>6573</v>
      </c>
      <c r="B167" s="0" t="n">
        <v>1911</v>
      </c>
      <c r="C167" s="0" t="s">
        <v>6574</v>
      </c>
      <c r="D167" s="0" t="s">
        <v>6575</v>
      </c>
    </row>
    <row r="168" customFormat="false" ht="15" hidden="false" customHeight="false" outlineLevel="0" collapsed="false">
      <c r="A168" s="0" t="s">
        <v>6576</v>
      </c>
      <c r="B168" s="0" t="n">
        <v>1911</v>
      </c>
      <c r="C168" s="0" t="s">
        <v>6577</v>
      </c>
      <c r="D168" s="0" t="s">
        <v>6578</v>
      </c>
    </row>
    <row r="169" customFormat="false" ht="15" hidden="false" customHeight="false" outlineLevel="0" collapsed="false">
      <c r="A169" s="0" t="s">
        <v>6579</v>
      </c>
      <c r="B169" s="0" t="n">
        <v>1911</v>
      </c>
      <c r="C169" s="0" t="s">
        <v>6580</v>
      </c>
      <c r="D169" s="0" t="s">
        <v>6581</v>
      </c>
    </row>
    <row r="170" customFormat="false" ht="15" hidden="false" customHeight="false" outlineLevel="0" collapsed="false">
      <c r="A170" s="0" t="s">
        <v>6582</v>
      </c>
      <c r="B170" s="0" t="n">
        <v>1911</v>
      </c>
      <c r="C170" s="0" t="s">
        <v>6583</v>
      </c>
      <c r="D170" s="0" t="s">
        <v>6584</v>
      </c>
    </row>
    <row r="171" customFormat="false" ht="15" hidden="false" customHeight="false" outlineLevel="0" collapsed="false">
      <c r="A171" s="0" t="s">
        <v>6585</v>
      </c>
      <c r="B171" s="0" t="n">
        <v>1911</v>
      </c>
      <c r="C171" s="0" t="s">
        <v>6586</v>
      </c>
      <c r="D171" s="0" t="s">
        <v>6587</v>
      </c>
    </row>
    <row r="172" customFormat="false" ht="15" hidden="false" customHeight="false" outlineLevel="0" collapsed="false">
      <c r="A172" s="0" t="s">
        <v>6588</v>
      </c>
      <c r="B172" s="0" t="n">
        <v>1911</v>
      </c>
      <c r="C172" s="0" t="s">
        <v>6589</v>
      </c>
      <c r="D172" s="0" t="s">
        <v>6590</v>
      </c>
    </row>
    <row r="173" customFormat="false" ht="15" hidden="false" customHeight="false" outlineLevel="0" collapsed="false">
      <c r="A173" s="0" t="s">
        <v>6591</v>
      </c>
      <c r="B173" s="0" t="n">
        <v>1911</v>
      </c>
      <c r="C173" s="0" t="s">
        <v>6592</v>
      </c>
      <c r="D173" s="0" t="s">
        <v>6593</v>
      </c>
    </row>
    <row r="174" customFormat="false" ht="15" hidden="false" customHeight="false" outlineLevel="0" collapsed="false">
      <c r="A174" s="0" t="s">
        <v>6594</v>
      </c>
      <c r="B174" s="0" t="n">
        <v>1911</v>
      </c>
      <c r="C174" s="0" t="s">
        <v>6595</v>
      </c>
      <c r="D174" s="0" t="s">
        <v>6596</v>
      </c>
    </row>
    <row r="175" customFormat="false" ht="15" hidden="false" customHeight="false" outlineLevel="0" collapsed="false">
      <c r="A175" s="0" t="s">
        <v>6597</v>
      </c>
      <c r="B175" s="0" t="n">
        <v>1911</v>
      </c>
      <c r="C175" s="0" t="s">
        <v>6598</v>
      </c>
      <c r="D175" s="0" t="s">
        <v>6599</v>
      </c>
    </row>
    <row r="176" customFormat="false" ht="15" hidden="false" customHeight="false" outlineLevel="0" collapsed="false">
      <c r="A176" s="0" t="s">
        <v>6600</v>
      </c>
      <c r="B176" s="0" t="n">
        <v>1911</v>
      </c>
      <c r="C176" s="0" t="s">
        <v>6601</v>
      </c>
      <c r="D176" s="0" t="s">
        <v>6602</v>
      </c>
    </row>
    <row r="177" customFormat="false" ht="15" hidden="false" customHeight="false" outlineLevel="0" collapsed="false">
      <c r="A177" s="0" t="s">
        <v>6603</v>
      </c>
      <c r="B177" s="0" t="n">
        <v>1911</v>
      </c>
      <c r="C177" s="0" t="s">
        <v>6604</v>
      </c>
      <c r="D177" s="0" t="s">
        <v>6605</v>
      </c>
    </row>
    <row r="178" customFormat="false" ht="15" hidden="false" customHeight="false" outlineLevel="0" collapsed="false">
      <c r="A178" s="0" t="s">
        <v>6606</v>
      </c>
      <c r="B178" s="0" t="n">
        <v>1912</v>
      </c>
      <c r="C178" s="0" t="s">
        <v>6607</v>
      </c>
      <c r="D178" s="0" t="s">
        <v>6608</v>
      </c>
    </row>
    <row r="179" customFormat="false" ht="15" hidden="false" customHeight="false" outlineLevel="0" collapsed="false">
      <c r="A179" s="0" t="s">
        <v>6609</v>
      </c>
      <c r="B179" s="0" t="n">
        <v>1912</v>
      </c>
      <c r="C179" s="0" t="s">
        <v>6610</v>
      </c>
      <c r="D179" s="0" t="s">
        <v>6611</v>
      </c>
    </row>
    <row r="180" customFormat="false" ht="15" hidden="false" customHeight="false" outlineLevel="0" collapsed="false">
      <c r="A180" s="0" t="s">
        <v>6612</v>
      </c>
      <c r="B180" s="0" t="n">
        <v>1912</v>
      </c>
      <c r="C180" s="0" t="s">
        <v>6613</v>
      </c>
      <c r="D180" s="0" t="s">
        <v>6614</v>
      </c>
    </row>
    <row r="181" customFormat="false" ht="15" hidden="false" customHeight="false" outlineLevel="0" collapsed="false">
      <c r="A181" s="0" t="s">
        <v>6615</v>
      </c>
      <c r="B181" s="0" t="n">
        <v>1912</v>
      </c>
      <c r="C181" s="0" t="s">
        <v>6616</v>
      </c>
      <c r="D181" s="0" t="s">
        <v>6398</v>
      </c>
    </row>
    <row r="182" customFormat="false" ht="15" hidden="false" customHeight="false" outlineLevel="0" collapsed="false">
      <c r="A182" s="0" t="s">
        <v>6617</v>
      </c>
      <c r="B182" s="0" t="n">
        <v>1912</v>
      </c>
      <c r="C182" s="0" t="s">
        <v>6618</v>
      </c>
      <c r="D182" s="0" t="s">
        <v>6398</v>
      </c>
    </row>
    <row r="183" customFormat="false" ht="15" hidden="false" customHeight="false" outlineLevel="0" collapsed="false">
      <c r="A183" s="0" t="s">
        <v>6619</v>
      </c>
      <c r="B183" s="0" t="n">
        <v>1912</v>
      </c>
      <c r="C183" s="0" t="s">
        <v>6620</v>
      </c>
      <c r="D183" s="0" t="s">
        <v>6621</v>
      </c>
    </row>
    <row r="184" customFormat="false" ht="15" hidden="false" customHeight="false" outlineLevel="0" collapsed="false">
      <c r="A184" s="0" t="s">
        <v>6622</v>
      </c>
      <c r="B184" s="0" t="n">
        <v>1912</v>
      </c>
      <c r="C184" s="0" t="s">
        <v>6623</v>
      </c>
      <c r="D184" s="0" t="s">
        <v>6624</v>
      </c>
    </row>
    <row r="185" customFormat="false" ht="15" hidden="false" customHeight="false" outlineLevel="0" collapsed="false">
      <c r="A185" s="0" t="s">
        <v>6625</v>
      </c>
      <c r="B185" s="0" t="n">
        <v>1912</v>
      </c>
      <c r="C185" s="0" t="s">
        <v>6626</v>
      </c>
      <c r="D185" s="0" t="s">
        <v>6627</v>
      </c>
    </row>
    <row r="186" customFormat="false" ht="15" hidden="false" customHeight="false" outlineLevel="0" collapsed="false">
      <c r="A186" s="0" t="s">
        <v>6628</v>
      </c>
      <c r="B186" s="0" t="n">
        <v>1912</v>
      </c>
      <c r="C186" s="0" t="s">
        <v>6629</v>
      </c>
      <c r="D186" s="0" t="s">
        <v>6630</v>
      </c>
    </row>
    <row r="187" customFormat="false" ht="15" hidden="false" customHeight="false" outlineLevel="0" collapsed="false">
      <c r="A187" s="0" t="s">
        <v>6631</v>
      </c>
      <c r="B187" s="0" t="n">
        <v>1912</v>
      </c>
      <c r="C187" s="0" t="s">
        <v>6632</v>
      </c>
      <c r="D187" s="0" t="s">
        <v>6633</v>
      </c>
    </row>
    <row r="188" customFormat="false" ht="15" hidden="false" customHeight="false" outlineLevel="0" collapsed="false">
      <c r="A188" s="0" t="s">
        <v>6634</v>
      </c>
      <c r="B188" s="0" t="n">
        <v>1912</v>
      </c>
      <c r="C188" s="0" t="s">
        <v>6635</v>
      </c>
      <c r="D188" s="0" t="s">
        <v>6636</v>
      </c>
    </row>
    <row r="189" customFormat="false" ht="15" hidden="false" customHeight="false" outlineLevel="0" collapsed="false">
      <c r="A189" s="0" t="s">
        <v>6637</v>
      </c>
      <c r="B189" s="0" t="n">
        <v>1912</v>
      </c>
      <c r="C189" s="0" t="s">
        <v>6638</v>
      </c>
      <c r="D189" s="0" t="s">
        <v>6639</v>
      </c>
    </row>
    <row r="190" customFormat="false" ht="15" hidden="false" customHeight="false" outlineLevel="0" collapsed="false">
      <c r="A190" s="0" t="s">
        <v>6640</v>
      </c>
      <c r="B190" s="0" t="n">
        <v>1912</v>
      </c>
      <c r="C190" s="0" t="s">
        <v>6641</v>
      </c>
      <c r="D190" s="0" t="s">
        <v>6236</v>
      </c>
    </row>
    <row r="191" customFormat="false" ht="15" hidden="false" customHeight="false" outlineLevel="0" collapsed="false">
      <c r="A191" s="0" t="s">
        <v>6642</v>
      </c>
      <c r="B191" s="0" t="n">
        <v>1912</v>
      </c>
      <c r="C191" s="0" t="s">
        <v>6643</v>
      </c>
      <c r="D191" s="0" t="s">
        <v>6644</v>
      </c>
    </row>
    <row r="192" customFormat="false" ht="15" hidden="false" customHeight="false" outlineLevel="0" collapsed="false">
      <c r="A192" s="0" t="s">
        <v>6645</v>
      </c>
      <c r="B192" s="0" t="n">
        <v>1912</v>
      </c>
      <c r="C192" s="0" t="s">
        <v>6646</v>
      </c>
      <c r="D192" s="0" t="s">
        <v>6647</v>
      </c>
    </row>
    <row r="193" customFormat="false" ht="15" hidden="false" customHeight="false" outlineLevel="0" collapsed="false">
      <c r="A193" s="0" t="s">
        <v>6648</v>
      </c>
      <c r="B193" s="0" t="n">
        <v>1913</v>
      </c>
      <c r="C193" s="0" t="s">
        <v>6649</v>
      </c>
      <c r="D193" s="0" t="s">
        <v>6650</v>
      </c>
    </row>
    <row r="194" customFormat="false" ht="15" hidden="false" customHeight="false" outlineLevel="0" collapsed="false">
      <c r="A194" s="0" t="s">
        <v>6651</v>
      </c>
      <c r="B194" s="0" t="n">
        <v>1913</v>
      </c>
      <c r="C194" s="0" t="s">
        <v>6652</v>
      </c>
      <c r="D194" s="0" t="s">
        <v>6653</v>
      </c>
    </row>
    <row r="195" customFormat="false" ht="15" hidden="false" customHeight="false" outlineLevel="0" collapsed="false">
      <c r="A195" s="0" t="s">
        <v>6654</v>
      </c>
      <c r="B195" s="0" t="n">
        <v>1913</v>
      </c>
      <c r="C195" s="0" t="s">
        <v>6655</v>
      </c>
      <c r="D195" s="0" t="s">
        <v>6656</v>
      </c>
    </row>
    <row r="196" customFormat="false" ht="15" hidden="false" customHeight="false" outlineLevel="0" collapsed="false">
      <c r="A196" s="0" t="s">
        <v>6657</v>
      </c>
      <c r="B196" s="0" t="n">
        <v>1913</v>
      </c>
      <c r="C196" s="0" t="s">
        <v>6658</v>
      </c>
      <c r="D196" s="0" t="s">
        <v>6659</v>
      </c>
    </row>
    <row r="197" customFormat="false" ht="15" hidden="false" customHeight="false" outlineLevel="0" collapsed="false">
      <c r="A197" s="0" t="s">
        <v>6660</v>
      </c>
      <c r="B197" s="0" t="n">
        <v>1913</v>
      </c>
      <c r="C197" s="0" t="s">
        <v>6661</v>
      </c>
      <c r="D197" s="0" t="s">
        <v>6662</v>
      </c>
    </row>
    <row r="198" customFormat="false" ht="15" hidden="false" customHeight="false" outlineLevel="0" collapsed="false">
      <c r="A198" s="0" t="s">
        <v>6663</v>
      </c>
      <c r="B198" s="0" t="n">
        <v>1913</v>
      </c>
      <c r="C198" s="0" t="s">
        <v>6664</v>
      </c>
      <c r="D198" s="0" t="s">
        <v>6665</v>
      </c>
    </row>
    <row r="199" customFormat="false" ht="15" hidden="false" customHeight="false" outlineLevel="0" collapsed="false">
      <c r="A199" s="0" t="s">
        <v>6666</v>
      </c>
      <c r="B199" s="0" t="n">
        <v>1913</v>
      </c>
      <c r="C199" s="0" t="s">
        <v>6667</v>
      </c>
      <c r="D199" s="0" t="s">
        <v>6668</v>
      </c>
    </row>
    <row r="200" customFormat="false" ht="15" hidden="false" customHeight="false" outlineLevel="0" collapsed="false">
      <c r="A200" s="0" t="s">
        <v>6669</v>
      </c>
      <c r="B200" s="0" t="n">
        <v>1913</v>
      </c>
      <c r="C200" s="0" t="s">
        <v>6670</v>
      </c>
      <c r="D200" s="0" t="s">
        <v>6671</v>
      </c>
    </row>
    <row r="201" customFormat="false" ht="15" hidden="false" customHeight="false" outlineLevel="0" collapsed="false">
      <c r="A201" s="0" t="s">
        <v>6672</v>
      </c>
      <c r="B201" s="0" t="n">
        <v>1913</v>
      </c>
      <c r="C201" s="0" t="s">
        <v>6673</v>
      </c>
      <c r="D201" s="0" t="s">
        <v>6674</v>
      </c>
    </row>
    <row r="202" customFormat="false" ht="15" hidden="false" customHeight="false" outlineLevel="0" collapsed="false">
      <c r="A202" s="0" t="s">
        <v>6675</v>
      </c>
      <c r="B202" s="0" t="n">
        <v>1913</v>
      </c>
      <c r="C202" s="0" t="s">
        <v>6676</v>
      </c>
      <c r="D202" s="0" t="s">
        <v>6677</v>
      </c>
    </row>
    <row r="203" customFormat="false" ht="15" hidden="false" customHeight="false" outlineLevel="0" collapsed="false">
      <c r="A203" s="0" t="s">
        <v>6678</v>
      </c>
      <c r="B203" s="0" t="n">
        <v>1913</v>
      </c>
      <c r="C203" s="0" t="s">
        <v>6679</v>
      </c>
      <c r="D203" s="0" t="s">
        <v>6680</v>
      </c>
    </row>
    <row r="204" customFormat="false" ht="15" hidden="false" customHeight="false" outlineLevel="0" collapsed="false">
      <c r="A204" s="0" t="s">
        <v>6681</v>
      </c>
      <c r="B204" s="0" t="n">
        <v>1913</v>
      </c>
      <c r="C204" s="0" t="s">
        <v>6682</v>
      </c>
      <c r="D204" s="0" t="s">
        <v>6683</v>
      </c>
    </row>
    <row r="205" customFormat="false" ht="15" hidden="false" customHeight="false" outlineLevel="0" collapsed="false">
      <c r="A205" s="0" t="s">
        <v>6684</v>
      </c>
      <c r="B205" s="0" t="n">
        <v>1913</v>
      </c>
      <c r="C205" s="0" t="s">
        <v>6685</v>
      </c>
      <c r="D205" s="0" t="s">
        <v>6686</v>
      </c>
    </row>
    <row r="206" customFormat="false" ht="15" hidden="false" customHeight="false" outlineLevel="0" collapsed="false">
      <c r="A206" s="0" t="s">
        <v>6687</v>
      </c>
      <c r="B206" s="0" t="n">
        <v>1913</v>
      </c>
      <c r="C206" s="0" t="s">
        <v>6688</v>
      </c>
      <c r="D206" s="0" t="s">
        <v>6689</v>
      </c>
    </row>
    <row r="207" customFormat="false" ht="15" hidden="false" customHeight="false" outlineLevel="0" collapsed="false">
      <c r="A207" s="0" t="s">
        <v>6690</v>
      </c>
      <c r="B207" s="0" t="n">
        <v>1913</v>
      </c>
      <c r="C207" s="0" t="s">
        <v>6691</v>
      </c>
      <c r="D207" s="0" t="s">
        <v>6692</v>
      </c>
    </row>
    <row r="208" customFormat="false" ht="15" hidden="false" customHeight="false" outlineLevel="0" collapsed="false">
      <c r="A208" s="0" t="s">
        <v>6693</v>
      </c>
      <c r="B208" s="0" t="n">
        <v>1913</v>
      </c>
      <c r="C208" s="0" t="s">
        <v>6694</v>
      </c>
      <c r="D208" s="0" t="s">
        <v>6695</v>
      </c>
    </row>
    <row r="209" customFormat="false" ht="15" hidden="false" customHeight="false" outlineLevel="0" collapsed="false">
      <c r="A209" s="0" t="s">
        <v>6696</v>
      </c>
      <c r="B209" s="0" t="n">
        <v>1913</v>
      </c>
      <c r="C209" s="0" t="s">
        <v>6697</v>
      </c>
      <c r="D209" s="0" t="s">
        <v>6698</v>
      </c>
    </row>
    <row r="210" customFormat="false" ht="15" hidden="false" customHeight="false" outlineLevel="0" collapsed="false">
      <c r="A210" s="0" t="s">
        <v>6699</v>
      </c>
      <c r="B210" s="0" t="n">
        <v>1913</v>
      </c>
      <c r="C210" s="0" t="s">
        <v>6700</v>
      </c>
      <c r="D210" s="0" t="s">
        <v>6701</v>
      </c>
    </row>
    <row r="211" customFormat="false" ht="15" hidden="false" customHeight="false" outlineLevel="0" collapsed="false">
      <c r="A211" s="0" t="s">
        <v>6702</v>
      </c>
      <c r="B211" s="0" t="n">
        <v>1913</v>
      </c>
      <c r="C211" s="0" t="s">
        <v>6703</v>
      </c>
      <c r="D211" s="0" t="s">
        <v>6704</v>
      </c>
    </row>
    <row r="212" customFormat="false" ht="15" hidden="false" customHeight="false" outlineLevel="0" collapsed="false">
      <c r="A212" s="0" t="s">
        <v>6705</v>
      </c>
      <c r="B212" s="0" t="n">
        <v>1914</v>
      </c>
      <c r="C212" s="0" t="s">
        <v>6706</v>
      </c>
      <c r="D212" s="0" t="s">
        <v>6707</v>
      </c>
    </row>
    <row r="213" customFormat="false" ht="15" hidden="false" customHeight="false" outlineLevel="0" collapsed="false">
      <c r="A213" s="0" t="s">
        <v>6708</v>
      </c>
      <c r="B213" s="0" t="n">
        <v>1914</v>
      </c>
      <c r="C213" s="0" t="s">
        <v>6709</v>
      </c>
      <c r="D213" s="0" t="s">
        <v>6710</v>
      </c>
    </row>
    <row r="214" customFormat="false" ht="15" hidden="false" customHeight="false" outlineLevel="0" collapsed="false">
      <c r="A214" s="0" t="s">
        <v>6711</v>
      </c>
      <c r="B214" s="0" t="n">
        <v>1914</v>
      </c>
      <c r="C214" s="0" t="s">
        <v>6712</v>
      </c>
      <c r="D214" s="0" t="s">
        <v>6713</v>
      </c>
    </row>
    <row r="215" customFormat="false" ht="15" hidden="false" customHeight="false" outlineLevel="0" collapsed="false">
      <c r="A215" s="0" t="s">
        <v>6714</v>
      </c>
      <c r="B215" s="0" t="n">
        <v>1914</v>
      </c>
      <c r="C215" s="0" t="s">
        <v>6715</v>
      </c>
      <c r="D215" s="0" t="s">
        <v>6716</v>
      </c>
    </row>
    <row r="216" customFormat="false" ht="15" hidden="false" customHeight="false" outlineLevel="0" collapsed="false">
      <c r="A216" s="0" t="s">
        <v>6717</v>
      </c>
      <c r="B216" s="0" t="n">
        <v>1914</v>
      </c>
      <c r="C216" s="0" t="s">
        <v>6718</v>
      </c>
      <c r="D216" s="0" t="s">
        <v>6719</v>
      </c>
    </row>
    <row r="217" customFormat="false" ht="15" hidden="false" customHeight="false" outlineLevel="0" collapsed="false">
      <c r="A217" s="0" t="s">
        <v>6720</v>
      </c>
      <c r="B217" s="0" t="n">
        <v>1914</v>
      </c>
      <c r="C217" s="0" t="s">
        <v>6721</v>
      </c>
      <c r="D217" s="0" t="s">
        <v>6722</v>
      </c>
    </row>
    <row r="218" customFormat="false" ht="15" hidden="false" customHeight="false" outlineLevel="0" collapsed="false">
      <c r="A218" s="0" t="s">
        <v>6723</v>
      </c>
      <c r="B218" s="0" t="n">
        <v>1914</v>
      </c>
      <c r="C218" s="0" t="s">
        <v>6724</v>
      </c>
      <c r="D218" s="0" t="s">
        <v>6725</v>
      </c>
    </row>
    <row r="219" customFormat="false" ht="15" hidden="false" customHeight="false" outlineLevel="0" collapsed="false">
      <c r="A219" s="0" t="s">
        <v>6726</v>
      </c>
      <c r="B219" s="0" t="n">
        <v>1914</v>
      </c>
      <c r="C219" s="0" t="s">
        <v>6727</v>
      </c>
      <c r="D219" s="0" t="s">
        <v>6728</v>
      </c>
    </row>
    <row r="220" customFormat="false" ht="15" hidden="false" customHeight="false" outlineLevel="0" collapsed="false">
      <c r="A220" s="0" t="s">
        <v>6729</v>
      </c>
      <c r="B220" s="0" t="n">
        <v>1914</v>
      </c>
      <c r="C220" s="0" t="s">
        <v>6730</v>
      </c>
      <c r="D220" s="0" t="s">
        <v>6731</v>
      </c>
    </row>
    <row r="221" customFormat="false" ht="15" hidden="false" customHeight="false" outlineLevel="0" collapsed="false">
      <c r="A221" s="0" t="s">
        <v>6732</v>
      </c>
      <c r="B221" s="0" t="n">
        <v>1914</v>
      </c>
      <c r="C221" s="0" t="s">
        <v>6733</v>
      </c>
      <c r="D221" s="0" t="s">
        <v>6734</v>
      </c>
    </row>
    <row r="222" customFormat="false" ht="15" hidden="false" customHeight="false" outlineLevel="0" collapsed="false">
      <c r="A222" s="0" t="s">
        <v>6735</v>
      </c>
      <c r="B222" s="0" t="n">
        <v>1914</v>
      </c>
      <c r="C222" s="0" t="s">
        <v>6736</v>
      </c>
      <c r="D222" s="0" t="s">
        <v>6737</v>
      </c>
    </row>
    <row r="223" customFormat="false" ht="15" hidden="false" customHeight="false" outlineLevel="0" collapsed="false">
      <c r="A223" s="0" t="s">
        <v>6738</v>
      </c>
      <c r="B223" s="0" t="n">
        <v>1914</v>
      </c>
      <c r="C223" s="0" t="s">
        <v>6739</v>
      </c>
      <c r="D223" s="0" t="s">
        <v>6740</v>
      </c>
    </row>
    <row r="224" customFormat="false" ht="15" hidden="false" customHeight="false" outlineLevel="0" collapsed="false">
      <c r="A224" s="0" t="s">
        <v>6741</v>
      </c>
      <c r="B224" s="0" t="n">
        <v>1914</v>
      </c>
      <c r="C224" s="0" t="s">
        <v>6742</v>
      </c>
      <c r="D224" s="0" t="s">
        <v>6743</v>
      </c>
    </row>
    <row r="225" customFormat="false" ht="15" hidden="false" customHeight="false" outlineLevel="0" collapsed="false">
      <c r="A225" s="0" t="s">
        <v>6744</v>
      </c>
      <c r="B225" s="0" t="n">
        <v>1914</v>
      </c>
      <c r="C225" s="0" t="s">
        <v>6745</v>
      </c>
      <c r="D225" s="0" t="s">
        <v>6746</v>
      </c>
    </row>
    <row r="226" customFormat="false" ht="15" hidden="false" customHeight="false" outlineLevel="0" collapsed="false">
      <c r="A226" s="0" t="s">
        <v>6747</v>
      </c>
      <c r="B226" s="0" t="n">
        <v>1914</v>
      </c>
      <c r="C226" s="0" t="s">
        <v>6748</v>
      </c>
      <c r="D226" s="0" t="s">
        <v>6749</v>
      </c>
    </row>
    <row r="227" customFormat="false" ht="15" hidden="false" customHeight="false" outlineLevel="0" collapsed="false">
      <c r="A227" s="0" t="s">
        <v>6750</v>
      </c>
      <c r="B227" s="0" t="n">
        <v>1914</v>
      </c>
      <c r="C227" s="0" t="s">
        <v>6751</v>
      </c>
      <c r="D227" s="0" t="s">
        <v>6752</v>
      </c>
    </row>
    <row r="228" customFormat="false" ht="15" hidden="false" customHeight="false" outlineLevel="0" collapsed="false">
      <c r="A228" s="0" t="s">
        <v>6753</v>
      </c>
      <c r="B228" s="0" t="n">
        <v>1914</v>
      </c>
      <c r="C228" s="0" t="s">
        <v>6754</v>
      </c>
      <c r="D228" s="0" t="s">
        <v>6755</v>
      </c>
    </row>
    <row r="229" customFormat="false" ht="15" hidden="false" customHeight="false" outlineLevel="0" collapsed="false">
      <c r="A229" s="0" t="s">
        <v>6756</v>
      </c>
      <c r="B229" s="0" t="n">
        <v>1914</v>
      </c>
      <c r="C229" s="0" t="s">
        <v>6757</v>
      </c>
      <c r="D229" s="0" t="s">
        <v>6758</v>
      </c>
    </row>
    <row r="230" customFormat="false" ht="15" hidden="false" customHeight="false" outlineLevel="0" collapsed="false">
      <c r="A230" s="0" t="s">
        <v>6759</v>
      </c>
      <c r="B230" s="0" t="n">
        <v>1914</v>
      </c>
      <c r="C230" s="0" t="s">
        <v>6760</v>
      </c>
      <c r="D230" s="0" t="s">
        <v>6761</v>
      </c>
    </row>
    <row r="231" customFormat="false" ht="15" hidden="false" customHeight="false" outlineLevel="0" collapsed="false">
      <c r="A231" s="0" t="s">
        <v>6762</v>
      </c>
      <c r="B231" s="0" t="n">
        <v>1914</v>
      </c>
      <c r="C231" s="0" t="s">
        <v>6763</v>
      </c>
      <c r="D231" s="0" t="s">
        <v>6764</v>
      </c>
    </row>
    <row r="232" customFormat="false" ht="15" hidden="false" customHeight="false" outlineLevel="0" collapsed="false">
      <c r="A232" s="0" t="s">
        <v>6765</v>
      </c>
      <c r="B232" s="0" t="n">
        <v>1914</v>
      </c>
      <c r="C232" s="0" t="s">
        <v>6766</v>
      </c>
      <c r="D232" s="0" t="s">
        <v>6767</v>
      </c>
    </row>
    <row r="233" customFormat="false" ht="15" hidden="false" customHeight="false" outlineLevel="0" collapsed="false">
      <c r="A233" s="0" t="s">
        <v>6768</v>
      </c>
      <c r="B233" s="0" t="n">
        <v>1914</v>
      </c>
      <c r="C233" s="0" t="s">
        <v>6769</v>
      </c>
      <c r="D233" s="0" t="s">
        <v>6770</v>
      </c>
    </row>
    <row r="234" customFormat="false" ht="15" hidden="false" customHeight="false" outlineLevel="0" collapsed="false">
      <c r="A234" s="0" t="s">
        <v>6771</v>
      </c>
      <c r="B234" s="0" t="n">
        <v>1914</v>
      </c>
      <c r="C234" s="0" t="s">
        <v>6772</v>
      </c>
      <c r="D234" s="0" t="s">
        <v>6773</v>
      </c>
    </row>
    <row r="235" customFormat="false" ht="15" hidden="false" customHeight="false" outlineLevel="0" collapsed="false">
      <c r="A235" s="0" t="s">
        <v>6774</v>
      </c>
      <c r="B235" s="0" t="n">
        <v>1914</v>
      </c>
      <c r="C235" s="0" t="s">
        <v>6775</v>
      </c>
      <c r="D235" s="0" t="s">
        <v>6776</v>
      </c>
    </row>
    <row r="236" customFormat="false" ht="15" hidden="false" customHeight="false" outlineLevel="0" collapsed="false">
      <c r="A236" s="0" t="s">
        <v>6777</v>
      </c>
      <c r="B236" s="0" t="n">
        <v>1914</v>
      </c>
      <c r="C236" s="0" t="s">
        <v>6778</v>
      </c>
      <c r="D236" s="0" t="s">
        <v>6779</v>
      </c>
    </row>
    <row r="237" customFormat="false" ht="15" hidden="false" customHeight="false" outlineLevel="0" collapsed="false">
      <c r="A237" s="0" t="s">
        <v>6780</v>
      </c>
      <c r="B237" s="0" t="n">
        <v>1914</v>
      </c>
      <c r="C237" s="0" t="s">
        <v>6781</v>
      </c>
      <c r="D237" s="0" t="s">
        <v>6782</v>
      </c>
    </row>
    <row r="238" customFormat="false" ht="15" hidden="false" customHeight="false" outlineLevel="0" collapsed="false">
      <c r="A238" s="0" t="s">
        <v>6783</v>
      </c>
      <c r="B238" s="0" t="n">
        <v>1914</v>
      </c>
      <c r="C238" s="0" t="s">
        <v>6784</v>
      </c>
      <c r="D238" s="0" t="s">
        <v>6785</v>
      </c>
    </row>
    <row r="239" customFormat="false" ht="15" hidden="false" customHeight="false" outlineLevel="0" collapsed="false">
      <c r="A239" s="0" t="s">
        <v>6786</v>
      </c>
      <c r="B239" s="0" t="n">
        <v>1914</v>
      </c>
      <c r="C239" s="0" t="s">
        <v>6787</v>
      </c>
      <c r="D239" s="0" t="s">
        <v>6788</v>
      </c>
    </row>
    <row r="240" customFormat="false" ht="15" hidden="false" customHeight="false" outlineLevel="0" collapsed="false">
      <c r="A240" s="0" t="s">
        <v>6789</v>
      </c>
      <c r="B240" s="0" t="n">
        <v>1914</v>
      </c>
      <c r="C240" s="0" t="s">
        <v>6790</v>
      </c>
      <c r="D240" s="0" t="s">
        <v>6791</v>
      </c>
    </row>
    <row r="241" customFormat="false" ht="15" hidden="false" customHeight="false" outlineLevel="0" collapsed="false">
      <c r="A241" s="0" t="s">
        <v>6792</v>
      </c>
      <c r="B241" s="0" t="n">
        <v>1915</v>
      </c>
      <c r="C241" s="0" t="s">
        <v>6793</v>
      </c>
      <c r="D241" s="0" t="s">
        <v>6794</v>
      </c>
    </row>
    <row r="242" customFormat="false" ht="15" hidden="false" customHeight="false" outlineLevel="0" collapsed="false">
      <c r="A242" s="0" t="s">
        <v>6795</v>
      </c>
      <c r="B242" s="0" t="n">
        <v>1915</v>
      </c>
      <c r="C242" s="0" t="s">
        <v>6796</v>
      </c>
      <c r="D242" s="0" t="s">
        <v>6797</v>
      </c>
    </row>
    <row r="243" customFormat="false" ht="15" hidden="false" customHeight="false" outlineLevel="0" collapsed="false">
      <c r="A243" s="0" t="s">
        <v>6798</v>
      </c>
      <c r="B243" s="0" t="n">
        <v>1915</v>
      </c>
      <c r="C243" s="0" t="s">
        <v>6799</v>
      </c>
      <c r="D243" s="0" t="s">
        <v>6800</v>
      </c>
    </row>
    <row r="244" customFormat="false" ht="15" hidden="false" customHeight="false" outlineLevel="0" collapsed="false">
      <c r="A244" s="0" t="s">
        <v>6801</v>
      </c>
      <c r="B244" s="0" t="n">
        <v>1915</v>
      </c>
      <c r="C244" s="0" t="s">
        <v>6802</v>
      </c>
      <c r="D244" s="0" t="s">
        <v>6803</v>
      </c>
    </row>
    <row r="245" customFormat="false" ht="15" hidden="false" customHeight="false" outlineLevel="0" collapsed="false">
      <c r="A245" s="0" t="s">
        <v>6804</v>
      </c>
      <c r="B245" s="0" t="n">
        <v>1915</v>
      </c>
      <c r="C245" s="0" t="s">
        <v>6805</v>
      </c>
      <c r="D245" s="0" t="s">
        <v>6536</v>
      </c>
    </row>
    <row r="246" customFormat="false" ht="15" hidden="false" customHeight="false" outlineLevel="0" collapsed="false">
      <c r="A246" s="0" t="s">
        <v>6806</v>
      </c>
      <c r="B246" s="0" t="n">
        <v>1915</v>
      </c>
      <c r="C246" s="0" t="s">
        <v>6807</v>
      </c>
      <c r="D246" s="0" t="s">
        <v>6808</v>
      </c>
    </row>
    <row r="247" customFormat="false" ht="15" hidden="false" customHeight="false" outlineLevel="0" collapsed="false">
      <c r="A247" s="0" t="s">
        <v>6809</v>
      </c>
      <c r="B247" s="0" t="n">
        <v>1915</v>
      </c>
      <c r="C247" s="0" t="s">
        <v>6810</v>
      </c>
      <c r="D247" s="0" t="s">
        <v>6811</v>
      </c>
    </row>
    <row r="248" customFormat="false" ht="15" hidden="false" customHeight="false" outlineLevel="0" collapsed="false">
      <c r="A248" s="0" t="s">
        <v>6812</v>
      </c>
      <c r="B248" s="0" t="n">
        <v>1915</v>
      </c>
      <c r="C248" s="0" t="s">
        <v>6813</v>
      </c>
      <c r="D248" s="0" t="s">
        <v>6814</v>
      </c>
    </row>
    <row r="249" customFormat="false" ht="15" hidden="false" customHeight="false" outlineLevel="0" collapsed="false">
      <c r="A249" s="0" t="s">
        <v>6815</v>
      </c>
      <c r="B249" s="0" t="n">
        <v>1915</v>
      </c>
      <c r="C249" s="0" t="s">
        <v>6816</v>
      </c>
      <c r="D249" s="0" t="s">
        <v>6817</v>
      </c>
    </row>
    <row r="250" customFormat="false" ht="15" hidden="false" customHeight="false" outlineLevel="0" collapsed="false">
      <c r="A250" s="0" t="s">
        <v>6818</v>
      </c>
      <c r="B250" s="0" t="n">
        <v>1915</v>
      </c>
      <c r="C250" s="0" t="s">
        <v>6819</v>
      </c>
      <c r="D250" s="0" t="s">
        <v>6817</v>
      </c>
    </row>
    <row r="251" customFormat="false" ht="15" hidden="false" customHeight="false" outlineLevel="0" collapsed="false">
      <c r="A251" s="0" t="s">
        <v>6820</v>
      </c>
      <c r="B251" s="0" t="n">
        <v>1915</v>
      </c>
      <c r="C251" s="0" t="s">
        <v>6821</v>
      </c>
      <c r="D251" s="0" t="s">
        <v>6822</v>
      </c>
    </row>
    <row r="252" customFormat="false" ht="15" hidden="false" customHeight="false" outlineLevel="0" collapsed="false">
      <c r="A252" s="0" t="s">
        <v>6823</v>
      </c>
      <c r="B252" s="0" t="n">
        <v>1915</v>
      </c>
      <c r="C252" s="0" t="s">
        <v>6824</v>
      </c>
      <c r="D252" s="0" t="s">
        <v>6260</v>
      </c>
    </row>
    <row r="253" customFormat="false" ht="15" hidden="false" customHeight="false" outlineLevel="0" collapsed="false">
      <c r="A253" s="0" t="s">
        <v>6825</v>
      </c>
      <c r="B253" s="0" t="n">
        <v>1915</v>
      </c>
      <c r="C253" s="0" t="s">
        <v>6826</v>
      </c>
      <c r="D253" s="0" t="s">
        <v>6827</v>
      </c>
    </row>
    <row r="254" customFormat="false" ht="15" hidden="false" customHeight="false" outlineLevel="0" collapsed="false">
      <c r="A254" s="0" t="s">
        <v>6828</v>
      </c>
      <c r="B254" s="0" t="n">
        <v>1915</v>
      </c>
      <c r="C254" s="0" t="s">
        <v>6829</v>
      </c>
      <c r="D254" s="0" t="s">
        <v>6830</v>
      </c>
    </row>
    <row r="255" customFormat="false" ht="15" hidden="false" customHeight="false" outlineLevel="0" collapsed="false">
      <c r="A255" s="0" t="s">
        <v>6831</v>
      </c>
      <c r="B255" s="0" t="n">
        <v>1915</v>
      </c>
      <c r="C255" s="0" t="s">
        <v>6832</v>
      </c>
      <c r="D255" s="0" t="s">
        <v>6833</v>
      </c>
    </row>
    <row r="256" customFormat="false" ht="15" hidden="false" customHeight="false" outlineLevel="0" collapsed="false">
      <c r="A256" s="0" t="s">
        <v>6834</v>
      </c>
      <c r="B256" s="0" t="n">
        <v>1915</v>
      </c>
      <c r="C256" s="0" t="s">
        <v>6835</v>
      </c>
      <c r="D256" s="0" t="s">
        <v>6836</v>
      </c>
    </row>
    <row r="257" customFormat="false" ht="15" hidden="false" customHeight="false" outlineLevel="0" collapsed="false">
      <c r="A257" s="0" t="s">
        <v>6837</v>
      </c>
      <c r="B257" s="0" t="n">
        <v>1915</v>
      </c>
      <c r="C257" s="0" t="s">
        <v>6838</v>
      </c>
      <c r="D257" s="0" t="s">
        <v>6839</v>
      </c>
    </row>
    <row r="258" customFormat="false" ht="15" hidden="false" customHeight="false" outlineLevel="0" collapsed="false">
      <c r="A258" s="0" t="s">
        <v>6840</v>
      </c>
      <c r="B258" s="0" t="n">
        <v>1915</v>
      </c>
      <c r="C258" s="0" t="s">
        <v>6841</v>
      </c>
      <c r="D258" s="0" t="s">
        <v>6398</v>
      </c>
    </row>
    <row r="259" customFormat="false" ht="15" hidden="false" customHeight="false" outlineLevel="0" collapsed="false">
      <c r="A259" s="0" t="s">
        <v>6842</v>
      </c>
      <c r="B259" s="0" t="n">
        <v>1915</v>
      </c>
      <c r="C259" s="0" t="s">
        <v>6843</v>
      </c>
      <c r="D259" s="0" t="s">
        <v>6844</v>
      </c>
    </row>
    <row r="260" customFormat="false" ht="15" hidden="false" customHeight="false" outlineLevel="0" collapsed="false">
      <c r="A260" s="0" t="s">
        <v>6845</v>
      </c>
      <c r="B260" s="0" t="n">
        <v>1915</v>
      </c>
      <c r="C260" s="0" t="s">
        <v>6846</v>
      </c>
      <c r="D260" s="0" t="s">
        <v>6847</v>
      </c>
    </row>
    <row r="261" customFormat="false" ht="15" hidden="false" customHeight="false" outlineLevel="0" collapsed="false">
      <c r="A261" s="0" t="s">
        <v>6848</v>
      </c>
      <c r="B261" s="0" t="n">
        <v>1915</v>
      </c>
      <c r="C261" s="0" t="s">
        <v>6849</v>
      </c>
      <c r="D261" s="0" t="s">
        <v>6850</v>
      </c>
    </row>
    <row r="262" customFormat="false" ht="15" hidden="false" customHeight="false" outlineLevel="0" collapsed="false">
      <c r="A262" s="0" t="s">
        <v>6851</v>
      </c>
      <c r="B262" s="0" t="n">
        <v>1915</v>
      </c>
      <c r="C262" s="0" t="s">
        <v>6852</v>
      </c>
      <c r="D262" s="0" t="s">
        <v>6853</v>
      </c>
    </row>
    <row r="263" customFormat="false" ht="15" hidden="false" customHeight="false" outlineLevel="0" collapsed="false">
      <c r="A263" s="0" t="s">
        <v>6854</v>
      </c>
      <c r="B263" s="0" t="n">
        <v>1915</v>
      </c>
      <c r="C263" s="0" t="s">
        <v>6855</v>
      </c>
      <c r="D263" s="0" t="s">
        <v>6856</v>
      </c>
    </row>
    <row r="264" customFormat="false" ht="15" hidden="false" customHeight="false" outlineLevel="0" collapsed="false">
      <c r="A264" s="0" t="s">
        <v>6857</v>
      </c>
      <c r="B264" s="0" t="n">
        <v>1915</v>
      </c>
      <c r="C264" s="0" t="s">
        <v>6858</v>
      </c>
      <c r="D264" s="0" t="s">
        <v>6859</v>
      </c>
    </row>
    <row r="265" customFormat="false" ht="15" hidden="false" customHeight="false" outlineLevel="0" collapsed="false">
      <c r="A265" s="0" t="s">
        <v>6860</v>
      </c>
      <c r="B265" s="0" t="n">
        <v>1915</v>
      </c>
      <c r="C265" s="0" t="s">
        <v>6861</v>
      </c>
      <c r="D265" s="0" t="s">
        <v>6862</v>
      </c>
    </row>
    <row r="266" customFormat="false" ht="15" hidden="false" customHeight="false" outlineLevel="0" collapsed="false">
      <c r="A266" s="0" t="s">
        <v>6863</v>
      </c>
      <c r="B266" s="0" t="n">
        <v>1915</v>
      </c>
      <c r="C266" s="0" t="s">
        <v>6864</v>
      </c>
      <c r="D266" s="0" t="s">
        <v>6865</v>
      </c>
    </row>
    <row r="267" customFormat="false" ht="15" hidden="false" customHeight="false" outlineLevel="0" collapsed="false">
      <c r="A267" s="0" t="s">
        <v>6866</v>
      </c>
      <c r="B267" s="0" t="n">
        <v>1916</v>
      </c>
      <c r="C267" s="0" t="s">
        <v>6867</v>
      </c>
      <c r="D267" s="0" t="s">
        <v>6868</v>
      </c>
    </row>
    <row r="268" customFormat="false" ht="15" hidden="false" customHeight="false" outlineLevel="0" collapsed="false">
      <c r="A268" s="0" t="s">
        <v>6869</v>
      </c>
      <c r="B268" s="0" t="n">
        <v>1916</v>
      </c>
      <c r="C268" s="0" t="s">
        <v>6870</v>
      </c>
      <c r="D268" s="0" t="s">
        <v>6871</v>
      </c>
    </row>
    <row r="269" customFormat="false" ht="15" hidden="false" customHeight="false" outlineLevel="0" collapsed="false">
      <c r="A269" s="0" t="s">
        <v>6872</v>
      </c>
      <c r="B269" s="0" t="n">
        <v>1916</v>
      </c>
      <c r="C269" s="0" t="s">
        <v>6873</v>
      </c>
      <c r="D269" s="0" t="s">
        <v>6874</v>
      </c>
    </row>
    <row r="270" customFormat="false" ht="15" hidden="false" customHeight="false" outlineLevel="0" collapsed="false">
      <c r="A270" s="0" t="s">
        <v>6875</v>
      </c>
      <c r="B270" s="0" t="n">
        <v>1916</v>
      </c>
      <c r="C270" s="0" t="s">
        <v>6876</v>
      </c>
      <c r="D270" s="0" t="s">
        <v>6877</v>
      </c>
    </row>
    <row r="271" customFormat="false" ht="15" hidden="false" customHeight="false" outlineLevel="0" collapsed="false">
      <c r="A271" s="0" t="s">
        <v>6878</v>
      </c>
      <c r="B271" s="0" t="n">
        <v>1916</v>
      </c>
      <c r="C271" s="0" t="s">
        <v>6879</v>
      </c>
      <c r="D271" s="0" t="s">
        <v>6880</v>
      </c>
    </row>
    <row r="272" customFormat="false" ht="15" hidden="false" customHeight="false" outlineLevel="0" collapsed="false">
      <c r="A272" s="0" t="s">
        <v>6881</v>
      </c>
      <c r="B272" s="0" t="n">
        <v>1916</v>
      </c>
      <c r="C272" s="0" t="s">
        <v>6882</v>
      </c>
      <c r="D272" s="0" t="s">
        <v>6883</v>
      </c>
    </row>
    <row r="273" customFormat="false" ht="15" hidden="false" customHeight="false" outlineLevel="0" collapsed="false">
      <c r="A273" s="0" t="s">
        <v>6884</v>
      </c>
      <c r="B273" s="0" t="n">
        <v>1916</v>
      </c>
      <c r="C273" s="0" t="s">
        <v>6885</v>
      </c>
      <c r="D273" s="0" t="s">
        <v>6886</v>
      </c>
    </row>
    <row r="274" customFormat="false" ht="15" hidden="false" customHeight="false" outlineLevel="0" collapsed="false">
      <c r="A274" s="0" t="s">
        <v>6887</v>
      </c>
      <c r="B274" s="0" t="n">
        <v>1916</v>
      </c>
      <c r="C274" s="0" t="s">
        <v>6888</v>
      </c>
      <c r="D274" s="0" t="s">
        <v>6889</v>
      </c>
    </row>
    <row r="275" customFormat="false" ht="15" hidden="false" customHeight="false" outlineLevel="0" collapsed="false">
      <c r="A275" s="0" t="s">
        <v>6890</v>
      </c>
      <c r="B275" s="0" t="n">
        <v>1916</v>
      </c>
      <c r="C275" s="0" t="s">
        <v>6891</v>
      </c>
      <c r="D275" s="0" t="s">
        <v>6892</v>
      </c>
    </row>
    <row r="276" customFormat="false" ht="15" hidden="false" customHeight="false" outlineLevel="0" collapsed="false">
      <c r="A276" s="0" t="s">
        <v>6893</v>
      </c>
      <c r="B276" s="0" t="n">
        <v>1916</v>
      </c>
      <c r="C276" s="0" t="s">
        <v>6894</v>
      </c>
      <c r="D276" s="0" t="s">
        <v>6895</v>
      </c>
    </row>
    <row r="277" customFormat="false" ht="15" hidden="false" customHeight="false" outlineLevel="0" collapsed="false">
      <c r="A277" s="0" t="s">
        <v>6896</v>
      </c>
      <c r="B277" s="0" t="n">
        <v>1916</v>
      </c>
      <c r="C277" s="0" t="s">
        <v>6897</v>
      </c>
      <c r="D277" s="0" t="s">
        <v>6898</v>
      </c>
    </row>
    <row r="278" customFormat="false" ht="15" hidden="false" customHeight="false" outlineLevel="0" collapsed="false">
      <c r="A278" s="0" t="s">
        <v>6899</v>
      </c>
      <c r="B278" s="0" t="n">
        <v>1916</v>
      </c>
      <c r="C278" s="0" t="s">
        <v>6900</v>
      </c>
      <c r="D278" s="0" t="s">
        <v>6901</v>
      </c>
    </row>
    <row r="279" customFormat="false" ht="15" hidden="false" customHeight="false" outlineLevel="0" collapsed="false">
      <c r="A279" s="0" t="s">
        <v>6902</v>
      </c>
      <c r="B279" s="0" t="n">
        <v>1916</v>
      </c>
      <c r="C279" s="0" t="s">
        <v>6903</v>
      </c>
      <c r="D279" s="0" t="s">
        <v>6904</v>
      </c>
    </row>
    <row r="280" customFormat="false" ht="15" hidden="false" customHeight="false" outlineLevel="0" collapsed="false">
      <c r="A280" s="0" t="s">
        <v>6905</v>
      </c>
      <c r="B280" s="0" t="n">
        <v>1916</v>
      </c>
      <c r="C280" s="0" t="s">
        <v>6906</v>
      </c>
      <c r="D280" s="0" t="s">
        <v>6907</v>
      </c>
    </row>
    <row r="281" customFormat="false" ht="15" hidden="false" customHeight="false" outlineLevel="0" collapsed="false">
      <c r="A281" s="0" t="s">
        <v>6908</v>
      </c>
      <c r="B281" s="0" t="n">
        <v>1916</v>
      </c>
      <c r="C281" s="0" t="s">
        <v>6909</v>
      </c>
      <c r="D281" s="0" t="s">
        <v>6910</v>
      </c>
    </row>
    <row r="282" customFormat="false" ht="15" hidden="false" customHeight="false" outlineLevel="0" collapsed="false">
      <c r="A282" s="0" t="s">
        <v>6911</v>
      </c>
      <c r="B282" s="0" t="n">
        <v>1916</v>
      </c>
      <c r="C282" s="0" t="s">
        <v>6912</v>
      </c>
      <c r="D282" s="0" t="s">
        <v>6913</v>
      </c>
    </row>
    <row r="283" customFormat="false" ht="15" hidden="false" customHeight="false" outlineLevel="0" collapsed="false">
      <c r="A283" s="0" t="s">
        <v>6914</v>
      </c>
      <c r="B283" s="0" t="n">
        <v>1916</v>
      </c>
      <c r="C283" s="0" t="s">
        <v>6915</v>
      </c>
      <c r="D283" s="0" t="s">
        <v>6916</v>
      </c>
    </row>
    <row r="284" customFormat="false" ht="15" hidden="false" customHeight="false" outlineLevel="0" collapsed="false">
      <c r="A284" s="0" t="s">
        <v>6917</v>
      </c>
      <c r="B284" s="0" t="n">
        <v>1917</v>
      </c>
      <c r="C284" s="0" t="s">
        <v>6918</v>
      </c>
      <c r="D284" s="0" t="s">
        <v>6752</v>
      </c>
    </row>
    <row r="285" customFormat="false" ht="15" hidden="false" customHeight="false" outlineLevel="0" collapsed="false">
      <c r="A285" s="0" t="s">
        <v>6919</v>
      </c>
      <c r="B285" s="0" t="n">
        <v>1917</v>
      </c>
      <c r="C285" s="4" t="n">
        <v>100000</v>
      </c>
      <c r="D285" s="0" t="s">
        <v>6874</v>
      </c>
    </row>
    <row r="286" customFormat="false" ht="15" hidden="false" customHeight="false" outlineLevel="0" collapsed="false">
      <c r="A286" s="0" t="s">
        <v>6920</v>
      </c>
      <c r="B286" s="0" t="n">
        <v>1917</v>
      </c>
      <c r="C286" s="0" t="s">
        <v>6921</v>
      </c>
      <c r="D286" s="0" t="s">
        <v>6465</v>
      </c>
    </row>
    <row r="287" customFormat="false" ht="15" hidden="false" customHeight="false" outlineLevel="0" collapsed="false">
      <c r="A287" s="0" t="s">
        <v>6922</v>
      </c>
      <c r="B287" s="0" t="n">
        <v>1917</v>
      </c>
      <c r="C287" s="0" t="s">
        <v>6923</v>
      </c>
      <c r="D287" s="0" t="s">
        <v>6924</v>
      </c>
    </row>
    <row r="288" customFormat="false" ht="15" hidden="false" customHeight="false" outlineLevel="0" collapsed="false">
      <c r="A288" s="0" t="s">
        <v>6925</v>
      </c>
      <c r="B288" s="0" t="n">
        <v>1917</v>
      </c>
      <c r="C288" s="0" t="s">
        <v>6926</v>
      </c>
      <c r="D288" s="0" t="s">
        <v>6927</v>
      </c>
    </row>
    <row r="289" customFormat="false" ht="15" hidden="false" customHeight="false" outlineLevel="0" collapsed="false">
      <c r="A289" s="0" t="s">
        <v>6928</v>
      </c>
      <c r="B289" s="0" t="n">
        <v>1917</v>
      </c>
      <c r="C289" s="0" t="s">
        <v>6929</v>
      </c>
      <c r="D289" s="0" t="s">
        <v>6930</v>
      </c>
    </row>
    <row r="290" customFormat="false" ht="15" hidden="false" customHeight="false" outlineLevel="0" collapsed="false">
      <c r="A290" s="0" t="s">
        <v>6931</v>
      </c>
      <c r="B290" s="0" t="n">
        <v>1917</v>
      </c>
      <c r="C290" s="0" t="s">
        <v>6932</v>
      </c>
      <c r="D290" s="0" t="s">
        <v>6933</v>
      </c>
    </row>
    <row r="291" customFormat="false" ht="15" hidden="false" customHeight="false" outlineLevel="0" collapsed="false">
      <c r="A291" s="0" t="s">
        <v>6934</v>
      </c>
      <c r="B291" s="0" t="n">
        <v>1917</v>
      </c>
      <c r="C291" s="0" t="s">
        <v>6935</v>
      </c>
      <c r="D291" s="0" t="s">
        <v>6936</v>
      </c>
    </row>
    <row r="292" customFormat="false" ht="15" hidden="false" customHeight="false" outlineLevel="0" collapsed="false">
      <c r="A292" s="0" t="s">
        <v>6937</v>
      </c>
      <c r="B292" s="0" t="n">
        <v>1917</v>
      </c>
      <c r="C292" s="0" t="s">
        <v>6938</v>
      </c>
      <c r="D292" s="0" t="s">
        <v>6939</v>
      </c>
    </row>
    <row r="293" customFormat="false" ht="15" hidden="false" customHeight="false" outlineLevel="0" collapsed="false">
      <c r="A293" s="0" t="s">
        <v>6940</v>
      </c>
      <c r="B293" s="0" t="n">
        <v>1917</v>
      </c>
      <c r="C293" s="0" t="s">
        <v>6941</v>
      </c>
      <c r="D293" s="0" t="s">
        <v>6942</v>
      </c>
    </row>
    <row r="294" customFormat="false" ht="15" hidden="false" customHeight="false" outlineLevel="0" collapsed="false">
      <c r="A294" s="0" t="s">
        <v>6943</v>
      </c>
      <c r="B294" s="0" t="n">
        <v>1917</v>
      </c>
      <c r="C294" s="0" t="s">
        <v>6944</v>
      </c>
      <c r="D294" s="0" t="s">
        <v>6945</v>
      </c>
    </row>
    <row r="295" customFormat="false" ht="15" hidden="false" customHeight="false" outlineLevel="0" collapsed="false">
      <c r="A295" s="0" t="s">
        <v>6946</v>
      </c>
      <c r="B295" s="0" t="n">
        <v>1917</v>
      </c>
      <c r="C295" s="0" t="s">
        <v>6947</v>
      </c>
      <c r="D295" s="0" t="s">
        <v>6948</v>
      </c>
    </row>
    <row r="296" customFormat="false" ht="15" hidden="false" customHeight="false" outlineLevel="0" collapsed="false">
      <c r="A296" s="0" t="s">
        <v>6949</v>
      </c>
      <c r="B296" s="0" t="n">
        <v>1917</v>
      </c>
      <c r="C296" s="0" t="s">
        <v>6950</v>
      </c>
      <c r="D296" s="0" t="s">
        <v>6951</v>
      </c>
    </row>
    <row r="297" customFormat="false" ht="15" hidden="false" customHeight="false" outlineLevel="0" collapsed="false">
      <c r="A297" s="0" t="s">
        <v>6952</v>
      </c>
      <c r="B297" s="0" t="n">
        <v>1917</v>
      </c>
      <c r="C297" s="0" t="s">
        <v>6953</v>
      </c>
      <c r="D297" s="0" t="s">
        <v>6954</v>
      </c>
    </row>
    <row r="298" customFormat="false" ht="15" hidden="false" customHeight="false" outlineLevel="0" collapsed="false">
      <c r="A298" s="0" t="s">
        <v>6955</v>
      </c>
      <c r="B298" s="0" t="n">
        <v>1917</v>
      </c>
      <c r="C298" s="0" t="s">
        <v>6956</v>
      </c>
      <c r="D298" s="0" t="s">
        <v>6957</v>
      </c>
    </row>
    <row r="299" customFormat="false" ht="15" hidden="false" customHeight="false" outlineLevel="0" collapsed="false">
      <c r="A299" s="0" t="s">
        <v>6958</v>
      </c>
      <c r="B299" s="0" t="n">
        <v>1917</v>
      </c>
      <c r="C299" s="0" t="s">
        <v>6935</v>
      </c>
      <c r="D299" s="0" t="s">
        <v>6959</v>
      </c>
    </row>
    <row r="300" customFormat="false" ht="15" hidden="false" customHeight="false" outlineLevel="0" collapsed="false">
      <c r="A300" s="0" t="s">
        <v>6960</v>
      </c>
      <c r="B300" s="0" t="n">
        <v>1917</v>
      </c>
      <c r="C300" s="0" t="s">
        <v>6961</v>
      </c>
      <c r="D300" s="0" t="s">
        <v>6962</v>
      </c>
    </row>
    <row r="301" customFormat="false" ht="15" hidden="false" customHeight="false" outlineLevel="0" collapsed="false">
      <c r="A301" s="0" t="s">
        <v>6963</v>
      </c>
      <c r="B301" s="0" t="n">
        <v>1917</v>
      </c>
      <c r="C301" s="0" t="s">
        <v>6964</v>
      </c>
      <c r="D301" s="0" t="s">
        <v>6965</v>
      </c>
    </row>
    <row r="302" customFormat="false" ht="15" hidden="false" customHeight="false" outlineLevel="0" collapsed="false">
      <c r="A302" s="0" t="s">
        <v>6966</v>
      </c>
      <c r="B302" s="0" t="n">
        <v>1917</v>
      </c>
      <c r="C302" s="0" t="s">
        <v>6967</v>
      </c>
      <c r="D302" s="0" t="s">
        <v>6968</v>
      </c>
    </row>
    <row r="303" customFormat="false" ht="15" hidden="false" customHeight="false" outlineLevel="0" collapsed="false">
      <c r="A303" s="0" t="s">
        <v>6969</v>
      </c>
      <c r="B303" s="0" t="n">
        <v>1917</v>
      </c>
      <c r="C303" s="0" t="s">
        <v>6970</v>
      </c>
      <c r="D303" s="0" t="s">
        <v>6971</v>
      </c>
    </row>
    <row r="304" customFormat="false" ht="15" hidden="false" customHeight="false" outlineLevel="0" collapsed="false">
      <c r="A304" s="0" t="s">
        <v>6972</v>
      </c>
      <c r="B304" s="0" t="n">
        <v>1917</v>
      </c>
      <c r="C304" s="0" t="s">
        <v>6973</v>
      </c>
      <c r="D304" s="0" t="s">
        <v>6974</v>
      </c>
    </row>
    <row r="305" customFormat="false" ht="15" hidden="false" customHeight="false" outlineLevel="0" collapsed="false">
      <c r="A305" s="0" t="s">
        <v>6975</v>
      </c>
      <c r="B305" s="0" t="n">
        <v>1917</v>
      </c>
      <c r="C305" s="0" t="s">
        <v>6976</v>
      </c>
      <c r="D305" s="0" t="s">
        <v>6862</v>
      </c>
    </row>
    <row r="306" customFormat="false" ht="15" hidden="false" customHeight="false" outlineLevel="0" collapsed="false">
      <c r="A306" s="0" t="s">
        <v>6977</v>
      </c>
      <c r="B306" s="0" t="n">
        <v>1917</v>
      </c>
      <c r="C306" s="0" t="s">
        <v>6978</v>
      </c>
      <c r="D306" s="0" t="s">
        <v>6979</v>
      </c>
    </row>
    <row r="307" customFormat="false" ht="15" hidden="false" customHeight="false" outlineLevel="0" collapsed="false">
      <c r="A307" s="0" t="s">
        <v>6980</v>
      </c>
      <c r="B307" s="0" t="n">
        <v>1918</v>
      </c>
      <c r="C307" s="0" t="s">
        <v>6981</v>
      </c>
      <c r="D307" s="0" t="s">
        <v>6982</v>
      </c>
    </row>
    <row r="308" customFormat="false" ht="15" hidden="false" customHeight="false" outlineLevel="0" collapsed="false">
      <c r="A308" s="0" t="s">
        <v>6983</v>
      </c>
      <c r="B308" s="0" t="n">
        <v>1918</v>
      </c>
      <c r="C308" s="0" t="s">
        <v>6984</v>
      </c>
      <c r="D308" s="0" t="s">
        <v>6985</v>
      </c>
    </row>
    <row r="309" customFormat="false" ht="15" hidden="false" customHeight="false" outlineLevel="0" collapsed="false">
      <c r="A309" s="0" t="s">
        <v>6986</v>
      </c>
      <c r="B309" s="0" t="n">
        <v>1918</v>
      </c>
      <c r="C309" s="0" t="s">
        <v>6987</v>
      </c>
      <c r="D309" s="0" t="s">
        <v>6988</v>
      </c>
    </row>
    <row r="310" customFormat="false" ht="15" hidden="false" customHeight="false" outlineLevel="0" collapsed="false">
      <c r="A310" s="0" t="s">
        <v>6989</v>
      </c>
      <c r="B310" s="0" t="n">
        <v>1918</v>
      </c>
      <c r="C310" s="0" t="s">
        <v>6990</v>
      </c>
      <c r="D310" s="0" t="s">
        <v>6991</v>
      </c>
    </row>
    <row r="311" customFormat="false" ht="15" hidden="false" customHeight="false" outlineLevel="0" collapsed="false">
      <c r="A311" s="0" t="s">
        <v>6992</v>
      </c>
      <c r="B311" s="0" t="n">
        <v>1918</v>
      </c>
      <c r="C311" s="0" t="s">
        <v>6993</v>
      </c>
      <c r="D311" s="0" t="s">
        <v>6933</v>
      </c>
    </row>
    <row r="312" customFormat="false" ht="15" hidden="false" customHeight="false" outlineLevel="0" collapsed="false">
      <c r="A312" s="0" t="s">
        <v>6994</v>
      </c>
      <c r="B312" s="0" t="n">
        <v>1918</v>
      </c>
      <c r="C312" s="0" t="s">
        <v>6995</v>
      </c>
      <c r="D312" s="0" t="s">
        <v>6808</v>
      </c>
    </row>
    <row r="313" customFormat="false" ht="15" hidden="false" customHeight="false" outlineLevel="0" collapsed="false">
      <c r="A313" s="0" t="s">
        <v>6996</v>
      </c>
      <c r="B313" s="0" t="n">
        <v>1918</v>
      </c>
      <c r="C313" s="0" t="s">
        <v>6997</v>
      </c>
      <c r="D313" s="0" t="s">
        <v>6998</v>
      </c>
    </row>
    <row r="314" customFormat="false" ht="15" hidden="false" customHeight="false" outlineLevel="0" collapsed="false">
      <c r="A314" s="0" t="s">
        <v>6999</v>
      </c>
      <c r="B314" s="0" t="n">
        <v>1918</v>
      </c>
      <c r="C314" s="0" t="s">
        <v>7000</v>
      </c>
      <c r="D314" s="0" t="s">
        <v>7001</v>
      </c>
    </row>
    <row r="315" customFormat="false" ht="15" hidden="false" customHeight="false" outlineLevel="0" collapsed="false">
      <c r="A315" s="0" t="s">
        <v>7002</v>
      </c>
      <c r="B315" s="0" t="n">
        <v>1918</v>
      </c>
      <c r="C315" s="0" t="s">
        <v>7003</v>
      </c>
      <c r="D315" s="0" t="s">
        <v>7004</v>
      </c>
    </row>
    <row r="316" customFormat="false" ht="15" hidden="false" customHeight="false" outlineLevel="0" collapsed="false">
      <c r="A316" s="0" t="s">
        <v>7005</v>
      </c>
      <c r="B316" s="0" t="n">
        <v>1918</v>
      </c>
      <c r="C316" s="0" t="s">
        <v>7006</v>
      </c>
      <c r="D316" s="0" t="s">
        <v>7007</v>
      </c>
    </row>
    <row r="317" customFormat="false" ht="15" hidden="false" customHeight="false" outlineLevel="0" collapsed="false">
      <c r="A317" s="0" t="s">
        <v>7008</v>
      </c>
      <c r="B317" s="0" t="n">
        <v>1918</v>
      </c>
      <c r="C317" s="0" t="s">
        <v>7009</v>
      </c>
      <c r="D317" s="0" t="s">
        <v>7010</v>
      </c>
    </row>
    <row r="318" customFormat="false" ht="15" hidden="false" customHeight="false" outlineLevel="0" collapsed="false">
      <c r="A318" s="0" t="s">
        <v>7011</v>
      </c>
      <c r="B318" s="0" t="n">
        <v>1918</v>
      </c>
      <c r="C318" s="0" t="s">
        <v>7012</v>
      </c>
      <c r="D318" s="0" t="s">
        <v>7013</v>
      </c>
    </row>
    <row r="319" customFormat="false" ht="15" hidden="false" customHeight="false" outlineLevel="0" collapsed="false">
      <c r="A319" s="0" t="s">
        <v>7014</v>
      </c>
      <c r="B319" s="0" t="n">
        <v>1918</v>
      </c>
      <c r="C319" s="0" t="s">
        <v>7015</v>
      </c>
      <c r="D319" s="0" t="s">
        <v>7016</v>
      </c>
    </row>
    <row r="320" customFormat="false" ht="15" hidden="false" customHeight="false" outlineLevel="0" collapsed="false">
      <c r="A320" s="0" t="s">
        <v>7017</v>
      </c>
      <c r="B320" s="0" t="n">
        <v>1918</v>
      </c>
      <c r="C320" s="0" t="s">
        <v>7018</v>
      </c>
      <c r="D320" s="0" t="s">
        <v>7019</v>
      </c>
    </row>
    <row r="321" customFormat="false" ht="15" hidden="false" customHeight="false" outlineLevel="0" collapsed="false">
      <c r="A321" s="0" t="s">
        <v>7020</v>
      </c>
      <c r="B321" s="0" t="n">
        <v>1918</v>
      </c>
      <c r="C321" s="0" t="s">
        <v>7021</v>
      </c>
      <c r="D321" s="0" t="s">
        <v>7022</v>
      </c>
    </row>
    <row r="322" customFormat="false" ht="15" hidden="false" customHeight="false" outlineLevel="0" collapsed="false">
      <c r="A322" s="0" t="s">
        <v>7023</v>
      </c>
      <c r="B322" s="0" t="n">
        <v>1918</v>
      </c>
      <c r="C322" s="0" t="s">
        <v>7024</v>
      </c>
      <c r="D322" s="0" t="s">
        <v>7025</v>
      </c>
    </row>
    <row r="323" customFormat="false" ht="15" hidden="false" customHeight="false" outlineLevel="0" collapsed="false">
      <c r="A323" s="0" t="s">
        <v>7026</v>
      </c>
      <c r="B323" s="0" t="n">
        <v>1918</v>
      </c>
      <c r="C323" s="0" t="s">
        <v>7027</v>
      </c>
      <c r="D323" s="0" t="s">
        <v>7028</v>
      </c>
    </row>
    <row r="324" customFormat="false" ht="15" hidden="false" customHeight="false" outlineLevel="0" collapsed="false">
      <c r="A324" s="0" t="s">
        <v>7029</v>
      </c>
      <c r="B324" s="0" t="n">
        <v>1918</v>
      </c>
      <c r="C324" s="0" t="s">
        <v>7030</v>
      </c>
      <c r="D324" s="0" t="s">
        <v>7031</v>
      </c>
    </row>
    <row r="325" customFormat="false" ht="15" hidden="false" customHeight="false" outlineLevel="0" collapsed="false">
      <c r="A325" s="0" t="s">
        <v>7032</v>
      </c>
      <c r="B325" s="0" t="n">
        <v>1918</v>
      </c>
      <c r="C325" s="0" t="s">
        <v>7033</v>
      </c>
      <c r="D325" s="0" t="s">
        <v>7034</v>
      </c>
    </row>
    <row r="326" customFormat="false" ht="15" hidden="false" customHeight="false" outlineLevel="0" collapsed="false">
      <c r="A326" s="0" t="s">
        <v>7035</v>
      </c>
      <c r="B326" s="0" t="n">
        <v>1919</v>
      </c>
      <c r="C326" s="0" t="s">
        <v>7036</v>
      </c>
      <c r="D326" s="0" t="s">
        <v>6803</v>
      </c>
    </row>
    <row r="327" customFormat="false" ht="15" hidden="false" customHeight="false" outlineLevel="0" collapsed="false">
      <c r="A327" s="0" t="s">
        <v>7037</v>
      </c>
      <c r="B327" s="0" t="n">
        <v>1919</v>
      </c>
      <c r="C327" s="0" t="s">
        <v>7038</v>
      </c>
      <c r="D327" s="0" t="s">
        <v>7039</v>
      </c>
    </row>
    <row r="328" customFormat="false" ht="15" hidden="false" customHeight="false" outlineLevel="0" collapsed="false">
      <c r="A328" s="0" t="s">
        <v>7040</v>
      </c>
      <c r="B328" s="0" t="n">
        <v>1919</v>
      </c>
      <c r="C328" s="0" t="s">
        <v>7041</v>
      </c>
      <c r="D328" s="0" t="s">
        <v>7042</v>
      </c>
    </row>
    <row r="329" customFormat="false" ht="15" hidden="false" customHeight="false" outlineLevel="0" collapsed="false">
      <c r="A329" s="0" t="s">
        <v>7043</v>
      </c>
      <c r="B329" s="0" t="n">
        <v>1919</v>
      </c>
      <c r="C329" s="0" t="s">
        <v>7044</v>
      </c>
      <c r="D329" s="0" t="s">
        <v>7045</v>
      </c>
    </row>
    <row r="330" customFormat="false" ht="15" hidden="false" customHeight="false" outlineLevel="0" collapsed="false">
      <c r="A330" s="0" t="s">
        <v>7046</v>
      </c>
      <c r="B330" s="0" t="n">
        <v>1919</v>
      </c>
      <c r="C330" s="0" t="s">
        <v>7047</v>
      </c>
      <c r="D330" s="0" t="s">
        <v>7048</v>
      </c>
    </row>
    <row r="331" customFormat="false" ht="15" hidden="false" customHeight="false" outlineLevel="0" collapsed="false">
      <c r="A331" s="0" t="s">
        <v>7049</v>
      </c>
      <c r="B331" s="0" t="n">
        <v>1919</v>
      </c>
      <c r="C331" s="0" t="s">
        <v>7050</v>
      </c>
      <c r="D331" s="0" t="s">
        <v>7051</v>
      </c>
    </row>
    <row r="332" customFormat="false" ht="15" hidden="false" customHeight="false" outlineLevel="0" collapsed="false">
      <c r="A332" s="0" t="s">
        <v>7052</v>
      </c>
      <c r="B332" s="0" t="n">
        <v>1919</v>
      </c>
      <c r="C332" s="0" t="s">
        <v>7053</v>
      </c>
      <c r="D332" s="0" t="s">
        <v>7054</v>
      </c>
    </row>
    <row r="333" customFormat="false" ht="15" hidden="false" customHeight="false" outlineLevel="0" collapsed="false">
      <c r="A333" s="0" t="s">
        <v>7055</v>
      </c>
      <c r="B333" s="0" t="n">
        <v>1919</v>
      </c>
      <c r="C333" s="0" t="s">
        <v>7056</v>
      </c>
      <c r="D333" s="0" t="s">
        <v>7057</v>
      </c>
    </row>
    <row r="334" customFormat="false" ht="15" hidden="false" customHeight="false" outlineLevel="0" collapsed="false">
      <c r="A334" s="0" t="s">
        <v>7058</v>
      </c>
      <c r="B334" s="0" t="n">
        <v>1919</v>
      </c>
      <c r="C334" s="0" t="s">
        <v>7059</v>
      </c>
      <c r="D334" s="0" t="s">
        <v>7060</v>
      </c>
    </row>
    <row r="335" customFormat="false" ht="15" hidden="false" customHeight="false" outlineLevel="0" collapsed="false">
      <c r="A335" s="0" t="s">
        <v>7061</v>
      </c>
      <c r="B335" s="0" t="n">
        <v>1919</v>
      </c>
      <c r="C335" s="0" t="s">
        <v>7062</v>
      </c>
      <c r="D335" s="0" t="s">
        <v>7063</v>
      </c>
    </row>
    <row r="336" customFormat="false" ht="15" hidden="false" customHeight="false" outlineLevel="0" collapsed="false">
      <c r="A336" s="0" t="s">
        <v>7064</v>
      </c>
      <c r="B336" s="0" t="n">
        <v>1920</v>
      </c>
      <c r="C336" s="0" t="s">
        <v>7065</v>
      </c>
      <c r="D336" s="0" t="s">
        <v>7066</v>
      </c>
    </row>
    <row r="337" customFormat="false" ht="15" hidden="false" customHeight="false" outlineLevel="0" collapsed="false">
      <c r="A337" s="0" t="s">
        <v>7067</v>
      </c>
      <c r="B337" s="0" t="n">
        <v>1920</v>
      </c>
      <c r="C337" s="0" t="s">
        <v>7068</v>
      </c>
      <c r="D337" s="0" t="s">
        <v>7069</v>
      </c>
    </row>
    <row r="338" customFormat="false" ht="15" hidden="false" customHeight="false" outlineLevel="0" collapsed="false">
      <c r="A338" s="0" t="s">
        <v>7070</v>
      </c>
      <c r="B338" s="0" t="n">
        <v>1920</v>
      </c>
      <c r="C338" s="0" t="s">
        <v>7071</v>
      </c>
      <c r="D338" s="0" t="s">
        <v>7001</v>
      </c>
    </row>
    <row r="339" customFormat="false" ht="15" hidden="false" customHeight="false" outlineLevel="0" collapsed="false">
      <c r="A339" s="0" t="s">
        <v>7072</v>
      </c>
      <c r="B339" s="0" t="n">
        <v>1920</v>
      </c>
      <c r="C339" s="0" t="s">
        <v>7073</v>
      </c>
      <c r="D339" s="0" t="s">
        <v>7074</v>
      </c>
    </row>
    <row r="340" customFormat="false" ht="15" hidden="false" customHeight="false" outlineLevel="0" collapsed="false">
      <c r="A340" s="0" t="s">
        <v>7075</v>
      </c>
      <c r="B340" s="0" t="n">
        <v>1920</v>
      </c>
      <c r="C340" s="0" t="s">
        <v>7076</v>
      </c>
      <c r="D340" s="0" t="s">
        <v>7007</v>
      </c>
    </row>
    <row r="341" customFormat="false" ht="15" hidden="false" customHeight="false" outlineLevel="0" collapsed="false">
      <c r="A341" s="0" t="s">
        <v>7077</v>
      </c>
      <c r="B341" s="0" t="n">
        <v>1920</v>
      </c>
      <c r="C341" s="0" t="s">
        <v>7078</v>
      </c>
      <c r="D341" s="0" t="s">
        <v>7079</v>
      </c>
    </row>
    <row r="342" customFormat="false" ht="15" hidden="false" customHeight="false" outlineLevel="0" collapsed="false">
      <c r="A342" s="0" t="s">
        <v>7080</v>
      </c>
      <c r="B342" s="0" t="n">
        <v>1920</v>
      </c>
      <c r="C342" s="0" t="s">
        <v>7081</v>
      </c>
      <c r="D342" s="0" t="s">
        <v>6839</v>
      </c>
    </row>
    <row r="343" customFormat="false" ht="15" hidden="false" customHeight="false" outlineLevel="0" collapsed="false">
      <c r="A343" s="0" t="s">
        <v>7082</v>
      </c>
      <c r="B343" s="0" t="n">
        <v>1921</v>
      </c>
      <c r="C343" s="0" t="s">
        <v>7083</v>
      </c>
      <c r="D343" s="0" t="s">
        <v>7084</v>
      </c>
    </row>
    <row r="344" customFormat="false" ht="15" hidden="false" customHeight="false" outlineLevel="0" collapsed="false">
      <c r="A344" s="0" t="s">
        <v>7085</v>
      </c>
      <c r="B344" s="0" t="n">
        <v>1921</v>
      </c>
      <c r="C344" s="0" t="s">
        <v>7086</v>
      </c>
      <c r="D344" s="0" t="s">
        <v>7087</v>
      </c>
    </row>
    <row r="345" customFormat="false" ht="15" hidden="false" customHeight="false" outlineLevel="0" collapsed="false">
      <c r="A345" s="0" t="s">
        <v>7088</v>
      </c>
      <c r="B345" s="0" t="n">
        <v>1921</v>
      </c>
      <c r="C345" s="0" t="s">
        <v>7089</v>
      </c>
      <c r="D345" s="0" t="s">
        <v>7090</v>
      </c>
    </row>
    <row r="346" customFormat="false" ht="15" hidden="false" customHeight="false" outlineLevel="0" collapsed="false">
      <c r="A346" s="0" t="s">
        <v>7091</v>
      </c>
      <c r="B346" s="0" t="n">
        <v>1921</v>
      </c>
      <c r="C346" s="0" t="s">
        <v>7092</v>
      </c>
      <c r="D346" s="0" t="s">
        <v>7093</v>
      </c>
    </row>
    <row r="347" customFormat="false" ht="15" hidden="false" customHeight="false" outlineLevel="0" collapsed="false">
      <c r="A347" s="0" t="s">
        <v>7094</v>
      </c>
      <c r="B347" s="0" t="n">
        <v>1921</v>
      </c>
      <c r="C347" s="0" t="s">
        <v>7095</v>
      </c>
      <c r="D347" s="0" t="s">
        <v>7096</v>
      </c>
    </row>
    <row r="348" customFormat="false" ht="15" hidden="false" customHeight="false" outlineLevel="0" collapsed="false">
      <c r="A348" s="0" t="s">
        <v>7097</v>
      </c>
      <c r="B348" s="0" t="n">
        <v>1921</v>
      </c>
      <c r="C348" s="0" t="s">
        <v>7098</v>
      </c>
      <c r="D348" s="0" t="s">
        <v>7099</v>
      </c>
    </row>
    <row r="349" customFormat="false" ht="15" hidden="false" customHeight="false" outlineLevel="0" collapsed="false">
      <c r="A349" s="0" t="s">
        <v>7100</v>
      </c>
      <c r="B349" s="0" t="n">
        <v>1921</v>
      </c>
      <c r="C349" s="0" t="s">
        <v>7101</v>
      </c>
      <c r="D349" s="0" t="s">
        <v>7102</v>
      </c>
    </row>
    <row r="350" customFormat="false" ht="15" hidden="false" customHeight="false" outlineLevel="0" collapsed="false">
      <c r="A350" s="0" t="s">
        <v>7103</v>
      </c>
      <c r="B350" s="0" t="n">
        <v>1921</v>
      </c>
      <c r="C350" s="0" t="s">
        <v>7104</v>
      </c>
      <c r="D350" s="0" t="s">
        <v>7105</v>
      </c>
    </row>
    <row r="351" customFormat="false" ht="15" hidden="false" customHeight="false" outlineLevel="0" collapsed="false">
      <c r="A351" s="0" t="s">
        <v>7106</v>
      </c>
      <c r="B351" s="0" t="n">
        <v>1921</v>
      </c>
      <c r="C351" s="0" t="s">
        <v>7107</v>
      </c>
      <c r="D351" s="0" t="s">
        <v>7108</v>
      </c>
    </row>
    <row r="352" customFormat="false" ht="15" hidden="false" customHeight="false" outlineLevel="0" collapsed="false">
      <c r="A352" s="0" t="s">
        <v>7109</v>
      </c>
      <c r="B352" s="0" t="n">
        <v>1921</v>
      </c>
      <c r="C352" s="0" t="s">
        <v>7110</v>
      </c>
      <c r="D352" s="0" t="s">
        <v>6791</v>
      </c>
    </row>
    <row r="353" customFormat="false" ht="15" hidden="false" customHeight="false" outlineLevel="0" collapsed="false">
      <c r="A353" s="0" t="s">
        <v>7111</v>
      </c>
      <c r="B353" s="0" t="n">
        <v>1922</v>
      </c>
      <c r="C353" s="0" t="s">
        <v>7112</v>
      </c>
      <c r="D353" s="0" t="s">
        <v>7113</v>
      </c>
    </row>
    <row r="354" customFormat="false" ht="15" hidden="false" customHeight="false" outlineLevel="0" collapsed="false">
      <c r="A354" s="0" t="s">
        <v>7114</v>
      </c>
      <c r="B354" s="0" t="n">
        <v>1922</v>
      </c>
      <c r="C354" s="0" t="s">
        <v>7115</v>
      </c>
      <c r="D354" s="0" t="s">
        <v>7116</v>
      </c>
    </row>
    <row r="355" customFormat="false" ht="15" hidden="false" customHeight="false" outlineLevel="0" collapsed="false">
      <c r="A355" s="0" t="s">
        <v>7117</v>
      </c>
      <c r="B355" s="0" t="n">
        <v>1922</v>
      </c>
      <c r="C355" s="0" t="s">
        <v>7118</v>
      </c>
      <c r="D355" s="0" t="s">
        <v>7119</v>
      </c>
    </row>
    <row r="356" customFormat="false" ht="15" hidden="false" customHeight="false" outlineLevel="0" collapsed="false">
      <c r="A356" s="0" t="s">
        <v>7120</v>
      </c>
      <c r="B356" s="0" t="n">
        <v>1922</v>
      </c>
      <c r="C356" s="0" t="s">
        <v>7121</v>
      </c>
      <c r="D356" s="0" t="s">
        <v>6218</v>
      </c>
    </row>
    <row r="357" customFormat="false" ht="15" hidden="false" customHeight="false" outlineLevel="0" collapsed="false">
      <c r="A357" s="0" t="s">
        <v>7122</v>
      </c>
      <c r="B357" s="0" t="n">
        <v>1922</v>
      </c>
      <c r="C357" s="0" t="s">
        <v>7123</v>
      </c>
      <c r="D357" s="0" t="s">
        <v>7124</v>
      </c>
    </row>
    <row r="358" customFormat="false" ht="15" hidden="false" customHeight="false" outlineLevel="0" collapsed="false">
      <c r="A358" s="0" t="s">
        <v>7125</v>
      </c>
      <c r="B358" s="0" t="n">
        <v>1922</v>
      </c>
      <c r="C358" s="0" t="s">
        <v>7126</v>
      </c>
      <c r="D358" s="0" t="s">
        <v>7127</v>
      </c>
    </row>
    <row r="359" customFormat="false" ht="15" hidden="false" customHeight="false" outlineLevel="0" collapsed="false">
      <c r="A359" s="0" t="s">
        <v>7128</v>
      </c>
      <c r="B359" s="0" t="n">
        <v>1922</v>
      </c>
      <c r="C359" s="0" t="s">
        <v>7129</v>
      </c>
      <c r="D359" s="0" t="s">
        <v>7130</v>
      </c>
    </row>
    <row r="360" customFormat="false" ht="15" hidden="false" customHeight="false" outlineLevel="0" collapsed="false">
      <c r="A360" s="0" t="s">
        <v>7131</v>
      </c>
      <c r="B360" s="0" t="n">
        <v>1922</v>
      </c>
      <c r="C360" s="0" t="s">
        <v>7132</v>
      </c>
      <c r="D360" s="0" t="s">
        <v>7133</v>
      </c>
    </row>
    <row r="361" customFormat="false" ht="15" hidden="false" customHeight="false" outlineLevel="0" collapsed="false">
      <c r="A361" s="0" t="s">
        <v>7134</v>
      </c>
      <c r="B361" s="0" t="n">
        <v>1922</v>
      </c>
      <c r="C361" s="0" t="s">
        <v>7135</v>
      </c>
      <c r="D361" s="0" t="s">
        <v>7136</v>
      </c>
    </row>
    <row r="362" customFormat="false" ht="15" hidden="false" customHeight="false" outlineLevel="0" collapsed="false">
      <c r="A362" s="0" t="s">
        <v>7137</v>
      </c>
      <c r="B362" s="0" t="n">
        <v>1922</v>
      </c>
      <c r="C362" s="0" t="s">
        <v>7138</v>
      </c>
      <c r="D362" s="0" t="s">
        <v>7139</v>
      </c>
    </row>
    <row r="363" customFormat="false" ht="15" hidden="false" customHeight="false" outlineLevel="0" collapsed="false">
      <c r="A363" s="0" t="s">
        <v>7140</v>
      </c>
      <c r="B363" s="0" t="n">
        <v>1922</v>
      </c>
      <c r="C363" s="0" t="s">
        <v>7141</v>
      </c>
      <c r="D363" s="0" t="s">
        <v>7142</v>
      </c>
    </row>
    <row r="364" customFormat="false" ht="15" hidden="false" customHeight="false" outlineLevel="0" collapsed="false">
      <c r="A364" s="0" t="s">
        <v>7143</v>
      </c>
      <c r="B364" s="0" t="n">
        <v>1922</v>
      </c>
      <c r="C364" s="0" t="s">
        <v>7144</v>
      </c>
      <c r="D364" s="0" t="s">
        <v>7145</v>
      </c>
    </row>
    <row r="365" customFormat="false" ht="15" hidden="false" customHeight="false" outlineLevel="0" collapsed="false">
      <c r="A365" s="0" t="s">
        <v>7146</v>
      </c>
      <c r="B365" s="0" t="n">
        <v>1922</v>
      </c>
      <c r="C365" s="0" t="s">
        <v>7147</v>
      </c>
      <c r="D365" s="0" t="s">
        <v>7148</v>
      </c>
    </row>
    <row r="366" customFormat="false" ht="15" hidden="false" customHeight="false" outlineLevel="0" collapsed="false">
      <c r="A366" s="0" t="s">
        <v>7149</v>
      </c>
      <c r="B366" s="0" t="n">
        <v>1922</v>
      </c>
      <c r="C366" s="0" t="s">
        <v>7150</v>
      </c>
      <c r="D366" s="0" t="s">
        <v>6653</v>
      </c>
    </row>
    <row r="367" customFormat="false" ht="15" hidden="false" customHeight="false" outlineLevel="0" collapsed="false">
      <c r="A367" s="0" t="s">
        <v>7151</v>
      </c>
      <c r="B367" s="0" t="n">
        <v>1922</v>
      </c>
      <c r="C367" s="0" t="s">
        <v>7152</v>
      </c>
      <c r="D367" s="0" t="s">
        <v>6695</v>
      </c>
    </row>
    <row r="368" customFormat="false" ht="15" hidden="false" customHeight="false" outlineLevel="0" collapsed="false">
      <c r="A368" s="0" t="s">
        <v>7153</v>
      </c>
      <c r="B368" s="0" t="n">
        <v>1922</v>
      </c>
      <c r="C368" s="0" t="s">
        <v>7154</v>
      </c>
      <c r="D368" s="0" t="s">
        <v>7155</v>
      </c>
    </row>
    <row r="369" customFormat="false" ht="15" hidden="false" customHeight="false" outlineLevel="0" collapsed="false">
      <c r="A369" s="0" t="s">
        <v>7156</v>
      </c>
      <c r="B369" s="0" t="n">
        <v>1922</v>
      </c>
      <c r="C369" s="0" t="s">
        <v>7157</v>
      </c>
      <c r="D369" s="0" t="s">
        <v>7158</v>
      </c>
    </row>
    <row r="370" customFormat="false" ht="15" hidden="false" customHeight="false" outlineLevel="0" collapsed="false">
      <c r="A370" s="0" t="s">
        <v>7159</v>
      </c>
      <c r="B370" s="0" t="n">
        <v>1922</v>
      </c>
      <c r="C370" s="0" t="s">
        <v>7160</v>
      </c>
      <c r="D370" s="0" t="s">
        <v>7161</v>
      </c>
    </row>
    <row r="371" customFormat="false" ht="15" hidden="false" customHeight="false" outlineLevel="0" collapsed="false">
      <c r="A371" s="0" t="s">
        <v>7162</v>
      </c>
      <c r="B371" s="0" t="n">
        <v>1922</v>
      </c>
      <c r="C371" s="0" t="s">
        <v>7163</v>
      </c>
      <c r="D371" s="0" t="s">
        <v>7164</v>
      </c>
    </row>
    <row r="372" customFormat="false" ht="15" hidden="false" customHeight="false" outlineLevel="0" collapsed="false">
      <c r="A372" s="0" t="s">
        <v>7165</v>
      </c>
      <c r="B372" s="0" t="n">
        <v>1922</v>
      </c>
      <c r="C372" s="0" t="s">
        <v>7166</v>
      </c>
      <c r="D372" s="0" t="s">
        <v>7167</v>
      </c>
    </row>
    <row r="373" customFormat="false" ht="15" hidden="false" customHeight="false" outlineLevel="0" collapsed="false">
      <c r="A373" s="0" t="s">
        <v>7168</v>
      </c>
      <c r="B373" s="0" t="n">
        <v>1922</v>
      </c>
      <c r="C373" s="0" t="s">
        <v>7169</v>
      </c>
      <c r="D373" s="0" t="s">
        <v>7170</v>
      </c>
    </row>
    <row r="374" customFormat="false" ht="15" hidden="false" customHeight="false" outlineLevel="0" collapsed="false">
      <c r="A374" s="0" t="s">
        <v>7171</v>
      </c>
      <c r="B374" s="0" t="n">
        <v>1923</v>
      </c>
      <c r="C374" s="0" t="s">
        <v>7172</v>
      </c>
      <c r="D374" s="0" t="s">
        <v>7173</v>
      </c>
    </row>
    <row r="375" customFormat="false" ht="15" hidden="false" customHeight="false" outlineLevel="0" collapsed="false">
      <c r="A375" s="0" t="s">
        <v>7174</v>
      </c>
      <c r="B375" s="0" t="n">
        <v>1923</v>
      </c>
      <c r="C375" s="0" t="s">
        <v>7175</v>
      </c>
      <c r="D375" s="0" t="s">
        <v>7176</v>
      </c>
    </row>
    <row r="376" customFormat="false" ht="15" hidden="false" customHeight="false" outlineLevel="0" collapsed="false">
      <c r="A376" s="0" t="s">
        <v>7177</v>
      </c>
      <c r="B376" s="0" t="n">
        <v>1923</v>
      </c>
      <c r="C376" s="0" t="s">
        <v>7178</v>
      </c>
      <c r="D376" s="0" t="s">
        <v>7179</v>
      </c>
    </row>
    <row r="377" customFormat="false" ht="15" hidden="false" customHeight="false" outlineLevel="0" collapsed="false">
      <c r="A377" s="0" t="s">
        <v>7180</v>
      </c>
      <c r="B377" s="0" t="n">
        <v>1923</v>
      </c>
      <c r="C377" s="0" t="s">
        <v>7181</v>
      </c>
      <c r="D377" s="0" t="s">
        <v>7182</v>
      </c>
    </row>
    <row r="378" customFormat="false" ht="15" hidden="false" customHeight="false" outlineLevel="0" collapsed="false">
      <c r="A378" s="0" t="s">
        <v>7183</v>
      </c>
      <c r="B378" s="0" t="n">
        <v>1923</v>
      </c>
      <c r="C378" s="0" t="s">
        <v>7184</v>
      </c>
      <c r="D378" s="0" t="s">
        <v>7185</v>
      </c>
    </row>
    <row r="379" customFormat="false" ht="15" hidden="false" customHeight="false" outlineLevel="0" collapsed="false">
      <c r="A379" s="0" t="s">
        <v>7186</v>
      </c>
      <c r="B379" s="0" t="n">
        <v>1923</v>
      </c>
      <c r="C379" s="0" t="s">
        <v>7187</v>
      </c>
      <c r="D379" s="0" t="s">
        <v>7188</v>
      </c>
    </row>
    <row r="380" customFormat="false" ht="15" hidden="false" customHeight="false" outlineLevel="0" collapsed="false">
      <c r="A380" s="0" t="s">
        <v>7189</v>
      </c>
      <c r="B380" s="0" t="n">
        <v>1923</v>
      </c>
      <c r="C380" s="0" t="s">
        <v>7190</v>
      </c>
      <c r="D380" s="0" t="s">
        <v>7191</v>
      </c>
    </row>
    <row r="381" customFormat="false" ht="15" hidden="false" customHeight="false" outlineLevel="0" collapsed="false">
      <c r="A381" s="0" t="s">
        <v>7192</v>
      </c>
      <c r="B381" s="0" t="n">
        <v>1923</v>
      </c>
      <c r="C381" s="0" t="s">
        <v>7193</v>
      </c>
      <c r="D381" s="0" t="s">
        <v>7194</v>
      </c>
    </row>
    <row r="382" customFormat="false" ht="15" hidden="false" customHeight="false" outlineLevel="0" collapsed="false">
      <c r="A382" s="0" t="s">
        <v>7195</v>
      </c>
      <c r="B382" s="0" t="n">
        <v>1923</v>
      </c>
      <c r="C382" s="0" t="s">
        <v>7196</v>
      </c>
      <c r="D382" s="0" t="s">
        <v>7197</v>
      </c>
    </row>
    <row r="383" customFormat="false" ht="15" hidden="false" customHeight="false" outlineLevel="0" collapsed="false">
      <c r="A383" s="0" t="s">
        <v>7198</v>
      </c>
      <c r="B383" s="0" t="n">
        <v>1923</v>
      </c>
      <c r="C383" s="0" t="s">
        <v>7199</v>
      </c>
      <c r="D383" s="0" t="s">
        <v>7200</v>
      </c>
    </row>
    <row r="384" customFormat="false" ht="15" hidden="false" customHeight="false" outlineLevel="0" collapsed="false">
      <c r="A384" s="0" t="s">
        <v>7201</v>
      </c>
      <c r="B384" s="0" t="n">
        <v>1923</v>
      </c>
      <c r="C384" s="0" t="s">
        <v>7202</v>
      </c>
      <c r="D384" s="0" t="s">
        <v>6560</v>
      </c>
    </row>
    <row r="385" customFormat="false" ht="15" hidden="false" customHeight="false" outlineLevel="0" collapsed="false">
      <c r="A385" s="0" t="s">
        <v>7203</v>
      </c>
      <c r="B385" s="0" t="n">
        <v>1923</v>
      </c>
      <c r="C385" s="0" t="s">
        <v>7204</v>
      </c>
      <c r="D385" s="0" t="s">
        <v>7205</v>
      </c>
    </row>
    <row r="386" customFormat="false" ht="15" hidden="false" customHeight="false" outlineLevel="0" collapsed="false">
      <c r="A386" s="0" t="s">
        <v>7206</v>
      </c>
      <c r="B386" s="0" t="n">
        <v>1923</v>
      </c>
      <c r="C386" s="0" t="s">
        <v>7207</v>
      </c>
      <c r="D386" s="0" t="s">
        <v>7208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3"/>
  <sheetViews>
    <sheetView showFormulas="false" showGridLines="true" showRowColHeaders="true" showZeros="true" rightToLeft="false" tabSelected="false" showOutlineSymbols="true" defaultGridColor="true" view="normal" topLeftCell="A67" colorId="64" zoomScale="100" zoomScaleNormal="100" zoomScalePageLayoutView="100" workbookViewId="0">
      <selection pane="topLeft" activeCell="E103" activeCellId="0" sqref="E103"/>
    </sheetView>
  </sheetViews>
  <sheetFormatPr defaultColWidth="8.6796875" defaultRowHeight="15" customHeight="false" zeroHeight="false" outlineLevelRow="0" outlineLevelCol="0"/>
  <sheetData>
    <row r="1" customFormat="false" ht="15" hidden="false" customHeight="false" outlineLevel="0" collapsed="false">
      <c r="A1" s="0" t="s">
        <v>0</v>
      </c>
      <c r="B1" s="0" t="s">
        <v>1</v>
      </c>
      <c r="C1" s="0" t="s">
        <v>9</v>
      </c>
      <c r="D1" s="0" t="s">
        <v>2</v>
      </c>
      <c r="E1" s="0" t="s">
        <v>7209</v>
      </c>
    </row>
    <row r="2" customFormat="false" ht="15" hidden="false" customHeight="false" outlineLevel="0" collapsed="false">
      <c r="A2" s="0" t="n">
        <v>24762</v>
      </c>
      <c r="B2" s="0" t="n">
        <v>1887</v>
      </c>
      <c r="C2" s="0" t="s">
        <v>7210</v>
      </c>
      <c r="D2" s="0" t="s">
        <v>7211</v>
      </c>
      <c r="E2" s="0" t="s">
        <v>23</v>
      </c>
    </row>
    <row r="3" customFormat="false" ht="15" hidden="false" customHeight="false" outlineLevel="0" collapsed="false">
      <c r="A3" s="0" t="n">
        <v>31014</v>
      </c>
      <c r="B3" s="0" t="n">
        <v>1888</v>
      </c>
      <c r="C3" s="0" t="s">
        <v>7212</v>
      </c>
      <c r="D3" s="0" t="s">
        <v>7213</v>
      </c>
      <c r="E3" s="0" t="s">
        <v>23</v>
      </c>
    </row>
    <row r="4" customFormat="false" ht="15" hidden="false" customHeight="false" outlineLevel="0" collapsed="false">
      <c r="A4" s="0" t="n">
        <v>32696</v>
      </c>
      <c r="B4" s="0" t="n">
        <v>1888</v>
      </c>
      <c r="C4" s="0" t="s">
        <v>7214</v>
      </c>
      <c r="D4" s="0" t="s">
        <v>7215</v>
      </c>
      <c r="E4" s="0" t="s">
        <v>23</v>
      </c>
    </row>
    <row r="5" customFormat="false" ht="15" hidden="false" customHeight="false" outlineLevel="0" collapsed="false">
      <c r="A5" s="0" t="n">
        <v>76102</v>
      </c>
      <c r="B5" s="0" t="n">
        <v>1889</v>
      </c>
      <c r="C5" s="0" t="s">
        <v>7216</v>
      </c>
      <c r="D5" s="0" t="s">
        <v>6644</v>
      </c>
      <c r="E5" s="0" t="s">
        <v>23</v>
      </c>
    </row>
    <row r="6" customFormat="false" ht="15" hidden="false" customHeight="false" outlineLevel="0" collapsed="false">
      <c r="A6" s="0" t="n">
        <v>90025</v>
      </c>
      <c r="B6" s="0" t="n">
        <v>1889</v>
      </c>
      <c r="C6" s="0" t="s">
        <v>7217</v>
      </c>
      <c r="D6" s="0" t="s">
        <v>7218</v>
      </c>
      <c r="E6" s="0" t="s">
        <v>23</v>
      </c>
    </row>
    <row r="7" customFormat="false" ht="15" hidden="false" customHeight="false" outlineLevel="0" collapsed="false">
      <c r="A7" s="0" t="n">
        <v>95364</v>
      </c>
      <c r="B7" s="0" t="n">
        <v>1891</v>
      </c>
      <c r="C7" s="0" t="s">
        <v>7219</v>
      </c>
      <c r="D7" s="0" t="s">
        <v>7220</v>
      </c>
      <c r="E7" s="0" t="s">
        <v>23</v>
      </c>
    </row>
    <row r="8" customFormat="false" ht="15" hidden="false" customHeight="false" outlineLevel="0" collapsed="false">
      <c r="A8" s="0" t="n">
        <v>108894</v>
      </c>
      <c r="B8" s="0" t="n">
        <v>1891</v>
      </c>
      <c r="C8" s="0" t="s">
        <v>7221</v>
      </c>
      <c r="D8" s="0" t="s">
        <v>7222</v>
      </c>
      <c r="E8" s="0" t="s">
        <v>23</v>
      </c>
    </row>
    <row r="9" customFormat="false" ht="15" hidden="false" customHeight="false" outlineLevel="0" collapsed="false">
      <c r="A9" s="0" t="n">
        <v>126940</v>
      </c>
      <c r="B9" s="0" t="n">
        <v>1891</v>
      </c>
      <c r="C9" s="0" t="s">
        <v>7223</v>
      </c>
      <c r="D9" s="0" t="s">
        <v>7224</v>
      </c>
      <c r="E9" s="0" t="s">
        <v>23</v>
      </c>
    </row>
    <row r="10" customFormat="false" ht="15" hidden="false" customHeight="false" outlineLevel="0" collapsed="false">
      <c r="A10" s="0" t="n">
        <v>139237</v>
      </c>
      <c r="B10" s="0" t="n">
        <v>1893</v>
      </c>
      <c r="C10" s="0" t="s">
        <v>7225</v>
      </c>
      <c r="D10" s="0" t="s">
        <v>7226</v>
      </c>
      <c r="E10" s="0" t="s">
        <v>23</v>
      </c>
    </row>
    <row r="11" customFormat="false" ht="15" hidden="false" customHeight="false" outlineLevel="0" collapsed="false">
      <c r="A11" s="0" t="n">
        <v>146164</v>
      </c>
      <c r="B11" s="0" t="n">
        <v>1893</v>
      </c>
      <c r="C11" s="0" t="s">
        <v>7227</v>
      </c>
      <c r="D11" s="0" t="s">
        <v>7228</v>
      </c>
      <c r="E11" s="0" t="s">
        <v>23</v>
      </c>
    </row>
    <row r="12" customFormat="false" ht="15" hidden="false" customHeight="false" outlineLevel="0" collapsed="false">
      <c r="A12" s="0" t="n">
        <v>166547</v>
      </c>
      <c r="B12" s="0" t="n">
        <v>1894</v>
      </c>
      <c r="C12" s="0" t="s">
        <v>7229</v>
      </c>
      <c r="D12" s="0" t="s">
        <v>7230</v>
      </c>
      <c r="E12" s="0" t="s">
        <v>23</v>
      </c>
    </row>
    <row r="13" customFormat="false" ht="15" hidden="false" customHeight="false" outlineLevel="0" collapsed="false">
      <c r="A13" s="0" t="n">
        <v>166617</v>
      </c>
      <c r="B13" s="0" t="n">
        <v>1894</v>
      </c>
      <c r="C13" s="0" t="s">
        <v>7231</v>
      </c>
      <c r="D13" s="0" t="s">
        <v>7232</v>
      </c>
      <c r="E13" s="0" t="s">
        <v>23</v>
      </c>
    </row>
    <row r="14" customFormat="false" ht="15" hidden="false" customHeight="false" outlineLevel="0" collapsed="false">
      <c r="A14" s="0" t="n">
        <v>171059</v>
      </c>
      <c r="B14" s="0" t="n">
        <v>1894</v>
      </c>
      <c r="C14" s="0" t="s">
        <v>7233</v>
      </c>
      <c r="D14" s="0" t="s">
        <v>7234</v>
      </c>
      <c r="E14" s="0" t="s">
        <v>23</v>
      </c>
    </row>
    <row r="15" customFormat="false" ht="15" hidden="false" customHeight="false" outlineLevel="0" collapsed="false">
      <c r="A15" s="0" t="n">
        <v>171724</v>
      </c>
      <c r="B15" s="0" t="n">
        <v>1894</v>
      </c>
      <c r="C15" s="0" t="s">
        <v>7235</v>
      </c>
      <c r="D15" s="0" t="s">
        <v>7236</v>
      </c>
      <c r="E15" s="0" t="s">
        <v>23</v>
      </c>
    </row>
    <row r="16" customFormat="false" ht="15" hidden="false" customHeight="false" outlineLevel="0" collapsed="false">
      <c r="A16" s="0" t="n">
        <v>183207</v>
      </c>
      <c r="B16" s="0" t="n">
        <v>1894</v>
      </c>
      <c r="C16" s="0" t="s">
        <v>7237</v>
      </c>
      <c r="D16" s="0" t="s">
        <v>7238</v>
      </c>
      <c r="E16" s="0" t="s">
        <v>23</v>
      </c>
    </row>
    <row r="17" customFormat="false" ht="15" hidden="false" customHeight="false" outlineLevel="0" collapsed="false">
      <c r="A17" s="0" t="n">
        <v>212680</v>
      </c>
      <c r="B17" s="0" t="n">
        <v>1895</v>
      </c>
      <c r="C17" s="0" t="s">
        <v>7239</v>
      </c>
      <c r="D17" s="0" t="s">
        <v>7240</v>
      </c>
      <c r="E17" s="0" t="s">
        <v>23</v>
      </c>
    </row>
    <row r="18" customFormat="false" ht="15" hidden="false" customHeight="false" outlineLevel="0" collapsed="false">
      <c r="A18" s="0" t="n">
        <v>225715</v>
      </c>
      <c r="B18" s="0" t="n">
        <v>1895</v>
      </c>
      <c r="C18" s="0" t="s">
        <v>7241</v>
      </c>
      <c r="D18" s="0" t="s">
        <v>6314</v>
      </c>
      <c r="E18" s="0" t="s">
        <v>24</v>
      </c>
    </row>
    <row r="19" customFormat="false" ht="15" hidden="false" customHeight="false" outlineLevel="0" collapsed="false">
      <c r="A19" s="0" t="n">
        <v>275953</v>
      </c>
      <c r="B19" s="0" t="n">
        <v>1903</v>
      </c>
      <c r="C19" s="0" t="s">
        <v>7242</v>
      </c>
      <c r="D19" s="0" t="s">
        <v>7243</v>
      </c>
      <c r="E19" s="0" t="s">
        <v>24</v>
      </c>
    </row>
    <row r="20" customFormat="false" ht="15" hidden="false" customHeight="false" outlineLevel="0" collapsed="false">
      <c r="A20" s="0" t="n">
        <v>283313</v>
      </c>
      <c r="B20" s="0" t="n">
        <v>1908</v>
      </c>
      <c r="C20" s="0" t="s">
        <v>7244</v>
      </c>
      <c r="D20" s="0" t="s">
        <v>7245</v>
      </c>
      <c r="E20" s="0" t="s">
        <v>23</v>
      </c>
    </row>
    <row r="21" customFormat="false" ht="15" hidden="false" customHeight="false" outlineLevel="0" collapsed="false">
      <c r="A21" s="0" t="n">
        <v>301571</v>
      </c>
      <c r="B21" s="0" t="n">
        <v>1908</v>
      </c>
      <c r="C21" s="0" t="s">
        <v>7246</v>
      </c>
      <c r="D21" s="0" t="s">
        <v>7247</v>
      </c>
      <c r="E21" s="0" t="s">
        <v>23</v>
      </c>
    </row>
    <row r="22" customFormat="false" ht="15" hidden="false" customHeight="false" outlineLevel="0" collapsed="false">
      <c r="A22" s="0" t="n">
        <v>309336</v>
      </c>
      <c r="B22" s="0" t="n">
        <v>1908</v>
      </c>
      <c r="C22" s="0" t="s">
        <v>7248</v>
      </c>
      <c r="D22" s="0" t="s">
        <v>7249</v>
      </c>
      <c r="E22" s="0" t="s">
        <v>23</v>
      </c>
    </row>
    <row r="23" customFormat="false" ht="15" hidden="false" customHeight="false" outlineLevel="0" collapsed="false">
      <c r="A23" s="0" t="n">
        <v>326850</v>
      </c>
      <c r="B23" s="0" t="n">
        <v>1908</v>
      </c>
      <c r="C23" s="4" t="n">
        <v>385842</v>
      </c>
      <c r="D23" s="0" t="s">
        <v>6644</v>
      </c>
      <c r="E23" s="0" t="s">
        <v>23</v>
      </c>
    </row>
    <row r="24" customFormat="false" ht="15" hidden="false" customHeight="false" outlineLevel="0" collapsed="false">
      <c r="A24" s="0" t="n">
        <v>328040</v>
      </c>
      <c r="B24" s="0" t="n">
        <v>1908</v>
      </c>
      <c r="C24" s="0" t="s">
        <v>7250</v>
      </c>
      <c r="D24" s="0" t="s">
        <v>7251</v>
      </c>
      <c r="E24" s="0" t="s">
        <v>24</v>
      </c>
    </row>
    <row r="25" customFormat="false" ht="15" hidden="false" customHeight="false" outlineLevel="0" collapsed="false">
      <c r="A25" s="0" t="n">
        <v>334354</v>
      </c>
      <c r="B25" s="0" t="n">
        <v>1909</v>
      </c>
      <c r="C25" s="0" t="s">
        <v>7252</v>
      </c>
      <c r="D25" s="0" t="s">
        <v>7253</v>
      </c>
      <c r="E25" s="0" t="s">
        <v>23</v>
      </c>
    </row>
    <row r="26" customFormat="false" ht="15" hidden="false" customHeight="false" outlineLevel="0" collapsed="false">
      <c r="A26" s="0" t="n">
        <v>340092</v>
      </c>
      <c r="B26" s="0" t="n">
        <v>1909</v>
      </c>
      <c r="C26" s="0" t="s">
        <v>7254</v>
      </c>
      <c r="D26" s="0" t="s">
        <v>7255</v>
      </c>
      <c r="E26" s="0" t="s">
        <v>23</v>
      </c>
    </row>
    <row r="27" customFormat="false" ht="15" hidden="false" customHeight="false" outlineLevel="0" collapsed="false">
      <c r="A27" s="0" t="n">
        <v>343048</v>
      </c>
      <c r="B27" s="0" t="n">
        <v>1909</v>
      </c>
      <c r="C27" s="0" t="s">
        <v>7256</v>
      </c>
      <c r="D27" s="0" t="s">
        <v>7257</v>
      </c>
      <c r="E27" s="0" t="s">
        <v>23</v>
      </c>
    </row>
    <row r="28" customFormat="false" ht="15" hidden="false" customHeight="false" outlineLevel="0" collapsed="false">
      <c r="A28" s="0" t="n">
        <v>345460</v>
      </c>
      <c r="B28" s="0" t="n">
        <v>1909</v>
      </c>
      <c r="C28" s="0" t="s">
        <v>7258</v>
      </c>
      <c r="D28" s="0" t="s">
        <v>7259</v>
      </c>
      <c r="E28" s="0" t="s">
        <v>23</v>
      </c>
    </row>
    <row r="29" customFormat="false" ht="15" hidden="false" customHeight="false" outlineLevel="0" collapsed="false">
      <c r="A29" s="0" t="n">
        <v>352523</v>
      </c>
      <c r="B29" s="0" t="n">
        <v>1909</v>
      </c>
      <c r="C29" s="0" t="s">
        <v>867</v>
      </c>
      <c r="D29" s="0" t="s">
        <v>6889</v>
      </c>
      <c r="E29" s="0" t="s">
        <v>23</v>
      </c>
    </row>
    <row r="30" customFormat="false" ht="15" hidden="false" customHeight="false" outlineLevel="0" collapsed="false">
      <c r="A30" s="0" t="n">
        <v>362909</v>
      </c>
      <c r="B30" s="0" t="n">
        <v>1909</v>
      </c>
      <c r="C30" s="0" t="s">
        <v>7260</v>
      </c>
      <c r="D30" s="0" t="s">
        <v>7261</v>
      </c>
      <c r="E30" s="0" t="s">
        <v>23</v>
      </c>
    </row>
    <row r="31" customFormat="false" ht="15" hidden="false" customHeight="false" outlineLevel="0" collapsed="false">
      <c r="A31" s="0" t="n">
        <v>387867</v>
      </c>
      <c r="B31" s="0" t="n">
        <v>1909</v>
      </c>
      <c r="C31" s="0" t="s">
        <v>7262</v>
      </c>
      <c r="D31" s="0" t="s">
        <v>7263</v>
      </c>
      <c r="E31" s="0" t="s">
        <v>23</v>
      </c>
    </row>
    <row r="32" customFormat="false" ht="15" hidden="false" customHeight="false" outlineLevel="0" collapsed="false">
      <c r="A32" s="0" t="n">
        <v>403854</v>
      </c>
      <c r="B32" s="0" t="n">
        <v>1910</v>
      </c>
      <c r="C32" s="0" t="s">
        <v>7264</v>
      </c>
      <c r="D32" s="0" t="s">
        <v>6323</v>
      </c>
      <c r="E32" s="0" t="s">
        <v>23</v>
      </c>
    </row>
    <row r="33" customFormat="false" ht="15" hidden="false" customHeight="false" outlineLevel="0" collapsed="false">
      <c r="A33" s="0" t="n">
        <v>404537</v>
      </c>
      <c r="B33" s="0" t="n">
        <v>1910</v>
      </c>
      <c r="C33" s="0" t="s">
        <v>7265</v>
      </c>
      <c r="D33" s="0" t="s">
        <v>7266</v>
      </c>
      <c r="E33" s="0" t="s">
        <v>23</v>
      </c>
    </row>
    <row r="34" customFormat="false" ht="15" hidden="false" customHeight="false" outlineLevel="0" collapsed="false">
      <c r="A34" s="0" t="n">
        <v>436275</v>
      </c>
      <c r="B34" s="0" t="n">
        <v>1910</v>
      </c>
      <c r="C34" s="0" t="s">
        <v>7267</v>
      </c>
      <c r="D34" s="0" t="s">
        <v>7268</v>
      </c>
      <c r="E34" s="0" t="s">
        <v>23</v>
      </c>
    </row>
    <row r="35" customFormat="false" ht="15" hidden="false" customHeight="false" outlineLevel="0" collapsed="false">
      <c r="A35" s="0" t="n">
        <v>458483</v>
      </c>
      <c r="B35" s="0" t="n">
        <v>1911</v>
      </c>
      <c r="C35" s="0" t="s">
        <v>7269</v>
      </c>
      <c r="D35" s="0" t="s">
        <v>7270</v>
      </c>
      <c r="E35" s="0" t="s">
        <v>23</v>
      </c>
    </row>
    <row r="36" customFormat="false" ht="15" hidden="false" customHeight="false" outlineLevel="0" collapsed="false">
      <c r="A36" s="0" t="n">
        <v>459331</v>
      </c>
      <c r="B36" s="0" t="n">
        <v>1911</v>
      </c>
      <c r="C36" s="0" t="s">
        <v>7271</v>
      </c>
      <c r="D36" s="0" t="s">
        <v>7272</v>
      </c>
      <c r="E36" s="0" t="s">
        <v>23</v>
      </c>
    </row>
    <row r="37" customFormat="false" ht="15" hidden="false" customHeight="false" outlineLevel="0" collapsed="false">
      <c r="A37" s="0" t="n">
        <v>469414</v>
      </c>
      <c r="B37" s="0" t="n">
        <v>1911</v>
      </c>
      <c r="C37" s="0" t="s">
        <v>7273</v>
      </c>
      <c r="D37" s="0" t="s">
        <v>7274</v>
      </c>
      <c r="E37" s="0" t="s">
        <v>29</v>
      </c>
    </row>
    <row r="38" customFormat="false" ht="15" hidden="false" customHeight="false" outlineLevel="0" collapsed="false">
      <c r="A38" s="0" t="n">
        <v>474012</v>
      </c>
      <c r="B38" s="0" t="n">
        <v>1911</v>
      </c>
      <c r="C38" s="0" t="s">
        <v>7275</v>
      </c>
      <c r="D38" s="0" t="s">
        <v>7276</v>
      </c>
      <c r="E38" s="0" t="s">
        <v>23</v>
      </c>
    </row>
    <row r="39" customFormat="false" ht="15" hidden="false" customHeight="false" outlineLevel="0" collapsed="false">
      <c r="A39" s="0" t="n">
        <v>485875</v>
      </c>
      <c r="B39" s="0" t="n">
        <v>1911</v>
      </c>
      <c r="C39" s="0" t="s">
        <v>7277</v>
      </c>
      <c r="D39" s="0" t="s">
        <v>7278</v>
      </c>
      <c r="E39" s="0" t="s">
        <v>23</v>
      </c>
    </row>
    <row r="40" customFormat="false" ht="15" hidden="false" customHeight="false" outlineLevel="0" collapsed="false">
      <c r="A40" s="0" t="n">
        <v>491709</v>
      </c>
      <c r="B40" s="0" t="n">
        <v>1911</v>
      </c>
      <c r="C40" s="0" t="s">
        <v>7279</v>
      </c>
      <c r="D40" s="0" t="s">
        <v>7280</v>
      </c>
      <c r="E40" s="0" t="s">
        <v>23</v>
      </c>
    </row>
    <row r="41" customFormat="false" ht="15" hidden="false" customHeight="false" outlineLevel="0" collapsed="false">
      <c r="A41" s="0" t="n">
        <v>514919</v>
      </c>
      <c r="B41" s="0" t="n">
        <v>1912</v>
      </c>
      <c r="C41" s="0" t="s">
        <v>7281</v>
      </c>
      <c r="D41" s="0" t="s">
        <v>7282</v>
      </c>
      <c r="E41" s="0" t="s">
        <v>23</v>
      </c>
    </row>
    <row r="42" customFormat="false" ht="15" hidden="false" customHeight="false" outlineLevel="0" collapsed="false">
      <c r="A42" s="0" t="n">
        <v>516154</v>
      </c>
      <c r="B42" s="0" t="n">
        <v>1912</v>
      </c>
      <c r="C42" s="0" t="s">
        <v>7283</v>
      </c>
      <c r="D42" s="0" t="s">
        <v>6957</v>
      </c>
      <c r="E42" s="0" t="s">
        <v>23</v>
      </c>
    </row>
    <row r="43" customFormat="false" ht="15" hidden="false" customHeight="false" outlineLevel="0" collapsed="false">
      <c r="A43" s="0" t="n">
        <v>519759</v>
      </c>
      <c r="B43" s="0" t="n">
        <v>1912</v>
      </c>
      <c r="C43" s="0" t="s">
        <v>7284</v>
      </c>
      <c r="D43" s="0" t="s">
        <v>7285</v>
      </c>
      <c r="E43" s="0" t="s">
        <v>23</v>
      </c>
    </row>
    <row r="44" customFormat="false" ht="15" hidden="false" customHeight="false" outlineLevel="0" collapsed="false">
      <c r="A44" s="0" t="n">
        <v>521980</v>
      </c>
      <c r="B44" s="0" t="n">
        <v>1912</v>
      </c>
      <c r="C44" s="0" t="s">
        <v>7286</v>
      </c>
      <c r="D44" s="0" t="s">
        <v>6650</v>
      </c>
      <c r="E44" s="0" t="s">
        <v>29</v>
      </c>
    </row>
    <row r="45" customFormat="false" ht="15" hidden="false" customHeight="false" outlineLevel="0" collapsed="false">
      <c r="A45" s="0" t="n">
        <v>530056</v>
      </c>
      <c r="B45" s="0" t="n">
        <v>1912</v>
      </c>
      <c r="C45" s="0" t="s">
        <v>7287</v>
      </c>
      <c r="D45" s="0" t="s">
        <v>7288</v>
      </c>
      <c r="E45" s="0" t="s">
        <v>23</v>
      </c>
    </row>
    <row r="46" customFormat="false" ht="15" hidden="false" customHeight="false" outlineLevel="0" collapsed="false">
      <c r="A46" s="0" t="n">
        <v>537075</v>
      </c>
      <c r="B46" s="0" t="n">
        <v>1912</v>
      </c>
      <c r="C46" s="0" t="s">
        <v>7289</v>
      </c>
      <c r="D46" s="0" t="s">
        <v>6839</v>
      </c>
      <c r="E46" s="0" t="s">
        <v>29</v>
      </c>
    </row>
    <row r="47" customFormat="false" ht="15" hidden="false" customHeight="false" outlineLevel="0" collapsed="false">
      <c r="A47" s="0" t="n">
        <v>538153</v>
      </c>
      <c r="B47" s="0" t="n">
        <v>1912</v>
      </c>
      <c r="C47" s="0" t="s">
        <v>7290</v>
      </c>
      <c r="D47" s="0" t="s">
        <v>7291</v>
      </c>
      <c r="E47" s="0" t="s">
        <v>23</v>
      </c>
    </row>
    <row r="48" customFormat="false" ht="15" hidden="false" customHeight="false" outlineLevel="0" collapsed="false">
      <c r="A48" s="0" t="n">
        <v>569148</v>
      </c>
      <c r="B48" s="0" t="n">
        <v>1912</v>
      </c>
      <c r="C48" s="0" t="s">
        <v>7292</v>
      </c>
      <c r="D48" s="0" t="s">
        <v>7293</v>
      </c>
      <c r="E48" s="0" t="s">
        <v>29</v>
      </c>
    </row>
    <row r="49" customFormat="false" ht="15" hidden="false" customHeight="false" outlineLevel="0" collapsed="false">
      <c r="A49" s="0" t="n">
        <v>589147</v>
      </c>
      <c r="B49" s="0" t="n">
        <v>1913</v>
      </c>
      <c r="C49" s="0" t="s">
        <v>7294</v>
      </c>
      <c r="D49" s="0" t="s">
        <v>7295</v>
      </c>
      <c r="E49" s="0" t="s">
        <v>23</v>
      </c>
    </row>
    <row r="50" customFormat="false" ht="15" hidden="false" customHeight="false" outlineLevel="0" collapsed="false">
      <c r="A50" s="0" t="n">
        <v>609310</v>
      </c>
      <c r="B50" s="0" t="n">
        <v>1913</v>
      </c>
      <c r="C50" s="0" t="s">
        <v>7296</v>
      </c>
      <c r="D50" s="0" t="s">
        <v>7297</v>
      </c>
      <c r="E50" s="0" t="s">
        <v>23</v>
      </c>
    </row>
    <row r="51" customFormat="false" ht="15" hidden="false" customHeight="false" outlineLevel="0" collapsed="false">
      <c r="A51" s="0" t="n">
        <v>622839</v>
      </c>
      <c r="B51" s="0" t="n">
        <v>1913</v>
      </c>
      <c r="C51" s="0" t="s">
        <v>7298</v>
      </c>
      <c r="D51" s="0" t="s">
        <v>7299</v>
      </c>
      <c r="E51" s="0" t="s">
        <v>23</v>
      </c>
    </row>
    <row r="52" customFormat="false" ht="15" hidden="false" customHeight="false" outlineLevel="0" collapsed="false">
      <c r="A52" s="0" t="n">
        <v>630389</v>
      </c>
      <c r="B52" s="0" t="n">
        <v>1913</v>
      </c>
      <c r="C52" s="0" t="s">
        <v>7300</v>
      </c>
      <c r="D52" s="0" t="s">
        <v>7054</v>
      </c>
      <c r="E52" s="0" t="s">
        <v>23</v>
      </c>
    </row>
    <row r="53" customFormat="false" ht="15" hidden="false" customHeight="false" outlineLevel="0" collapsed="false">
      <c r="A53" s="0" t="n">
        <v>641384</v>
      </c>
      <c r="B53" s="0" t="n">
        <v>1913</v>
      </c>
      <c r="C53" s="0" t="s">
        <v>7301</v>
      </c>
      <c r="D53" s="0" t="s">
        <v>7302</v>
      </c>
      <c r="E53" s="0" t="s">
        <v>23</v>
      </c>
    </row>
    <row r="54" customFormat="false" ht="15" hidden="false" customHeight="false" outlineLevel="0" collapsed="false">
      <c r="A54" s="0" t="n">
        <v>663751</v>
      </c>
      <c r="B54" s="0" t="n">
        <v>1914</v>
      </c>
      <c r="C54" s="0" t="s">
        <v>7303</v>
      </c>
      <c r="D54" s="0" t="s">
        <v>6737</v>
      </c>
      <c r="E54" s="0" t="s">
        <v>23</v>
      </c>
    </row>
    <row r="55" customFormat="false" ht="15" hidden="false" customHeight="false" outlineLevel="0" collapsed="false">
      <c r="A55" s="0" t="n">
        <v>675153</v>
      </c>
      <c r="B55" s="0" t="n">
        <v>1914</v>
      </c>
      <c r="C55" s="0" t="s">
        <v>7304</v>
      </c>
      <c r="D55" s="0" t="s">
        <v>7305</v>
      </c>
      <c r="E55" s="0" t="s">
        <v>23</v>
      </c>
    </row>
    <row r="56" customFormat="false" ht="15" hidden="false" customHeight="false" outlineLevel="0" collapsed="false">
      <c r="A56" s="0" t="n">
        <v>675217</v>
      </c>
      <c r="B56" s="0" t="n">
        <v>1914</v>
      </c>
      <c r="C56" s="0" t="s">
        <v>7306</v>
      </c>
      <c r="D56" s="0" t="s">
        <v>7307</v>
      </c>
      <c r="E56" s="0" t="s">
        <v>29</v>
      </c>
    </row>
    <row r="57" customFormat="false" ht="15" hidden="false" customHeight="false" outlineLevel="0" collapsed="false">
      <c r="A57" s="0" t="n">
        <v>676816</v>
      </c>
      <c r="B57" s="0" t="n">
        <v>1914</v>
      </c>
      <c r="C57" s="0" t="s">
        <v>7308</v>
      </c>
      <c r="D57" s="0" t="s">
        <v>7309</v>
      </c>
      <c r="E57" s="0" t="s">
        <v>23</v>
      </c>
    </row>
    <row r="58" customFormat="false" ht="15" hidden="false" customHeight="false" outlineLevel="0" collapsed="false">
      <c r="A58" s="0" t="n">
        <v>680605</v>
      </c>
      <c r="B58" s="0" t="n">
        <v>1914</v>
      </c>
      <c r="C58" s="0" t="s">
        <v>7310</v>
      </c>
      <c r="D58" s="0" t="s">
        <v>7311</v>
      </c>
      <c r="E58" s="0" t="s">
        <v>23</v>
      </c>
    </row>
    <row r="59" customFormat="false" ht="15" hidden="false" customHeight="false" outlineLevel="0" collapsed="false">
      <c r="A59" s="0" t="n">
        <v>699653</v>
      </c>
      <c r="B59" s="0" t="n">
        <v>1914</v>
      </c>
      <c r="C59" s="0" t="s">
        <v>7312</v>
      </c>
      <c r="D59" s="0" t="s">
        <v>6698</v>
      </c>
      <c r="E59" s="0" t="s">
        <v>23</v>
      </c>
    </row>
    <row r="60" customFormat="false" ht="15" hidden="false" customHeight="false" outlineLevel="0" collapsed="false">
      <c r="A60" s="0" t="n">
        <v>721561</v>
      </c>
      <c r="B60" s="0" t="n">
        <v>1915</v>
      </c>
      <c r="C60" s="0" t="s">
        <v>7313</v>
      </c>
      <c r="D60" s="0" t="s">
        <v>7314</v>
      </c>
      <c r="E60" s="0" t="s">
        <v>23</v>
      </c>
    </row>
    <row r="61" customFormat="false" ht="15" hidden="false" customHeight="false" outlineLevel="0" collapsed="false">
      <c r="A61" s="0" t="n">
        <v>761446</v>
      </c>
      <c r="B61" s="0" t="n">
        <v>1915</v>
      </c>
      <c r="C61" s="0" t="s">
        <v>7315</v>
      </c>
      <c r="D61" s="0" t="s">
        <v>6311</v>
      </c>
      <c r="E61" s="0" t="s">
        <v>23</v>
      </c>
    </row>
    <row r="62" customFormat="false" ht="15" hidden="false" customHeight="false" outlineLevel="0" collapsed="false">
      <c r="A62" s="0" t="n">
        <v>764529</v>
      </c>
      <c r="B62" s="0" t="n">
        <v>1916</v>
      </c>
      <c r="C62" s="0" t="s">
        <v>7316</v>
      </c>
      <c r="D62" s="0" t="s">
        <v>7317</v>
      </c>
      <c r="E62" s="0" t="s">
        <v>23</v>
      </c>
    </row>
    <row r="63" customFormat="false" ht="15" hidden="false" customHeight="false" outlineLevel="0" collapsed="false">
      <c r="A63" s="0" t="n">
        <v>772015</v>
      </c>
      <c r="B63" s="0" t="n">
        <v>1916</v>
      </c>
      <c r="C63" s="0" t="s">
        <v>7318</v>
      </c>
      <c r="D63" s="0" t="s">
        <v>7319</v>
      </c>
      <c r="E63" s="0" t="s">
        <v>23</v>
      </c>
    </row>
    <row r="64" customFormat="false" ht="15" hidden="false" customHeight="false" outlineLevel="0" collapsed="false">
      <c r="A64" s="0" t="n">
        <v>776072</v>
      </c>
      <c r="B64" s="0" t="n">
        <v>1916</v>
      </c>
      <c r="C64" s="0" t="s">
        <v>7320</v>
      </c>
      <c r="D64" s="0" t="s">
        <v>7321</v>
      </c>
      <c r="E64" s="0" t="s">
        <v>23</v>
      </c>
    </row>
    <row r="65" customFormat="false" ht="15" hidden="false" customHeight="false" outlineLevel="0" collapsed="false">
      <c r="A65" s="0" t="n">
        <v>796704</v>
      </c>
      <c r="B65" s="0" t="n">
        <v>1916</v>
      </c>
      <c r="C65" s="0" t="s">
        <v>7322</v>
      </c>
      <c r="D65" s="0" t="s">
        <v>7323</v>
      </c>
      <c r="E65" s="0" t="s">
        <v>23</v>
      </c>
    </row>
    <row r="66" customFormat="false" ht="15" hidden="false" customHeight="false" outlineLevel="0" collapsed="false">
      <c r="A66" s="0" t="n">
        <v>809928</v>
      </c>
      <c r="B66" s="0" t="n">
        <v>1916</v>
      </c>
      <c r="C66" s="0" t="s">
        <v>7324</v>
      </c>
      <c r="D66" s="0" t="s">
        <v>7325</v>
      </c>
      <c r="E66" s="0" t="s">
        <v>23</v>
      </c>
    </row>
    <row r="67" customFormat="false" ht="15" hidden="false" customHeight="false" outlineLevel="0" collapsed="false">
      <c r="A67" s="0" t="n">
        <v>812742</v>
      </c>
      <c r="B67" s="0" t="n">
        <v>1916</v>
      </c>
      <c r="C67" s="0" t="s">
        <v>7326</v>
      </c>
      <c r="D67" s="0" t="s">
        <v>6839</v>
      </c>
      <c r="E67" s="0" t="s">
        <v>23</v>
      </c>
    </row>
    <row r="68" customFormat="false" ht="15" hidden="false" customHeight="false" outlineLevel="0" collapsed="false">
      <c r="A68" s="0" t="n">
        <v>830888</v>
      </c>
      <c r="B68" s="0" t="n">
        <v>1916</v>
      </c>
      <c r="C68" s="0" t="s">
        <v>7327</v>
      </c>
      <c r="D68" s="0" t="s">
        <v>7328</v>
      </c>
      <c r="E68" s="0" t="s">
        <v>23</v>
      </c>
    </row>
    <row r="69" customFormat="false" ht="15" hidden="false" customHeight="false" outlineLevel="0" collapsed="false">
      <c r="A69" s="0" t="n">
        <v>849708</v>
      </c>
      <c r="B69" s="0" t="n">
        <v>1917</v>
      </c>
      <c r="C69" s="0" t="s">
        <v>7329</v>
      </c>
      <c r="D69" s="0" t="s">
        <v>7130</v>
      </c>
      <c r="E69" s="0" t="s">
        <v>23</v>
      </c>
    </row>
    <row r="70" customFormat="false" ht="15" hidden="false" customHeight="false" outlineLevel="0" collapsed="false">
      <c r="A70" s="0" t="n">
        <v>868371</v>
      </c>
      <c r="B70" s="0" t="n">
        <v>1917</v>
      </c>
      <c r="C70" s="0" t="s">
        <v>7330</v>
      </c>
      <c r="D70" s="0" t="s">
        <v>7331</v>
      </c>
      <c r="E70" s="0" t="s">
        <v>23</v>
      </c>
    </row>
    <row r="71" customFormat="false" ht="15" hidden="false" customHeight="false" outlineLevel="0" collapsed="false">
      <c r="A71" s="0" t="n">
        <v>876342</v>
      </c>
      <c r="B71" s="0" t="n">
        <v>1917</v>
      </c>
      <c r="C71" s="0" t="s">
        <v>7332</v>
      </c>
      <c r="D71" s="0" t="s">
        <v>7333</v>
      </c>
      <c r="E71" s="0" t="s">
        <v>23</v>
      </c>
    </row>
    <row r="72" customFormat="false" ht="15" hidden="false" customHeight="false" outlineLevel="0" collapsed="false">
      <c r="A72" s="0" t="n">
        <v>876496</v>
      </c>
      <c r="B72" s="0" t="n">
        <v>1917</v>
      </c>
      <c r="C72" s="0" t="s">
        <v>7334</v>
      </c>
      <c r="D72" s="0" t="s">
        <v>7335</v>
      </c>
      <c r="E72" s="0" t="s">
        <v>23</v>
      </c>
    </row>
    <row r="73" customFormat="false" ht="15" hidden="false" customHeight="false" outlineLevel="0" collapsed="false">
      <c r="A73" s="0" t="n">
        <v>909602</v>
      </c>
      <c r="B73" s="0" t="n">
        <v>1918</v>
      </c>
      <c r="C73" s="0" t="s">
        <v>7336</v>
      </c>
      <c r="D73" s="0" t="s">
        <v>7337</v>
      </c>
      <c r="E73" s="0" t="s">
        <v>29</v>
      </c>
    </row>
    <row r="74" customFormat="false" ht="15" hidden="false" customHeight="false" outlineLevel="0" collapsed="false">
      <c r="A74" s="0" t="n">
        <v>917204</v>
      </c>
      <c r="B74" s="0" t="n">
        <v>1918</v>
      </c>
      <c r="C74" s="0" t="s">
        <v>7338</v>
      </c>
      <c r="D74" s="0" t="s">
        <v>7339</v>
      </c>
      <c r="E74" s="0" t="s">
        <v>23</v>
      </c>
    </row>
    <row r="75" customFormat="false" ht="15" hidden="false" customHeight="false" outlineLevel="0" collapsed="false">
      <c r="A75" s="0" t="n">
        <v>928548</v>
      </c>
      <c r="B75" s="0" t="n">
        <v>1918</v>
      </c>
      <c r="C75" s="0" t="s">
        <v>7340</v>
      </c>
      <c r="D75" s="0" t="s">
        <v>7341</v>
      </c>
      <c r="E75" s="0" t="s">
        <v>23</v>
      </c>
    </row>
    <row r="76" customFormat="false" ht="15" hidden="false" customHeight="false" outlineLevel="0" collapsed="false">
      <c r="A76" s="0" t="n">
        <v>947955</v>
      </c>
      <c r="B76" s="0" t="n">
        <v>1918</v>
      </c>
      <c r="C76" s="0" t="s">
        <v>7342</v>
      </c>
      <c r="D76" s="0" t="s">
        <v>7343</v>
      </c>
      <c r="E76" s="0" t="s">
        <v>23</v>
      </c>
    </row>
    <row r="77" customFormat="false" ht="15" hidden="false" customHeight="false" outlineLevel="0" collapsed="false">
      <c r="A77" s="0" t="n">
        <v>948239</v>
      </c>
      <c r="B77" s="0" t="n">
        <v>1918</v>
      </c>
      <c r="C77" s="0" t="s">
        <v>7344</v>
      </c>
      <c r="D77" s="0" t="s">
        <v>7345</v>
      </c>
      <c r="E77" s="0" t="s">
        <v>23</v>
      </c>
    </row>
    <row r="78" customFormat="false" ht="15" hidden="false" customHeight="false" outlineLevel="0" collapsed="false">
      <c r="A78" s="0" t="n">
        <v>954198</v>
      </c>
      <c r="B78" s="0" t="n">
        <v>1919</v>
      </c>
      <c r="C78" s="0" t="s">
        <v>7346</v>
      </c>
      <c r="D78" s="0" t="s">
        <v>7347</v>
      </c>
      <c r="E78" s="0" t="s">
        <v>23</v>
      </c>
    </row>
    <row r="79" customFormat="false" ht="15" hidden="false" customHeight="false" outlineLevel="0" collapsed="false">
      <c r="A79" s="0" t="n">
        <v>970188</v>
      </c>
      <c r="B79" s="0" t="n">
        <v>1919</v>
      </c>
      <c r="C79" s="0" t="s">
        <v>7348</v>
      </c>
      <c r="D79" s="0" t="s">
        <v>6767</v>
      </c>
      <c r="E79" s="0" t="s">
        <v>23</v>
      </c>
    </row>
    <row r="80" customFormat="false" ht="15" hidden="false" customHeight="false" outlineLevel="0" collapsed="false">
      <c r="A80" s="0" t="n">
        <v>979066</v>
      </c>
      <c r="B80" s="0" t="n">
        <v>1919</v>
      </c>
      <c r="C80" s="0" t="s">
        <v>7349</v>
      </c>
      <c r="D80" s="0" t="s">
        <v>6785</v>
      </c>
      <c r="E80" s="0" t="s">
        <v>23</v>
      </c>
    </row>
    <row r="81" customFormat="false" ht="15" hidden="false" customHeight="false" outlineLevel="0" collapsed="false">
      <c r="A81" s="0" t="n">
        <v>987216</v>
      </c>
      <c r="B81" s="0" t="n">
        <v>1919</v>
      </c>
      <c r="C81" s="0" t="s">
        <v>7350</v>
      </c>
      <c r="D81" s="0" t="s">
        <v>7351</v>
      </c>
      <c r="E81" s="0" t="s">
        <v>23</v>
      </c>
    </row>
    <row r="82" customFormat="false" ht="15" hidden="false" customHeight="false" outlineLevel="0" collapsed="false">
      <c r="A82" s="0" t="n">
        <v>991027</v>
      </c>
      <c r="B82" s="0" t="n">
        <v>1919</v>
      </c>
      <c r="C82" s="0" t="s">
        <v>7352</v>
      </c>
      <c r="D82" s="0" t="s">
        <v>7353</v>
      </c>
      <c r="E82" s="0" t="s">
        <v>29</v>
      </c>
    </row>
    <row r="83" customFormat="false" ht="15" hidden="false" customHeight="false" outlineLevel="0" collapsed="false">
      <c r="A83" s="0" t="n">
        <v>996027</v>
      </c>
      <c r="B83" s="0" t="n">
        <v>1920</v>
      </c>
      <c r="C83" s="0" t="s">
        <v>7354</v>
      </c>
      <c r="D83" s="0" t="s">
        <v>7355</v>
      </c>
      <c r="E83" s="0" t="s">
        <v>23</v>
      </c>
    </row>
    <row r="84" customFormat="false" ht="15" hidden="false" customHeight="false" outlineLevel="0" collapsed="false">
      <c r="A84" s="0" t="n">
        <v>1001740</v>
      </c>
      <c r="B84" s="0" t="n">
        <v>1920</v>
      </c>
      <c r="C84" s="0" t="s">
        <v>7356</v>
      </c>
      <c r="D84" s="0" t="s">
        <v>7127</v>
      </c>
      <c r="E84" s="0" t="s">
        <v>23</v>
      </c>
    </row>
    <row r="85" customFormat="false" ht="15" hidden="false" customHeight="false" outlineLevel="0" collapsed="false">
      <c r="A85" s="0" t="n">
        <v>1002869</v>
      </c>
      <c r="B85" s="0" t="n">
        <v>1920</v>
      </c>
      <c r="C85" s="0" t="s">
        <v>7357</v>
      </c>
      <c r="D85" s="0" t="s">
        <v>6539</v>
      </c>
      <c r="E85" s="0" t="s">
        <v>23</v>
      </c>
    </row>
    <row r="86" customFormat="false" ht="15" hidden="false" customHeight="false" outlineLevel="0" collapsed="false">
      <c r="A86" s="0" t="n">
        <v>1004056</v>
      </c>
      <c r="B86" s="0" t="n">
        <v>1920</v>
      </c>
      <c r="C86" s="0" t="s">
        <v>7358</v>
      </c>
      <c r="D86" s="0" t="s">
        <v>7359</v>
      </c>
      <c r="E86" s="0" t="s">
        <v>23</v>
      </c>
    </row>
    <row r="87" customFormat="false" ht="15" hidden="false" customHeight="false" outlineLevel="0" collapsed="false">
      <c r="A87" s="0" t="n">
        <v>1014599</v>
      </c>
      <c r="B87" s="0" t="n">
        <v>1920</v>
      </c>
      <c r="C87" s="0" t="s">
        <v>7360</v>
      </c>
      <c r="D87" s="0" t="s">
        <v>7361</v>
      </c>
      <c r="E87" s="0" t="s">
        <v>29</v>
      </c>
    </row>
    <row r="88" customFormat="false" ht="15" hidden="false" customHeight="false" outlineLevel="0" collapsed="false">
      <c r="A88" s="0" t="n">
        <v>1027064</v>
      </c>
      <c r="B88" s="0" t="n">
        <v>1920</v>
      </c>
      <c r="C88" s="0" t="s">
        <v>7362</v>
      </c>
      <c r="D88" s="0" t="s">
        <v>7363</v>
      </c>
      <c r="E88" s="0" t="s">
        <v>23</v>
      </c>
    </row>
    <row r="89" customFormat="false" ht="15" hidden="false" customHeight="false" outlineLevel="0" collapsed="false">
      <c r="A89" s="0" t="n">
        <v>1031308</v>
      </c>
      <c r="B89" s="0" t="n">
        <v>1920</v>
      </c>
      <c r="C89" s="0" t="s">
        <v>7364</v>
      </c>
      <c r="D89" s="0" t="s">
        <v>7365</v>
      </c>
      <c r="E89" s="0" t="s">
        <v>23</v>
      </c>
    </row>
    <row r="90" customFormat="false" ht="15" hidden="false" customHeight="false" outlineLevel="0" collapsed="false">
      <c r="A90" s="0" t="n">
        <v>1039241</v>
      </c>
      <c r="B90" s="0" t="n">
        <v>1921</v>
      </c>
      <c r="C90" s="0" t="s">
        <v>7366</v>
      </c>
      <c r="D90" s="0" t="s">
        <v>6677</v>
      </c>
      <c r="E90" s="0" t="s">
        <v>23</v>
      </c>
    </row>
    <row r="91" customFormat="false" ht="15" hidden="false" customHeight="false" outlineLevel="0" collapsed="false">
      <c r="A91" s="0" t="n">
        <v>1044554</v>
      </c>
      <c r="B91" s="0" t="n">
        <v>1921</v>
      </c>
      <c r="C91" s="0" t="s">
        <v>7367</v>
      </c>
      <c r="D91" s="0" t="s">
        <v>6539</v>
      </c>
      <c r="E91" s="0" t="s">
        <v>23</v>
      </c>
    </row>
    <row r="92" customFormat="false" ht="15" hidden="false" customHeight="false" outlineLevel="0" collapsed="false">
      <c r="A92" s="0" t="n">
        <v>1050187</v>
      </c>
      <c r="B92" s="0" t="n">
        <v>1921</v>
      </c>
      <c r="C92" s="0" t="s">
        <v>7368</v>
      </c>
      <c r="D92" s="0" t="s">
        <v>7369</v>
      </c>
      <c r="E92" s="0" t="s">
        <v>29</v>
      </c>
    </row>
    <row r="93" customFormat="false" ht="15" hidden="false" customHeight="false" outlineLevel="0" collapsed="false">
      <c r="A93" s="0" t="n">
        <v>1054708</v>
      </c>
      <c r="B93" s="0" t="n">
        <v>1921</v>
      </c>
      <c r="C93" s="0" t="s">
        <v>7370</v>
      </c>
      <c r="D93" s="0" t="s">
        <v>7371</v>
      </c>
      <c r="E93" s="0" t="s">
        <v>29</v>
      </c>
    </row>
    <row r="94" customFormat="false" ht="15" hidden="false" customHeight="false" outlineLevel="0" collapsed="false">
      <c r="A94" s="0" t="n">
        <v>1064258</v>
      </c>
      <c r="B94" s="0" t="n">
        <v>1921</v>
      </c>
      <c r="C94" s="0" t="s">
        <v>7372</v>
      </c>
      <c r="D94" s="0" t="s">
        <v>6644</v>
      </c>
      <c r="E94" s="0" t="s">
        <v>23</v>
      </c>
    </row>
    <row r="95" customFormat="false" ht="15" hidden="false" customHeight="false" outlineLevel="0" collapsed="false">
      <c r="A95" s="0" t="n">
        <v>1075979</v>
      </c>
      <c r="B95" s="0" t="n">
        <v>1922</v>
      </c>
      <c r="C95" s="0" t="s">
        <v>7373</v>
      </c>
      <c r="D95" s="0" t="s">
        <v>7116</v>
      </c>
      <c r="E95" s="0" t="s">
        <v>23</v>
      </c>
    </row>
    <row r="96" customFormat="false" ht="15" hidden="false" customHeight="false" outlineLevel="0" collapsed="false">
      <c r="A96" s="0" t="n">
        <v>1110534</v>
      </c>
      <c r="B96" s="0" t="n">
        <v>1922</v>
      </c>
      <c r="C96" s="0" t="n">
        <v>2552064</v>
      </c>
      <c r="D96" s="0" t="s">
        <v>7374</v>
      </c>
      <c r="E96" s="0" t="s">
        <v>29</v>
      </c>
    </row>
    <row r="97" customFormat="false" ht="15" hidden="false" customHeight="false" outlineLevel="0" collapsed="false">
      <c r="A97" s="0" t="n">
        <v>1116633</v>
      </c>
      <c r="B97" s="0" t="n">
        <v>1923</v>
      </c>
      <c r="C97" s="0" t="s">
        <v>7375</v>
      </c>
      <c r="D97" s="0" t="s">
        <v>7376</v>
      </c>
      <c r="E97" s="0" t="s">
        <v>23</v>
      </c>
    </row>
    <row r="98" customFormat="false" ht="15" hidden="false" customHeight="false" outlineLevel="0" collapsed="false">
      <c r="A98" s="0" t="n">
        <v>1116662</v>
      </c>
      <c r="B98" s="0" t="n">
        <v>1923</v>
      </c>
      <c r="C98" s="0" t="s">
        <v>7377</v>
      </c>
      <c r="D98" s="0" t="s">
        <v>7378</v>
      </c>
      <c r="E98" s="0" t="s">
        <v>23</v>
      </c>
    </row>
    <row r="99" customFormat="false" ht="15" hidden="false" customHeight="false" outlineLevel="0" collapsed="false">
      <c r="A99" s="0" t="n">
        <v>1127716</v>
      </c>
      <c r="B99" s="0" t="n">
        <v>1923</v>
      </c>
      <c r="C99" s="0" t="s">
        <v>7379</v>
      </c>
      <c r="D99" s="0" t="s">
        <v>7380</v>
      </c>
      <c r="E99" s="0" t="s">
        <v>23</v>
      </c>
    </row>
    <row r="100" customFormat="false" ht="15" hidden="false" customHeight="false" outlineLevel="0" collapsed="false">
      <c r="A100" s="0" t="n">
        <v>1153004</v>
      </c>
      <c r="B100" s="0" t="n">
        <v>1923</v>
      </c>
      <c r="C100" s="0" t="s">
        <v>7381</v>
      </c>
      <c r="D100" s="0" t="s">
        <v>7382</v>
      </c>
      <c r="E100" s="0" t="s">
        <v>23</v>
      </c>
    </row>
    <row r="101" customFormat="false" ht="15" hidden="false" customHeight="false" outlineLevel="0" collapsed="false">
      <c r="A101" s="0" t="n">
        <v>1153849</v>
      </c>
      <c r="B101" s="0" t="n">
        <v>1923</v>
      </c>
      <c r="C101" s="0" t="s">
        <v>7383</v>
      </c>
      <c r="D101" s="0" t="s">
        <v>7384</v>
      </c>
      <c r="E101" s="0" t="s">
        <v>23</v>
      </c>
    </row>
    <row r="102" customFormat="false" ht="15" hidden="false" customHeight="false" outlineLevel="0" collapsed="false">
      <c r="E102" s="0" t="n">
        <v>11</v>
      </c>
    </row>
    <row r="103" customFormat="false" ht="15" hidden="false" customHeight="false" outlineLevel="0" collapsed="false">
      <c r="E103" s="0" t="n">
        <v>0.89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7" activeCellId="0" sqref="H17"/>
    </sheetView>
  </sheetViews>
  <sheetFormatPr defaultColWidth="8.6796875" defaultRowHeight="15" customHeight="false" zeroHeight="false" outlineLevelRow="0" outlineLevelCol="0"/>
  <cols>
    <col collapsed="false" customWidth="true" hidden="false" outlineLevel="0" max="3" min="3" style="0" width="9.57"/>
    <col collapsed="false" customWidth="true" hidden="false" outlineLevel="0" max="15" min="13" style="0" width="10.14"/>
  </cols>
  <sheetData>
    <row r="1" customFormat="false" ht="15" hidden="false" customHeight="false" outlineLevel="0" collapsed="false">
      <c r="B1" s="0" t="s">
        <v>7385</v>
      </c>
      <c r="C1" s="0" t="s">
        <v>3</v>
      </c>
      <c r="D1" s="0" t="s">
        <v>7386</v>
      </c>
      <c r="E1" s="0" t="s">
        <v>7387</v>
      </c>
      <c r="F1" s="0" t="s">
        <v>10</v>
      </c>
      <c r="G1" s="0" t="s">
        <v>11</v>
      </c>
      <c r="H1" s="0" t="s">
        <v>12</v>
      </c>
      <c r="I1" s="0" t="s">
        <v>7388</v>
      </c>
      <c r="J1" s="0" t="s">
        <v>5010</v>
      </c>
      <c r="K1" s="0" t="s">
        <v>7389</v>
      </c>
      <c r="L1" s="0" t="s">
        <v>7390</v>
      </c>
      <c r="W1" s="0" t="s">
        <v>7391</v>
      </c>
      <c r="X1" s="0" t="s">
        <v>7392</v>
      </c>
      <c r="Y1" s="0" t="s">
        <v>7393</v>
      </c>
      <c r="Z1" s="0" t="s">
        <v>7394</v>
      </c>
      <c r="AA1" s="0" t="s">
        <v>7395</v>
      </c>
    </row>
    <row r="2" customFormat="false" ht="15" hidden="false" customHeight="false" outlineLevel="0" collapsed="false">
      <c r="A2" s="0" t="s">
        <v>7396</v>
      </c>
      <c r="B2" s="0" t="n">
        <v>0.437652811735941</v>
      </c>
      <c r="C2" s="0" t="n">
        <v>0.992665036674817</v>
      </c>
      <c r="D2" s="0" t="n">
        <v>0.992665036674817</v>
      </c>
      <c r="E2" s="0" t="n">
        <v>0.934596577017115</v>
      </c>
      <c r="F2" s="0" t="n">
        <v>0.887530562347188</v>
      </c>
      <c r="G2" s="0" t="n">
        <v>0.941320293398533</v>
      </c>
      <c r="H2" s="0" t="n">
        <v>0.916870415647922</v>
      </c>
      <c r="I2" s="0" t="n">
        <v>0.965770171149144</v>
      </c>
      <c r="L2" s="0" t="n">
        <f aca="false">AVERAGE(B2:K2)</f>
        <v>0.883633863080685</v>
      </c>
      <c r="V2" s="0" t="s">
        <v>7397</v>
      </c>
      <c r="W2" s="13" t="n">
        <v>0.437652811735941</v>
      </c>
      <c r="X2" s="13" t="n">
        <v>0.73838630806846</v>
      </c>
      <c r="Y2" s="13" t="n">
        <v>0.926650366748166</v>
      </c>
      <c r="Z2" s="13" t="n">
        <v>0.726161369193154</v>
      </c>
      <c r="AA2" s="13" t="n">
        <v>0.897310513447433</v>
      </c>
    </row>
    <row r="3" customFormat="false" ht="15" hidden="false" customHeight="false" outlineLevel="0" collapsed="false">
      <c r="A3" s="0" t="s">
        <v>7398</v>
      </c>
      <c r="B3" s="0" t="n">
        <v>0.73838630806846</v>
      </c>
      <c r="C3" s="0" t="n">
        <v>0.987775061124694</v>
      </c>
      <c r="D3" s="0" t="n">
        <v>0.982885085574572</v>
      </c>
      <c r="E3" s="0" t="n">
        <v>0.964955175224124</v>
      </c>
      <c r="F3" s="0" t="n">
        <v>0.831295843520783</v>
      </c>
      <c r="G3" s="0" t="n">
        <v>0.975550122249389</v>
      </c>
      <c r="H3" s="0" t="n">
        <v>0.877750611246944</v>
      </c>
      <c r="I3" s="0" t="n">
        <v>0.982885085574572</v>
      </c>
      <c r="L3" s="0" t="n">
        <f aca="false">AVERAGE(B3:K3)</f>
        <v>0.917685411572942</v>
      </c>
      <c r="V3" s="0" t="s">
        <v>7399</v>
      </c>
      <c r="W3" s="13" t="n">
        <v>0.992665036674817</v>
      </c>
      <c r="X3" s="13" t="n">
        <v>0.987775061124694</v>
      </c>
      <c r="Y3" s="13" t="n">
        <v>0.968215158924205</v>
      </c>
      <c r="Z3" s="13"/>
      <c r="AA3" s="13" t="n">
        <v>0</v>
      </c>
    </row>
    <row r="4" customFormat="false" ht="15" hidden="false" customHeight="false" outlineLevel="0" collapsed="false">
      <c r="A4" s="0" t="s">
        <v>7400</v>
      </c>
      <c r="B4" s="0" t="n">
        <v>0.921760391198044</v>
      </c>
      <c r="C4" s="0" t="n">
        <v>0.968215158924205</v>
      </c>
      <c r="D4" s="0" t="n">
        <v>0.997555012224939</v>
      </c>
      <c r="E4" s="0" t="n">
        <v>0.889975550122249</v>
      </c>
      <c r="F4" s="0" t="n">
        <v>0.740831295843521</v>
      </c>
      <c r="G4" s="0" t="n">
        <v>0.946210268948655</v>
      </c>
      <c r="H4" s="0" t="n">
        <v>0.765281173594132</v>
      </c>
      <c r="I4" s="0" t="n">
        <v>0.963325183374083</v>
      </c>
      <c r="L4" s="0" t="n">
        <f aca="false">AVERAGE(B4:K4)</f>
        <v>0.899144254278729</v>
      </c>
      <c r="V4" s="0" t="s">
        <v>7401</v>
      </c>
      <c r="W4" s="13" t="n">
        <v>0.992665036674817</v>
      </c>
      <c r="X4" s="13" t="n">
        <v>0.982885085574572</v>
      </c>
      <c r="Y4" s="13" t="n">
        <v>0.997555012224939</v>
      </c>
      <c r="Z4" s="13" t="n">
        <v>0.799511002444988</v>
      </c>
      <c r="AA4" s="13" t="n">
        <v>0</v>
      </c>
    </row>
    <row r="5" customFormat="false" ht="15" hidden="false" customHeight="false" outlineLevel="0" collapsed="false">
      <c r="A5" s="0" t="s">
        <v>7402</v>
      </c>
      <c r="B5" s="0" t="n">
        <v>0.726161369193154</v>
      </c>
      <c r="D5" s="0" t="n">
        <v>0.799511002444988</v>
      </c>
      <c r="F5" s="0" t="n">
        <v>0.946210268948655</v>
      </c>
      <c r="G5" s="0" t="n">
        <v>0.938875305623472</v>
      </c>
      <c r="H5" s="0" t="n">
        <v>0.669926650366748</v>
      </c>
      <c r="I5" s="0" t="n">
        <v>0.767726161369193</v>
      </c>
      <c r="L5" s="0" t="n">
        <f aca="false">AVERAGE(B5:K5)</f>
        <v>0.808068459657702</v>
      </c>
      <c r="V5" s="0" t="s">
        <v>7403</v>
      </c>
      <c r="W5" s="13" t="n">
        <v>0.757946210268949</v>
      </c>
      <c r="X5" s="13" t="n">
        <v>0.943765281173594</v>
      </c>
      <c r="Y5" s="13" t="n">
        <v>0.889975550122249</v>
      </c>
      <c r="Z5" s="13"/>
      <c r="AA5" s="13" t="n">
        <v>0.926650366748166</v>
      </c>
    </row>
    <row r="6" customFormat="false" ht="15" hidden="false" customHeight="false" outlineLevel="0" collapsed="false">
      <c r="A6" s="0" t="s">
        <v>7395</v>
      </c>
      <c r="B6" s="0" t="n">
        <v>0.897310513447433</v>
      </c>
      <c r="E6" s="0" t="n">
        <v>0.924205378973105</v>
      </c>
      <c r="F6" s="0" t="n">
        <v>0.865525672371638</v>
      </c>
      <c r="G6" s="0" t="n">
        <v>0.865525672371638</v>
      </c>
      <c r="H6" s="0" t="n">
        <v>0.865525672371638</v>
      </c>
      <c r="I6" s="0" t="n">
        <v>0.953545232273839</v>
      </c>
      <c r="J6" s="0" t="n">
        <v>0.995110024449878</v>
      </c>
      <c r="K6" s="0" t="n">
        <v>1</v>
      </c>
      <c r="L6" s="0" t="n">
        <f aca="false">AVERAGE(B6:K6)</f>
        <v>0.920843520782396</v>
      </c>
      <c r="V6" s="0" t="s">
        <v>7404</v>
      </c>
      <c r="W6" s="13" t="n">
        <v>0.887530562347188</v>
      </c>
      <c r="X6" s="13" t="n">
        <v>0.831295843520783</v>
      </c>
      <c r="Y6" s="13" t="n">
        <v>0.740831295843521</v>
      </c>
      <c r="Z6" s="13" t="n">
        <v>0.946210268948655</v>
      </c>
      <c r="AA6" s="13" t="n">
        <v>0.865525672371638</v>
      </c>
    </row>
    <row r="7" customFormat="false" ht="15" hidden="false" customHeight="false" outlineLevel="0" collapsed="false">
      <c r="V7" s="0" t="s">
        <v>7405</v>
      </c>
      <c r="W7" s="13" t="n">
        <v>0.941320293398533</v>
      </c>
      <c r="X7" s="13" t="n">
        <v>0.975550122249389</v>
      </c>
      <c r="Y7" s="13" t="n">
        <v>0.946210268948655</v>
      </c>
      <c r="Z7" s="13" t="n">
        <v>0.938875305623472</v>
      </c>
      <c r="AA7" s="13"/>
    </row>
    <row r="8" customFormat="false" ht="15" hidden="false" customHeight="false" outlineLevel="0" collapsed="false">
      <c r="V8" s="0" t="s">
        <v>7406</v>
      </c>
      <c r="W8" s="13" t="n">
        <v>0.916870415647922</v>
      </c>
      <c r="X8" s="13" t="n">
        <v>0.877750611246944</v>
      </c>
      <c r="Y8" s="13" t="n">
        <v>0.765281173594132</v>
      </c>
      <c r="Z8" s="13" t="n">
        <v>0.669926650366748</v>
      </c>
      <c r="AA8" s="13"/>
    </row>
    <row r="9" customFormat="false" ht="15" hidden="false" customHeight="false" outlineLevel="0" collapsed="false">
      <c r="B9" s="0" t="s">
        <v>5009</v>
      </c>
      <c r="C9" s="0" t="s">
        <v>5010</v>
      </c>
      <c r="D9" s="0" t="s">
        <v>5011</v>
      </c>
      <c r="E9" s="0" t="s">
        <v>13</v>
      </c>
      <c r="F9" s="0" t="s">
        <v>3932</v>
      </c>
      <c r="G9" s="0" t="s">
        <v>8</v>
      </c>
      <c r="V9" s="0" t="s">
        <v>7407</v>
      </c>
      <c r="W9" s="13" t="n">
        <v>0.965770171149144</v>
      </c>
      <c r="X9" s="13" t="n">
        <v>0.982885085574572</v>
      </c>
      <c r="Y9" s="13" t="n">
        <v>0.963325183374083</v>
      </c>
      <c r="Z9" s="13" t="n">
        <v>0.767726161369193</v>
      </c>
      <c r="AA9" s="13" t="n">
        <v>0.9559902200489</v>
      </c>
    </row>
    <row r="10" customFormat="false" ht="15" hidden="false" customHeight="false" outlineLevel="0" collapsed="false">
      <c r="B10" s="0" t="n">
        <v>0.865525672371638</v>
      </c>
      <c r="C10" s="0" t="n">
        <v>0.995110024449878</v>
      </c>
      <c r="D10" s="0" t="n">
        <v>1</v>
      </c>
      <c r="V10" s="0" t="s">
        <v>7408</v>
      </c>
      <c r="W10" s="13"/>
      <c r="X10" s="13"/>
      <c r="Y10" s="13"/>
      <c r="Z10" s="13"/>
      <c r="AA10" s="13" t="n">
        <v>0.995110024449878</v>
      </c>
    </row>
    <row r="11" customFormat="false" ht="15" hidden="false" customHeight="false" outlineLevel="0" collapsed="false">
      <c r="V11" s="0" t="s">
        <v>7409</v>
      </c>
      <c r="W11" s="13"/>
      <c r="X11" s="13"/>
      <c r="Y11" s="13"/>
      <c r="Z11" s="13"/>
      <c r="AA11" s="13" t="n">
        <v>1</v>
      </c>
    </row>
    <row r="12" customFormat="false" ht="15" hidden="false" customHeight="false" outlineLevel="0" collapsed="false">
      <c r="A12" s="14"/>
      <c r="B12" s="14" t="s">
        <v>7396</v>
      </c>
      <c r="C12" s="14" t="s">
        <v>7398</v>
      </c>
      <c r="D12" s="14" t="s">
        <v>7400</v>
      </c>
      <c r="E12" s="15" t="s">
        <v>7390</v>
      </c>
      <c r="F12" s="14" t="s">
        <v>7402</v>
      </c>
      <c r="G12" s="14" t="s">
        <v>7395</v>
      </c>
      <c r="H12" s="15" t="s">
        <v>7390</v>
      </c>
      <c r="J12" s="14" t="str">
        <f aca="false">UPPER(A12)</f>
        <v/>
      </c>
      <c r="K12" s="14" t="str">
        <f aca="false">UPPER(B12)</f>
        <v>MYB</v>
      </c>
      <c r="L12" s="14" t="str">
        <f aca="false">UPPER(C12)</f>
        <v>AMM</v>
      </c>
      <c r="M12" s="14" t="str">
        <f aca="false">UPPER(D12)</f>
        <v>MMM</v>
      </c>
      <c r="N12" s="14" t="str">
        <f aca="false">UPPER(E12)</f>
        <v>OVERALL</v>
      </c>
      <c r="O12" s="14" t="str">
        <f aca="false">UPPER(F12)</f>
        <v>ALUMNI</v>
      </c>
      <c r="P12" s="14" t="str">
        <f aca="false">UPPER(G12)</f>
        <v>AIME</v>
      </c>
      <c r="Q12" s="14" t="str">
        <f aca="false">UPPER(H12)</f>
        <v>OVERALL</v>
      </c>
      <c r="R12" s="14" t="str">
        <f aca="false">UPPER(I12)</f>
        <v/>
      </c>
      <c r="V12" s="0" t="s">
        <v>7390</v>
      </c>
      <c r="W12" s="13" t="n">
        <v>0.861552567237164</v>
      </c>
      <c r="X12" s="13" t="n">
        <v>0.915036674816626</v>
      </c>
      <c r="Y12" s="13" t="n">
        <v>0.899755501222494</v>
      </c>
      <c r="Z12" s="13" t="n">
        <v>0.808068459657702</v>
      </c>
      <c r="AA12" s="13" t="n">
        <v>0.940097799511003</v>
      </c>
    </row>
    <row r="13" customFormat="false" ht="15" hidden="false" customHeight="false" outlineLevel="0" collapsed="false">
      <c r="A13" s="0" t="s">
        <v>7410</v>
      </c>
      <c r="B13" s="0" t="n">
        <v>409</v>
      </c>
      <c r="C13" s="0" t="n">
        <v>384</v>
      </c>
      <c r="D13" s="0" t="n">
        <v>368</v>
      </c>
      <c r="E13" s="0" t="n">
        <f aca="false">SUM(B13:D13)</f>
        <v>1161</v>
      </c>
      <c r="F13" s="0" t="n">
        <v>384</v>
      </c>
      <c r="G13" s="0" t="n">
        <v>382</v>
      </c>
      <c r="H13" s="0" t="n">
        <f aca="false">SUM(F13:G13)</f>
        <v>766</v>
      </c>
      <c r="J13" s="14" t="s">
        <v>7410</v>
      </c>
      <c r="K13" s="14" t="n">
        <f aca="false">B13</f>
        <v>409</v>
      </c>
      <c r="L13" s="14" t="n">
        <f aca="false">C13</f>
        <v>384</v>
      </c>
      <c r="M13" s="14" t="n">
        <f aca="false">D13</f>
        <v>368</v>
      </c>
      <c r="N13" s="14" t="n">
        <f aca="false">E13</f>
        <v>1161</v>
      </c>
      <c r="O13" s="14" t="n">
        <f aca="false">F13</f>
        <v>384</v>
      </c>
      <c r="P13" s="14" t="n">
        <f aca="false">G13</f>
        <v>382</v>
      </c>
      <c r="Q13" s="14" t="n">
        <f aca="false">H13</f>
        <v>766</v>
      </c>
      <c r="V13" s="0" t="s">
        <v>7411</v>
      </c>
      <c r="W13" s="13" t="n">
        <v>0.0139075818752804</v>
      </c>
      <c r="X13" s="13" t="n">
        <v>0.00528185921444348</v>
      </c>
      <c r="Y13" s="13" t="n">
        <v>0.00162506206834289</v>
      </c>
      <c r="Z13" s="13" t="n">
        <v>0.00320512820512821</v>
      </c>
      <c r="AA13" s="13" t="n">
        <v>0.0103428142463925</v>
      </c>
    </row>
    <row r="14" customFormat="false" ht="15" hidden="false" customHeight="false" outlineLevel="0" collapsed="false">
      <c r="A14" s="14" t="s">
        <v>7411</v>
      </c>
      <c r="B14" s="16" t="n">
        <f aca="false">mybt!Z412</f>
        <v>0.0139075818752804</v>
      </c>
      <c r="C14" s="14" t="n">
        <f aca="false">ammt!Y387</f>
        <v>0.00528185921444348</v>
      </c>
      <c r="D14" s="14" t="n">
        <f aca="false">mmmt!AE371</f>
        <v>0.00162506206834289</v>
      </c>
      <c r="E14" s="0" t="n">
        <f aca="false">((B$13*B14)+(C$13*C14)+(D$13*D14))/E$13</f>
        <v>0.0071614623311681</v>
      </c>
      <c r="F14" s="14" t="n">
        <f aca="false">alumnit!Q387</f>
        <v>0.00320600897682514</v>
      </c>
      <c r="G14" s="14" t="n">
        <f aca="false">aime!O385</f>
        <v>0.0103428142463925</v>
      </c>
      <c r="H14" s="0" t="n">
        <f aca="false">((F$13*F14)+(G$13*G14))/H$13</f>
        <v>0.00676509463345013</v>
      </c>
      <c r="J14" s="14" t="s">
        <v>7411</v>
      </c>
      <c r="K14" s="17" t="n">
        <f aca="false">B14</f>
        <v>0.0139075818752804</v>
      </c>
      <c r="L14" s="17" t="n">
        <f aca="false">C14</f>
        <v>0.00528185921444348</v>
      </c>
      <c r="M14" s="17" t="n">
        <f aca="false">D14</f>
        <v>0.00162506206834289</v>
      </c>
      <c r="N14" s="17" t="n">
        <f aca="false">E14</f>
        <v>0.0071614623311681</v>
      </c>
      <c r="O14" s="17" t="n">
        <f aca="false">F14</f>
        <v>0.00320600897682514</v>
      </c>
      <c r="P14" s="17" t="n">
        <f aca="false">G14</f>
        <v>0.0103428142463925</v>
      </c>
      <c r="Q14" s="17" t="n">
        <f aca="false">H14</f>
        <v>0.00676509463345013</v>
      </c>
    </row>
    <row r="15" customFormat="false" ht="15" hidden="false" customHeight="false" outlineLevel="0" collapsed="false">
      <c r="A15" s="14" t="s">
        <v>7385</v>
      </c>
      <c r="B15" s="14" t="n">
        <f aca="false">mybt!O412</f>
        <v>0.437652811735941</v>
      </c>
      <c r="C15" s="14" t="n">
        <f aca="false">ammt!N387</f>
        <v>0.73838630806846</v>
      </c>
      <c r="D15" s="14" t="n">
        <f aca="false">mmmt!Q371</f>
        <v>0.926650366748166</v>
      </c>
      <c r="E15" s="0" t="n">
        <f aca="false">((B$13*B15)+(C$13*C15)+(D$13*D15))/E$13</f>
        <v>0.692116862413104</v>
      </c>
      <c r="F15" s="14" t="n">
        <f aca="false">alumnit!O387</f>
        <v>0.726161369193154</v>
      </c>
      <c r="G15" s="14" t="n">
        <f aca="false">aime!M385</f>
        <v>0.897310513447433</v>
      </c>
      <c r="H15" s="0" t="n">
        <f aca="false">((F$13*F15)+(G$13*G15))/H$13</f>
        <v>0.811512509017089</v>
      </c>
      <c r="J15" s="14" t="str">
        <f aca="false">PROPER(A15)</f>
        <v>Company/Organization</v>
      </c>
      <c r="K15" s="17" t="n">
        <f aca="false">B15</f>
        <v>0.437652811735941</v>
      </c>
      <c r="L15" s="17" t="n">
        <f aca="false">C15</f>
        <v>0.73838630806846</v>
      </c>
      <c r="M15" s="17" t="n">
        <f aca="false">D15</f>
        <v>0.926650366748166</v>
      </c>
      <c r="N15" s="17" t="n">
        <f aca="false">E15</f>
        <v>0.692116862413104</v>
      </c>
      <c r="O15" s="17" t="n">
        <f aca="false">F15</f>
        <v>0.726161369193154</v>
      </c>
      <c r="P15" s="17" t="n">
        <f aca="false">G15</f>
        <v>0.897310513447433</v>
      </c>
      <c r="Q15" s="17" t="n">
        <f aca="false">H15</f>
        <v>0.811512509017089</v>
      </c>
    </row>
    <row r="16" customFormat="false" ht="15" hidden="false" customHeight="false" outlineLevel="0" collapsed="false">
      <c r="A16" s="14" t="s">
        <v>3</v>
      </c>
      <c r="B16" s="14" t="n">
        <f aca="false">mybt!P412</f>
        <v>0.992665036674817</v>
      </c>
      <c r="C16" s="14" t="n">
        <f aca="false">ammt!O387</f>
        <v>0.987775061124694</v>
      </c>
      <c r="D16" s="14" t="n">
        <f aca="false">mmmt!R371</f>
        <v>0.968215158924205</v>
      </c>
      <c r="E16" s="0" t="n">
        <f aca="false">((B$13*B16)+(C$13*C16)+(D$13*D16))/E$13</f>
        <v>0.983297848368639</v>
      </c>
      <c r="F16" s="14"/>
      <c r="G16" s="14"/>
      <c r="H16" s="0" t="n">
        <f aca="false">((F$13*F16)+(G$13*G16))/H$13</f>
        <v>0</v>
      </c>
      <c r="J16" s="14" t="str">
        <f aca="false">PROPER(A16)</f>
        <v>Capital</v>
      </c>
      <c r="K16" s="17" t="n">
        <f aca="false">B16</f>
        <v>0.992665036674817</v>
      </c>
      <c r="L16" s="17" t="n">
        <f aca="false">C16</f>
        <v>0.987775061124694</v>
      </c>
      <c r="M16" s="17" t="n">
        <f aca="false">D16</f>
        <v>0.968215158924205</v>
      </c>
      <c r="N16" s="17" t="n">
        <f aca="false">E16</f>
        <v>0.983297848368639</v>
      </c>
      <c r="O16" s="17"/>
      <c r="P16" s="17"/>
      <c r="Q16" s="17" t="n">
        <f aca="false">H16</f>
        <v>0</v>
      </c>
    </row>
    <row r="17" customFormat="false" ht="15" hidden="false" customHeight="false" outlineLevel="0" collapsed="false">
      <c r="A17" s="14" t="s">
        <v>7386</v>
      </c>
      <c r="B17" s="14" t="n">
        <f aca="false">mybt!R412</f>
        <v>0.992665036674817</v>
      </c>
      <c r="C17" s="14" t="n">
        <f aca="false">ammt!Q387</f>
        <v>0.982885085574572</v>
      </c>
      <c r="D17" s="14" t="n">
        <f aca="false">mmmt!X371</f>
        <v>0.997555012224939</v>
      </c>
      <c r="E17" s="0" t="n">
        <f aca="false">((B$13*B17)+(C$13*C17)+(D$13*D17))/E$13</f>
        <v>0.990980290576583</v>
      </c>
      <c r="F17" s="14" t="n">
        <f aca="false">alumnit!J387</f>
        <v>0.799511002444988</v>
      </c>
      <c r="G17" s="14"/>
      <c r="H17" s="0" t="n">
        <f aca="false">F17</f>
        <v>0.799511002444988</v>
      </c>
      <c r="J17" s="14" t="str">
        <f aca="false">PROPER(A17)</f>
        <v>Year Regist</v>
      </c>
      <c r="K17" s="17" t="n">
        <f aca="false">B17</f>
        <v>0.992665036674817</v>
      </c>
      <c r="L17" s="17" t="n">
        <f aca="false">C17</f>
        <v>0.982885085574572</v>
      </c>
      <c r="M17" s="17" t="n">
        <f aca="false">D17</f>
        <v>0.997555012224939</v>
      </c>
      <c r="N17" s="17" t="n">
        <f aca="false">E17</f>
        <v>0.990980290576583</v>
      </c>
      <c r="O17" s="17" t="n">
        <f aca="false">F17</f>
        <v>0.799511002444988</v>
      </c>
      <c r="P17" s="17"/>
      <c r="Q17" s="17" t="n">
        <f aca="false">H17</f>
        <v>0.799511002444988</v>
      </c>
    </row>
    <row r="18" customFormat="false" ht="15" hidden="false" customHeight="false" outlineLevel="0" collapsed="false">
      <c r="A18" s="14" t="s">
        <v>7387</v>
      </c>
      <c r="B18" s="14" t="n">
        <f aca="false">mybt!U412</f>
        <v>0.757946210268949</v>
      </c>
      <c r="C18" s="14" t="n">
        <f aca="false">ammt!S387</f>
        <v>0.943765281173594</v>
      </c>
      <c r="D18" s="14" t="n">
        <f aca="false">mmmt!Y371</f>
        <v>0.889975550122249</v>
      </c>
      <c r="E18" s="0" t="n">
        <f aca="false">((B$13*B18)+(C$13*C18)+(D$13*D18))/E$13</f>
        <v>0.861254841012617</v>
      </c>
      <c r="F18" s="14"/>
      <c r="G18" s="14" t="n">
        <f aca="false">aime!N385</f>
        <v>0.926650366748166</v>
      </c>
      <c r="H18" s="0" t="n">
        <f aca="false">((F$13*F18)+(G$13*G18))/H$13</f>
        <v>0.462115457046736</v>
      </c>
      <c r="J18" s="14" t="str">
        <f aca="false">PROPER(A18)</f>
        <v>Location</v>
      </c>
      <c r="K18" s="17" t="n">
        <f aca="false">B18</f>
        <v>0.757946210268949</v>
      </c>
      <c r="L18" s="17" t="n">
        <f aca="false">C18</f>
        <v>0.943765281173594</v>
      </c>
      <c r="M18" s="17" t="n">
        <f aca="false">D18</f>
        <v>0.889975550122249</v>
      </c>
      <c r="N18" s="17" t="n">
        <f aca="false">E18</f>
        <v>0.861254841012617</v>
      </c>
      <c r="O18" s="18"/>
      <c r="P18" s="17" t="n">
        <f aca="false">G18</f>
        <v>0.926650366748166</v>
      </c>
      <c r="Q18" s="17" t="n">
        <f aca="false">H18</f>
        <v>0.462115457046736</v>
      </c>
    </row>
    <row r="19" customFormat="false" ht="15" hidden="false" customHeight="false" outlineLevel="0" collapsed="false">
      <c r="A19" s="14" t="s">
        <v>10</v>
      </c>
      <c r="B19" s="14" t="n">
        <f aca="false">mybt!V412</f>
        <v>0.887530562347188</v>
      </c>
      <c r="C19" s="14" t="n">
        <f aca="false">ammt!U387</f>
        <v>0.831295843520783</v>
      </c>
      <c r="D19" s="14" t="n">
        <f aca="false">mmmt!AA371</f>
        <v>0.740831295843521</v>
      </c>
      <c r="E19" s="0" t="n">
        <f aca="false">((B$13*B19)+(C$13*C19)+(D$13*D19))/E$13</f>
        <v>0.822431973111452</v>
      </c>
      <c r="F19" s="14" t="n">
        <f aca="false">alumnit!K387</f>
        <v>0.946210268948655</v>
      </c>
      <c r="G19" s="19" t="n">
        <f aca="false">aime!I385</f>
        <v>0.865525672371638</v>
      </c>
      <c r="H19" s="0" t="n">
        <f aca="false">((F$13*F19)+(G$13*G19))/H$13</f>
        <v>0.905973303031657</v>
      </c>
      <c r="J19" s="14" t="str">
        <f aca="false">PROPER(A19)</f>
        <v>Lastname</v>
      </c>
      <c r="K19" s="17" t="n">
        <f aca="false">B19</f>
        <v>0.887530562347188</v>
      </c>
      <c r="L19" s="17" t="n">
        <f aca="false">C19</f>
        <v>0.831295843520783</v>
      </c>
      <c r="M19" s="17" t="n">
        <f aca="false">D19</f>
        <v>0.740831295843521</v>
      </c>
      <c r="N19" s="17" t="n">
        <f aca="false">E19</f>
        <v>0.822431973111452</v>
      </c>
      <c r="O19" s="17" t="n">
        <f aca="false">F19</f>
        <v>0.946210268948655</v>
      </c>
      <c r="P19" s="17" t="n">
        <f aca="false">G19</f>
        <v>0.865525672371638</v>
      </c>
      <c r="Q19" s="17" t="n">
        <f aca="false">H19</f>
        <v>0.905973303031657</v>
      </c>
    </row>
    <row r="20" customFormat="false" ht="15" hidden="false" customHeight="false" outlineLevel="0" collapsed="false">
      <c r="A20" s="14" t="s">
        <v>11</v>
      </c>
      <c r="B20" s="14" t="n">
        <f aca="false">mybt!W412</f>
        <v>0.941320293398533</v>
      </c>
      <c r="C20" s="14" t="n">
        <f aca="false">ammt!V387</f>
        <v>0.975550122249389</v>
      </c>
      <c r="D20" s="14" t="n">
        <f aca="false">mmmt!AB371</f>
        <v>0.946210268948655</v>
      </c>
      <c r="E20" s="0" t="n">
        <f aca="false">((B$13*B20)+(C$13*C20)+(D$13*D20))/E$13</f>
        <v>0.954191753589036</v>
      </c>
      <c r="F20" s="14" t="n">
        <f aca="false">alumnit!L387</f>
        <v>0.938875305623472</v>
      </c>
      <c r="G20" s="19"/>
      <c r="H20" s="0" t="n">
        <f aca="false">F20</f>
        <v>0.938875305623472</v>
      </c>
      <c r="J20" s="14" t="str">
        <f aca="false">PROPER(A20)</f>
        <v>Firstname</v>
      </c>
      <c r="K20" s="17" t="n">
        <f aca="false">B20</f>
        <v>0.941320293398533</v>
      </c>
      <c r="L20" s="17" t="n">
        <f aca="false">C20</f>
        <v>0.975550122249389</v>
      </c>
      <c r="M20" s="17" t="n">
        <f aca="false">D20</f>
        <v>0.946210268948655</v>
      </c>
      <c r="N20" s="17" t="n">
        <f aca="false">E20</f>
        <v>0.954191753589036</v>
      </c>
      <c r="O20" s="17" t="n">
        <f aca="false">F20</f>
        <v>0.938875305623472</v>
      </c>
      <c r="P20" s="17"/>
      <c r="Q20" s="17" t="n">
        <f aca="false">H20</f>
        <v>0.938875305623472</v>
      </c>
    </row>
    <row r="21" customFormat="false" ht="15" hidden="false" customHeight="false" outlineLevel="0" collapsed="false">
      <c r="A21" s="14" t="s">
        <v>12</v>
      </c>
      <c r="B21" s="14" t="n">
        <f aca="false">mybt!X412</f>
        <v>0.916870415647922</v>
      </c>
      <c r="C21" s="14" t="n">
        <f aca="false">ammt!W387</f>
        <v>0.877750611246944</v>
      </c>
      <c r="D21" s="14" t="n">
        <f aca="false">mmmt!AC371</f>
        <v>0.765281173594132</v>
      </c>
      <c r="E21" s="0" t="n">
        <f aca="false">((B$13*B21)+(C$13*C21)+(D$13*D21))/E$13</f>
        <v>0.855882606891875</v>
      </c>
      <c r="F21" s="14" t="n">
        <f aca="false">alumnit!M387</f>
        <v>0.669926650366748</v>
      </c>
      <c r="G21" s="19"/>
      <c r="H21" s="0" t="n">
        <f aca="false">F21</f>
        <v>0.669926650366748</v>
      </c>
      <c r="J21" s="14" t="str">
        <f aca="false">PROPER(A21)</f>
        <v>Middlename</v>
      </c>
      <c r="K21" s="17" t="n">
        <f aca="false">B21</f>
        <v>0.916870415647922</v>
      </c>
      <c r="L21" s="17" t="n">
        <f aca="false">C21</f>
        <v>0.877750611246944</v>
      </c>
      <c r="M21" s="17" t="n">
        <f aca="false">D21</f>
        <v>0.765281173594132</v>
      </c>
      <c r="N21" s="17" t="n">
        <f aca="false">E21</f>
        <v>0.855882606891875</v>
      </c>
      <c r="O21" s="17" t="n">
        <f aca="false">F21</f>
        <v>0.669926650366748</v>
      </c>
      <c r="P21" s="17"/>
      <c r="Q21" s="17" t="n">
        <f aca="false">H21</f>
        <v>0.669926650366748</v>
      </c>
    </row>
    <row r="22" customFormat="false" ht="15" hidden="false" customHeight="false" outlineLevel="0" collapsed="false">
      <c r="A22" s="14" t="s">
        <v>7388</v>
      </c>
      <c r="B22" s="14" t="n">
        <f aca="false">mybt!Y412</f>
        <v>0.965770171149144</v>
      </c>
      <c r="C22" s="14" t="n">
        <f aca="false">ammt!X387</f>
        <v>0.982885085574572</v>
      </c>
      <c r="D22" s="14" t="n">
        <f aca="false">mmmt!AD371</f>
        <v>0.963325183374083</v>
      </c>
      <c r="E22" s="0" t="n">
        <f aca="false">((B$13*B22)+(C$13*C22)+(D$13*D22))/E$13</f>
        <v>0.970655934834021</v>
      </c>
      <c r="F22" s="14" t="n">
        <f aca="false">alumnit!N387</f>
        <v>0.767726161369193</v>
      </c>
      <c r="G22" s="14" t="n">
        <f aca="false">aime!L385</f>
        <v>0.9559902200489</v>
      </c>
      <c r="H22" s="0" t="n">
        <f aca="false">((F$13*F22)+(G$13*G22))/H$13</f>
        <v>0.861612415175522</v>
      </c>
      <c r="J22" s="14" t="str">
        <f aca="false">PROPER(A22)</f>
        <v>Role</v>
      </c>
      <c r="K22" s="17" t="n">
        <f aca="false">B22</f>
        <v>0.965770171149144</v>
      </c>
      <c r="L22" s="17" t="n">
        <f aca="false">C22</f>
        <v>0.982885085574572</v>
      </c>
      <c r="M22" s="17" t="n">
        <f aca="false">D22</f>
        <v>0.963325183374083</v>
      </c>
      <c r="N22" s="17" t="n">
        <f aca="false">E22</f>
        <v>0.970655934834021</v>
      </c>
      <c r="O22" s="17" t="n">
        <f aca="false">F22</f>
        <v>0.767726161369193</v>
      </c>
      <c r="P22" s="17" t="n">
        <f aca="false">G22</f>
        <v>0.9559902200489</v>
      </c>
      <c r="Q22" s="17" t="n">
        <f aca="false">H22</f>
        <v>0.861612415175522</v>
      </c>
    </row>
    <row r="23" customFormat="false" ht="15" hidden="false" customHeight="false" outlineLevel="0" collapsed="false">
      <c r="A23" s="14" t="s">
        <v>5010</v>
      </c>
      <c r="B23" s="14"/>
      <c r="C23" s="14"/>
      <c r="D23" s="14"/>
      <c r="E23" s="0" t="n">
        <f aca="false">((B$13*B23)+(C$13*C23)+(D$13*D23))/E$13</f>
        <v>0</v>
      </c>
      <c r="F23" s="14"/>
      <c r="G23" s="14" t="n">
        <f aca="false">aime!J385</f>
        <v>0.995110024449878</v>
      </c>
      <c r="H23" s="0" t="n">
        <f aca="false">G23</f>
        <v>0.995110024449878</v>
      </c>
      <c r="J23" s="14" t="str">
        <f aca="false">PROPER(A23)</f>
        <v>Nationality</v>
      </c>
      <c r="K23" s="17"/>
      <c r="L23" s="17"/>
      <c r="M23" s="17"/>
      <c r="N23" s="17"/>
      <c r="O23" s="17"/>
      <c r="P23" s="17" t="n">
        <f aca="false">G23</f>
        <v>0.995110024449878</v>
      </c>
      <c r="Q23" s="17" t="n">
        <f aca="false">H23</f>
        <v>0.995110024449878</v>
      </c>
    </row>
    <row r="24" customFormat="false" ht="15" hidden="false" customHeight="false" outlineLevel="0" collapsed="false">
      <c r="A24" s="14" t="s">
        <v>7389</v>
      </c>
      <c r="B24" s="14"/>
      <c r="C24" s="14"/>
      <c r="D24" s="14"/>
      <c r="E24" s="0" t="n">
        <f aca="false">((B$13*B24)+(C$13*C24)+(D$13*D24))/E$13</f>
        <v>0</v>
      </c>
      <c r="F24" s="14"/>
      <c r="G24" s="14" t="n">
        <f aca="false">aime!K385</f>
        <v>1</v>
      </c>
      <c r="H24" s="0" t="n">
        <f aca="false">G24</f>
        <v>1</v>
      </c>
      <c r="J24" s="14" t="str">
        <f aca="false">PROPER(A24)</f>
        <v>Education</v>
      </c>
      <c r="K24" s="17"/>
      <c r="L24" s="17"/>
      <c r="M24" s="17"/>
      <c r="N24" s="17"/>
      <c r="O24" s="17"/>
      <c r="P24" s="17" t="n">
        <f aca="false">G24</f>
        <v>1</v>
      </c>
      <c r="Q24" s="17" t="n">
        <f aca="false">H24</f>
        <v>1</v>
      </c>
    </row>
    <row r="25" customFormat="false" ht="15" hidden="false" customHeight="false" outlineLevel="0" collapsed="false">
      <c r="A25" s="14" t="s">
        <v>7390</v>
      </c>
      <c r="B25" s="14" t="n">
        <f aca="false">AVERAGE(B15:B24)</f>
        <v>0.861552567237164</v>
      </c>
      <c r="C25" s="14" t="n">
        <f aca="false">AVERAGE(C15:C24)</f>
        <v>0.915036674816626</v>
      </c>
      <c r="D25" s="14" t="n">
        <f aca="false">AVERAGE(D15:D24)</f>
        <v>0.899755501222494</v>
      </c>
      <c r="E25" s="0" t="n">
        <f aca="false">((B$13*B25)+(C$13*C25)+(D$13*D25))/E$13</f>
        <v>0.891351513849666</v>
      </c>
      <c r="F25" s="14" t="n">
        <f aca="false">AVERAGE(F15:F24)</f>
        <v>0.808068459657702</v>
      </c>
      <c r="G25" s="14" t="n">
        <f aca="false">AVERAGE(G15:G24)</f>
        <v>0.940097799511003</v>
      </c>
      <c r="H25" s="0" t="n">
        <f aca="false">((F$13*F25)+(G$13*G25))/H$13</f>
        <v>0.873910767521881</v>
      </c>
      <c r="J25" s="14" t="str">
        <f aca="false">PROPER(A25)</f>
        <v>Overall</v>
      </c>
      <c r="K25" s="17" t="n">
        <f aca="false">B25</f>
        <v>0.861552567237164</v>
      </c>
      <c r="L25" s="17" t="n">
        <f aca="false">C25</f>
        <v>0.915036674816626</v>
      </c>
      <c r="M25" s="17" t="n">
        <f aca="false">D25</f>
        <v>0.899755501222494</v>
      </c>
      <c r="N25" s="17" t="n">
        <f aca="false">E25</f>
        <v>0.891351513849666</v>
      </c>
      <c r="O25" s="17" t="n">
        <f aca="false">F25</f>
        <v>0.808068459657702</v>
      </c>
      <c r="P25" s="17" t="n">
        <f aca="false">G25</f>
        <v>0.940097799511003</v>
      </c>
      <c r="Q25" s="17" t="n">
        <f aca="false">H25</f>
        <v>0.873910767521881</v>
      </c>
    </row>
    <row r="29" customFormat="false" ht="15" hidden="false" customHeight="false" outlineLevel="0" collapsed="false">
      <c r="B29" s="0" t="s">
        <v>7412</v>
      </c>
      <c r="C29" s="0" t="s">
        <v>7413</v>
      </c>
      <c r="D29" s="0" t="s">
        <v>7414</v>
      </c>
      <c r="E29" s="0" t="s">
        <v>7409</v>
      </c>
      <c r="F29" s="0" t="s">
        <v>7415</v>
      </c>
      <c r="G29" s="0" t="s">
        <v>7403</v>
      </c>
      <c r="H29" s="0" t="s">
        <v>7416</v>
      </c>
    </row>
    <row r="30" customFormat="false" ht="15" hidden="false" customHeight="false" outlineLevel="0" collapsed="false">
      <c r="B30" s="0" t="n">
        <v>0.940104166666667</v>
      </c>
      <c r="C30" s="0" t="n">
        <v>0.9375</v>
      </c>
      <c r="D30" s="0" t="n">
        <v>0.9375</v>
      </c>
      <c r="E30" s="0" t="n">
        <v>1</v>
      </c>
      <c r="F30" s="0" t="n">
        <v>0.9453125</v>
      </c>
      <c r="G30" s="0" t="n">
        <v>0.940104166666667</v>
      </c>
      <c r="H30" s="0" t="n">
        <v>1</v>
      </c>
    </row>
    <row r="31" customFormat="false" ht="15" hidden="false" customHeight="false" outlineLevel="0" collapsed="false">
      <c r="B31" s="14" t="s">
        <v>7417</v>
      </c>
      <c r="C31" s="14" t="s">
        <v>7418</v>
      </c>
    </row>
    <row r="32" customFormat="false" ht="15" hidden="false" customHeight="false" outlineLevel="0" collapsed="false">
      <c r="B32" s="14" t="s">
        <v>7412</v>
      </c>
      <c r="C32" s="20" t="n">
        <v>0.940104166666667</v>
      </c>
    </row>
    <row r="33" customFormat="false" ht="15" hidden="false" customHeight="false" outlineLevel="0" collapsed="false">
      <c r="B33" s="14" t="s">
        <v>7413</v>
      </c>
      <c r="C33" s="20" t="n">
        <v>0.9375</v>
      </c>
    </row>
    <row r="34" customFormat="false" ht="15" hidden="false" customHeight="false" outlineLevel="0" collapsed="false">
      <c r="B34" s="14" t="s">
        <v>7414</v>
      </c>
      <c r="C34" s="20" t="n">
        <v>0.9375</v>
      </c>
    </row>
    <row r="35" customFormat="false" ht="15" hidden="false" customHeight="false" outlineLevel="0" collapsed="false">
      <c r="B35" s="14" t="s">
        <v>7409</v>
      </c>
      <c r="C35" s="20" t="n">
        <v>1</v>
      </c>
    </row>
    <row r="36" customFormat="false" ht="15" hidden="false" customHeight="false" outlineLevel="0" collapsed="false">
      <c r="B36" s="14" t="s">
        <v>7415</v>
      </c>
      <c r="C36" s="20" t="n">
        <v>0.9453125</v>
      </c>
    </row>
    <row r="37" customFormat="false" ht="15" hidden="false" customHeight="false" outlineLevel="0" collapsed="false">
      <c r="B37" s="14" t="s">
        <v>7403</v>
      </c>
      <c r="C37" s="20" t="n">
        <v>0.940104166666667</v>
      </c>
    </row>
    <row r="38" customFormat="false" ht="15" hidden="false" customHeight="false" outlineLevel="0" collapsed="false">
      <c r="B38" s="14" t="s">
        <v>7416</v>
      </c>
      <c r="C38" s="20" t="n">
        <v>1</v>
      </c>
    </row>
    <row r="39" customFormat="false" ht="15" hidden="false" customHeight="false" outlineLevel="0" collapsed="false">
      <c r="B39" s="14" t="s">
        <v>7390</v>
      </c>
      <c r="C39" s="20" t="n">
        <f aca="false">AVERAGE(C32:C38)</f>
        <v>0.957217261904762</v>
      </c>
    </row>
    <row r="42" customFormat="false" ht="15" hidden="false" customHeight="false" outlineLevel="0" collapsed="false">
      <c r="A42" s="19"/>
      <c r="B42" s="19" t="s">
        <v>7417</v>
      </c>
      <c r="C42" s="14" t="s">
        <v>7391</v>
      </c>
      <c r="D42" s="14" t="s">
        <v>7392</v>
      </c>
      <c r="E42" s="14" t="s">
        <v>7393</v>
      </c>
      <c r="F42" s="14" t="s">
        <v>7394</v>
      </c>
      <c r="G42" s="14" t="s">
        <v>7395</v>
      </c>
      <c r="H42" s="14" t="s">
        <v>7390</v>
      </c>
      <c r="K42" s="19"/>
      <c r="L42" s="14"/>
      <c r="M42" s="14" t="s">
        <v>7394</v>
      </c>
      <c r="N42" s="14" t="s">
        <v>7395</v>
      </c>
      <c r="O42" s="14" t="s">
        <v>7419</v>
      </c>
      <c r="Q42" s="19"/>
      <c r="R42" s="14"/>
      <c r="S42" s="14" t="s">
        <v>7391</v>
      </c>
      <c r="T42" s="14" t="s">
        <v>7392</v>
      </c>
      <c r="U42" s="14" t="s">
        <v>7393</v>
      </c>
      <c r="V42" s="14" t="s">
        <v>7419</v>
      </c>
    </row>
    <row r="43" customFormat="false" ht="15" hidden="false" customHeight="false" outlineLevel="0" collapsed="false">
      <c r="A43" s="19"/>
      <c r="B43" s="14" t="s">
        <v>7410</v>
      </c>
      <c r="C43" s="14" t="n">
        <v>409</v>
      </c>
      <c r="D43" s="14" t="n">
        <v>384</v>
      </c>
      <c r="E43" s="14" t="n">
        <v>368</v>
      </c>
      <c r="F43" s="14" t="n">
        <v>384</v>
      </c>
      <c r="G43" s="14" t="n">
        <v>382</v>
      </c>
      <c r="H43" s="14" t="n">
        <v>1927</v>
      </c>
      <c r="K43" s="19"/>
      <c r="L43" s="14" t="s">
        <v>7410</v>
      </c>
      <c r="M43" s="14" t="n">
        <v>384</v>
      </c>
      <c r="N43" s="14" t="n">
        <v>382</v>
      </c>
      <c r="O43" s="14" t="n">
        <v>766</v>
      </c>
      <c r="Q43" s="19"/>
      <c r="R43" s="14" t="s">
        <v>7410</v>
      </c>
      <c r="S43" s="14" t="n">
        <v>409</v>
      </c>
      <c r="T43" s="14" t="n">
        <v>384</v>
      </c>
      <c r="U43" s="14" t="n">
        <v>368</v>
      </c>
      <c r="V43" s="14" t="n">
        <v>1161</v>
      </c>
    </row>
    <row r="44" customFormat="false" ht="15" hidden="false" customHeight="false" outlineLevel="0" collapsed="false">
      <c r="A44" s="21" t="s">
        <v>7411</v>
      </c>
      <c r="B44" s="21"/>
      <c r="C44" s="20" t="n">
        <v>0.0139075818752804</v>
      </c>
      <c r="D44" s="20" t="n">
        <v>0.00528185921444348</v>
      </c>
      <c r="E44" s="20" t="n">
        <v>0.00162506206834289</v>
      </c>
      <c r="F44" s="20" t="n">
        <v>0.00320512820512821</v>
      </c>
      <c r="G44" s="20" t="n">
        <v>0.0103428142463925</v>
      </c>
      <c r="H44" s="20" t="n">
        <v>0.00700372705727937</v>
      </c>
      <c r="K44" s="21" t="s">
        <v>7411</v>
      </c>
      <c r="L44" s="21"/>
      <c r="M44" s="17" t="n">
        <v>0.00320512820512821</v>
      </c>
      <c r="N44" s="17" t="n">
        <v>0.0103428142463925</v>
      </c>
      <c r="O44" s="17" t="n">
        <v>0.00676465309776916</v>
      </c>
      <c r="Q44" s="21" t="s">
        <v>7411</v>
      </c>
      <c r="R44" s="21"/>
      <c r="S44" s="17" t="n">
        <v>0.0139075818752804</v>
      </c>
      <c r="T44" s="17" t="n">
        <v>0.00528185921444348</v>
      </c>
      <c r="U44" s="17" t="n">
        <v>0.00162506206834289</v>
      </c>
      <c r="V44" s="17" t="n">
        <v>0.0071614623311681</v>
      </c>
    </row>
    <row r="45" customFormat="false" ht="15" hidden="false" customHeight="false" outlineLevel="0" collapsed="false">
      <c r="A45" s="21" t="s">
        <v>7420</v>
      </c>
      <c r="B45" s="14" t="s">
        <v>7390</v>
      </c>
      <c r="C45" s="20" t="n">
        <v>0.861552567237164</v>
      </c>
      <c r="D45" s="20" t="n">
        <v>0.915036674816626</v>
      </c>
      <c r="E45" s="20" t="n">
        <v>0.899755501222494</v>
      </c>
      <c r="F45" s="20" t="n">
        <v>0.808068459657702</v>
      </c>
      <c r="G45" s="20" t="n">
        <v>0.940097799511003</v>
      </c>
      <c r="H45" s="20" t="n">
        <v>0.884418658796691</v>
      </c>
      <c r="K45" s="21" t="s">
        <v>7420</v>
      </c>
      <c r="L45" s="14" t="s">
        <v>7397</v>
      </c>
      <c r="M45" s="17" t="n">
        <v>0.726161369193154</v>
      </c>
      <c r="N45" s="17" t="n">
        <v>0.897310513447433</v>
      </c>
      <c r="O45" s="17" t="n">
        <v>0.811512509017089</v>
      </c>
      <c r="Q45" s="21" t="s">
        <v>7420</v>
      </c>
      <c r="R45" s="14" t="s">
        <v>7397</v>
      </c>
      <c r="S45" s="17" t="n">
        <v>0.437652811735941</v>
      </c>
      <c r="T45" s="17" t="n">
        <v>0.73838630806846</v>
      </c>
      <c r="U45" s="17" t="n">
        <v>0.926650366748166</v>
      </c>
      <c r="V45" s="17" t="n">
        <v>0.692116862413104</v>
      </c>
    </row>
    <row r="46" customFormat="false" ht="15" hidden="false" customHeight="false" outlineLevel="0" collapsed="false">
      <c r="A46" s="21"/>
      <c r="B46" s="14" t="s">
        <v>7397</v>
      </c>
      <c r="C46" s="20" t="n">
        <v>0.437652811735941</v>
      </c>
      <c r="D46" s="20" t="n">
        <v>0.73838630806846</v>
      </c>
      <c r="E46" s="20" t="n">
        <v>0.926650366748166</v>
      </c>
      <c r="F46" s="20" t="n">
        <v>0.726161369193154</v>
      </c>
      <c r="G46" s="20" t="n">
        <v>0.897310513447433</v>
      </c>
      <c r="H46" s="20" t="n">
        <v>0.739577716226624</v>
      </c>
      <c r="K46" s="21"/>
      <c r="L46" s="14" t="s">
        <v>7401</v>
      </c>
      <c r="M46" s="17" t="n">
        <v>0.799511002444988</v>
      </c>
      <c r="N46" s="17"/>
      <c r="O46" s="17" t="n">
        <v>0.799511002444988</v>
      </c>
      <c r="Q46" s="21"/>
      <c r="R46" s="14" t="s">
        <v>7399</v>
      </c>
      <c r="S46" s="17" t="n">
        <v>0.992665036674817</v>
      </c>
      <c r="T46" s="17" t="n">
        <v>0.987775061124694</v>
      </c>
      <c r="U46" s="17" t="n">
        <v>0.968215158924205</v>
      </c>
      <c r="V46" s="17" t="n">
        <v>0.983297848368639</v>
      </c>
    </row>
    <row r="47" customFormat="false" ht="15" hidden="false" customHeight="false" outlineLevel="0" collapsed="false">
      <c r="A47" s="21"/>
      <c r="B47" s="14" t="s">
        <v>7399</v>
      </c>
      <c r="C47" s="20" t="n">
        <v>0.992665036674817</v>
      </c>
      <c r="D47" s="20" t="n">
        <v>0.987775061124694</v>
      </c>
      <c r="E47" s="20" t="n">
        <v>0.968215158924205</v>
      </c>
      <c r="F47" s="20"/>
      <c r="G47" s="22"/>
      <c r="H47" s="20" t="n">
        <v>0.983297848368639</v>
      </c>
      <c r="K47" s="21"/>
      <c r="L47" s="14" t="s">
        <v>7403</v>
      </c>
      <c r="M47" s="18"/>
      <c r="N47" s="17" t="n">
        <v>0.926650366748166</v>
      </c>
      <c r="O47" s="17" t="n">
        <v>0.462115457046736</v>
      </c>
      <c r="Q47" s="21"/>
      <c r="R47" s="14" t="s">
        <v>7401</v>
      </c>
      <c r="S47" s="17" t="n">
        <v>0.992665036674817</v>
      </c>
      <c r="T47" s="17" t="n">
        <v>0.982885085574572</v>
      </c>
      <c r="U47" s="17" t="n">
        <v>0.997555012224939</v>
      </c>
      <c r="V47" s="17" t="n">
        <v>0.990980290576583</v>
      </c>
    </row>
    <row r="48" customFormat="false" ht="15" hidden="false" customHeight="false" outlineLevel="0" collapsed="false">
      <c r="A48" s="21"/>
      <c r="B48" s="14" t="s">
        <v>7401</v>
      </c>
      <c r="C48" s="20" t="n">
        <v>0.992665036674817</v>
      </c>
      <c r="D48" s="20" t="n">
        <v>0.982885085574572</v>
      </c>
      <c r="E48" s="20" t="n">
        <v>0.997555012224939</v>
      </c>
      <c r="F48" s="20" t="n">
        <v>0.799511002444988</v>
      </c>
      <c r="G48" s="22"/>
      <c r="H48" s="20" t="n">
        <v>0.943391807312808</v>
      </c>
      <c r="K48" s="21"/>
      <c r="L48" s="14" t="s">
        <v>7404</v>
      </c>
      <c r="M48" s="17" t="n">
        <v>0.946210268948655</v>
      </c>
      <c r="N48" s="17" t="n">
        <v>0.865525672371638</v>
      </c>
      <c r="O48" s="17" t="n">
        <v>0.905973303031657</v>
      </c>
      <c r="Q48" s="21"/>
      <c r="R48" s="14" t="s">
        <v>7403</v>
      </c>
      <c r="S48" s="17" t="n">
        <v>0.757946210268949</v>
      </c>
      <c r="T48" s="17" t="n">
        <v>0.943765281173594</v>
      </c>
      <c r="U48" s="17" t="n">
        <v>0.889975550122249</v>
      </c>
      <c r="V48" s="17" t="n">
        <v>0.861254841012617</v>
      </c>
    </row>
    <row r="49" customFormat="false" ht="15" hidden="false" customHeight="false" outlineLevel="0" collapsed="false">
      <c r="A49" s="21"/>
      <c r="B49" s="14" t="s">
        <v>7403</v>
      </c>
      <c r="C49" s="20" t="n">
        <v>0.757946210268949</v>
      </c>
      <c r="D49" s="20" t="n">
        <v>0.943765281173594</v>
      </c>
      <c r="E49" s="20" t="n">
        <v>0.889975550122249</v>
      </c>
      <c r="F49" s="20"/>
      <c r="G49" s="20" t="n">
        <v>0.926650366748166</v>
      </c>
      <c r="H49" s="20" t="n">
        <v>0.877444789704114</v>
      </c>
      <c r="K49" s="21"/>
      <c r="L49" s="14" t="s">
        <v>7405</v>
      </c>
      <c r="M49" s="17" t="n">
        <v>0.938875305623472</v>
      </c>
      <c r="N49" s="23"/>
      <c r="O49" s="17" t="n">
        <v>0.938875305623472</v>
      </c>
      <c r="Q49" s="21"/>
      <c r="R49" s="14" t="s">
        <v>7404</v>
      </c>
      <c r="S49" s="17" t="n">
        <v>0.887530562347188</v>
      </c>
      <c r="T49" s="17" t="n">
        <v>0.831295843520783</v>
      </c>
      <c r="U49" s="17" t="n">
        <v>0.740831295843521</v>
      </c>
      <c r="V49" s="17" t="n">
        <v>0.822431973111452</v>
      </c>
    </row>
    <row r="50" customFormat="false" ht="15" hidden="false" customHeight="false" outlineLevel="0" collapsed="false">
      <c r="A50" s="21"/>
      <c r="B50" s="14" t="s">
        <v>7404</v>
      </c>
      <c r="C50" s="20" t="n">
        <v>0.887530562347188</v>
      </c>
      <c r="D50" s="20" t="n">
        <v>0.831295843520783</v>
      </c>
      <c r="E50" s="20" t="n">
        <v>0.740831295843521</v>
      </c>
      <c r="F50" s="20" t="n">
        <v>0.946210268948655</v>
      </c>
      <c r="G50" s="22" t="n">
        <v>0.865525672371638</v>
      </c>
      <c r="H50" s="22" t="n">
        <v>0.855640410433132</v>
      </c>
      <c r="K50" s="21"/>
      <c r="L50" s="14" t="s">
        <v>7406</v>
      </c>
      <c r="M50" s="17" t="n">
        <v>0.669926650366748</v>
      </c>
      <c r="N50" s="23"/>
      <c r="O50" s="17" t="n">
        <v>0.669926650366748</v>
      </c>
      <c r="Q50" s="21"/>
      <c r="R50" s="14" t="s">
        <v>7405</v>
      </c>
      <c r="S50" s="17" t="n">
        <v>0.941320293398533</v>
      </c>
      <c r="T50" s="17" t="n">
        <v>0.975550122249389</v>
      </c>
      <c r="U50" s="17" t="n">
        <v>0.946210268948655</v>
      </c>
      <c r="V50" s="17" t="n">
        <v>0.954191753589036</v>
      </c>
    </row>
    <row r="51" customFormat="false" ht="15" hidden="false" customHeight="false" outlineLevel="0" collapsed="false">
      <c r="A51" s="21"/>
      <c r="B51" s="14" t="s">
        <v>7405</v>
      </c>
      <c r="C51" s="20" t="n">
        <v>0.941320293398533</v>
      </c>
      <c r="D51" s="20" t="n">
        <v>0.975550122249389</v>
      </c>
      <c r="E51" s="20" t="n">
        <v>0.946210268948655</v>
      </c>
      <c r="F51" s="20" t="n">
        <v>0.938875305623472</v>
      </c>
      <c r="G51" s="22"/>
      <c r="H51" s="22"/>
      <c r="K51" s="21"/>
      <c r="L51" s="14" t="s">
        <v>7407</v>
      </c>
      <c r="M51" s="17" t="n">
        <v>0.767726161369193</v>
      </c>
      <c r="N51" s="17" t="n">
        <v>0.9559902200489</v>
      </c>
      <c r="O51" s="17" t="n">
        <v>0.861612415175522</v>
      </c>
      <c r="Q51" s="21"/>
      <c r="R51" s="14" t="s">
        <v>7406</v>
      </c>
      <c r="S51" s="17" t="n">
        <v>0.916870415647922</v>
      </c>
      <c r="T51" s="17" t="n">
        <v>0.877750611246944</v>
      </c>
      <c r="U51" s="17" t="n">
        <v>0.765281173594132</v>
      </c>
      <c r="V51" s="17" t="n">
        <v>0.855882606891875</v>
      </c>
    </row>
    <row r="52" customFormat="false" ht="15" hidden="false" customHeight="false" outlineLevel="0" collapsed="false">
      <c r="A52" s="21"/>
      <c r="B52" s="14" t="s">
        <v>7406</v>
      </c>
      <c r="C52" s="20" t="n">
        <v>0.916870415647922</v>
      </c>
      <c r="D52" s="20" t="n">
        <v>0.877750611246944</v>
      </c>
      <c r="E52" s="20" t="n">
        <v>0.765281173594132</v>
      </c>
      <c r="F52" s="20" t="n">
        <v>0.669926650366748</v>
      </c>
      <c r="G52" s="22"/>
      <c r="H52" s="22"/>
      <c r="K52" s="21"/>
      <c r="L52" s="14" t="s">
        <v>7408</v>
      </c>
      <c r="M52" s="23"/>
      <c r="N52" s="17" t="n">
        <v>0.995110024449878</v>
      </c>
      <c r="O52" s="17" t="n">
        <v>0.995110024449878</v>
      </c>
      <c r="Q52" s="21"/>
      <c r="R52" s="14" t="s">
        <v>7407</v>
      </c>
      <c r="S52" s="17" t="n">
        <v>0.965770171149144</v>
      </c>
      <c r="T52" s="17" t="n">
        <v>0.982885085574572</v>
      </c>
      <c r="U52" s="17" t="n">
        <v>0.963325183374083</v>
      </c>
      <c r="V52" s="17" t="n">
        <v>0.970655934834021</v>
      </c>
    </row>
    <row r="53" customFormat="false" ht="15" hidden="false" customHeight="false" outlineLevel="0" collapsed="false">
      <c r="A53" s="21"/>
      <c r="B53" s="14" t="s">
        <v>7407</v>
      </c>
      <c r="C53" s="20" t="n">
        <v>0.965770171149144</v>
      </c>
      <c r="D53" s="20" t="n">
        <v>0.982885085574572</v>
      </c>
      <c r="E53" s="20" t="n">
        <v>0.963325183374083</v>
      </c>
      <c r="F53" s="20" t="n">
        <v>0.767726161369193</v>
      </c>
      <c r="G53" s="20" t="n">
        <v>0.9559902200489</v>
      </c>
      <c r="H53" s="20" t="n">
        <v>0.927310145493901</v>
      </c>
      <c r="K53" s="21"/>
      <c r="L53" s="14" t="s">
        <v>7409</v>
      </c>
      <c r="M53" s="23"/>
      <c r="N53" s="17" t="n">
        <v>1</v>
      </c>
      <c r="O53" s="17" t="n">
        <v>1</v>
      </c>
      <c r="Q53" s="21"/>
      <c r="R53" s="14" t="s">
        <v>7390</v>
      </c>
      <c r="S53" s="17" t="n">
        <v>0.861552567237164</v>
      </c>
      <c r="T53" s="17" t="n">
        <v>0.915036674816626</v>
      </c>
      <c r="U53" s="17" t="n">
        <v>0.899755501222494</v>
      </c>
      <c r="V53" s="17" t="n">
        <v>0.891351513849666</v>
      </c>
    </row>
    <row r="54" customFormat="false" ht="15" hidden="false" customHeight="false" outlineLevel="0" collapsed="false">
      <c r="A54" s="21"/>
      <c r="B54" s="14" t="s">
        <v>7408</v>
      </c>
      <c r="C54" s="22"/>
      <c r="D54" s="22"/>
      <c r="E54" s="22"/>
      <c r="F54" s="22"/>
      <c r="G54" s="20" t="n">
        <v>0.995110024449878</v>
      </c>
      <c r="H54" s="20" t="n">
        <v>0.995110024449878</v>
      </c>
      <c r="K54" s="21"/>
      <c r="L54" s="14" t="s">
        <v>7390</v>
      </c>
      <c r="M54" s="17" t="n">
        <v>0.808068459657702</v>
      </c>
      <c r="N54" s="17" t="n">
        <v>0.940097799511003</v>
      </c>
      <c r="O54" s="17" t="n">
        <v>0.873910767521881</v>
      </c>
      <c r="Q54" s="14"/>
      <c r="R54" s="17"/>
      <c r="S54" s="17"/>
      <c r="T54" s="17"/>
      <c r="U54" s="17"/>
    </row>
    <row r="55" customFormat="false" ht="15" hidden="false" customHeight="false" outlineLevel="0" collapsed="false">
      <c r="A55" s="21"/>
      <c r="B55" s="14" t="s">
        <v>7409</v>
      </c>
      <c r="C55" s="22"/>
      <c r="D55" s="22"/>
      <c r="E55" s="22"/>
      <c r="F55" s="22"/>
      <c r="G55" s="20" t="n">
        <v>1</v>
      </c>
      <c r="H55" s="20" t="n">
        <v>1</v>
      </c>
      <c r="K55" s="24"/>
    </row>
  </sheetData>
  <mergeCells count="14">
    <mergeCell ref="A42:A43"/>
    <mergeCell ref="K42:K43"/>
    <mergeCell ref="Q42:Q43"/>
    <mergeCell ref="A44:B44"/>
    <mergeCell ref="K44:L44"/>
    <mergeCell ref="Q44:R44"/>
    <mergeCell ref="A45:A55"/>
    <mergeCell ref="K45:K54"/>
    <mergeCell ref="Q45:Q53"/>
    <mergeCell ref="G47:G48"/>
    <mergeCell ref="N49:N50"/>
    <mergeCell ref="G51:H52"/>
    <mergeCell ref="M52:M53"/>
    <mergeCell ref="C54:F5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sheetData>
    <row r="1" customFormat="false" ht="13.8" hidden="false" customHeight="false" outlineLevel="0" collapsed="false">
      <c r="A1" s="25" t="s">
        <v>7421</v>
      </c>
      <c r="B1" s="25" t="s">
        <v>1</v>
      </c>
      <c r="C1" s="25" t="s">
        <v>2</v>
      </c>
      <c r="D1" s="25" t="s">
        <v>3</v>
      </c>
      <c r="E1" s="25" t="s">
        <v>9</v>
      </c>
      <c r="F1" s="25" t="s">
        <v>8</v>
      </c>
      <c r="G1" s="25" t="s">
        <v>7422</v>
      </c>
      <c r="H1" s="25" t="s">
        <v>7423</v>
      </c>
      <c r="I1" s="25" t="s">
        <v>7388</v>
      </c>
      <c r="J1" s="25" t="s">
        <v>5009</v>
      </c>
      <c r="K1" s="25" t="s">
        <v>7424</v>
      </c>
      <c r="L1" s="25" t="s">
        <v>7425</v>
      </c>
      <c r="M1" s="25" t="s">
        <v>5011</v>
      </c>
      <c r="N1" s="25" t="s">
        <v>3931</v>
      </c>
      <c r="O1" s="25" t="s">
        <v>7426</v>
      </c>
      <c r="P1" s="25"/>
    </row>
    <row r="2" customFormat="false" ht="13.8" hidden="false" customHeight="false" outlineLevel="0" collapsed="false">
      <c r="A2" s="26" t="n">
        <v>10297</v>
      </c>
      <c r="B2" s="26" t="n">
        <v>1887</v>
      </c>
      <c r="C2" s="26" t="s">
        <v>7427</v>
      </c>
      <c r="D2" s="26" t="n">
        <v>291120.8152</v>
      </c>
      <c r="E2" s="26" t="s">
        <v>7428</v>
      </c>
      <c r="F2" s="26" t="s">
        <v>106</v>
      </c>
      <c r="G2" s="26" t="n">
        <v>-96.1247847</v>
      </c>
      <c r="H2" s="26" t="n">
        <v>41.294441</v>
      </c>
      <c r="I2" s="26" t="s">
        <v>110</v>
      </c>
      <c r="J2" s="25" t="s">
        <v>7429</v>
      </c>
      <c r="K2" s="26" t="s">
        <v>7430</v>
      </c>
      <c r="L2" s="26" t="s">
        <v>7396</v>
      </c>
      <c r="M2" s="26" t="s">
        <v>3298</v>
      </c>
      <c r="N2" s="26" t="s">
        <v>4306</v>
      </c>
      <c r="O2" s="26" t="s">
        <v>7431</v>
      </c>
      <c r="P2" s="26" t="n">
        <f aca="false">IF(A2=O2, 1, 0)</f>
        <v>0</v>
      </c>
    </row>
    <row r="3" customFormat="false" ht="13.8" hidden="false" customHeight="false" outlineLevel="0" collapsed="false">
      <c r="A3" s="26" t="n">
        <v>21274</v>
      </c>
      <c r="B3" s="26" t="n">
        <v>1887</v>
      </c>
      <c r="C3" s="26" t="s">
        <v>7432</v>
      </c>
      <c r="D3" s="26" t="n">
        <v>970402.7172</v>
      </c>
      <c r="E3" s="26" t="s">
        <v>7433</v>
      </c>
      <c r="F3" s="26" t="s">
        <v>145</v>
      </c>
      <c r="G3" s="26" t="n">
        <v>133.775136</v>
      </c>
      <c r="H3" s="26" t="n">
        <v>-25.274398</v>
      </c>
      <c r="I3" s="26" t="s">
        <v>882</v>
      </c>
      <c r="J3" s="26" t="s">
        <v>7434</v>
      </c>
      <c r="K3" s="26" t="s">
        <v>145</v>
      </c>
      <c r="L3" s="26" t="s">
        <v>7396</v>
      </c>
      <c r="M3" s="26" t="s">
        <v>1357</v>
      </c>
      <c r="N3" s="26" t="s">
        <v>7435</v>
      </c>
      <c r="O3" s="26" t="s">
        <v>7436</v>
      </c>
      <c r="P3" s="26" t="n">
        <f aca="false">IF(A3=O3, 1, 0)</f>
        <v>0</v>
      </c>
    </row>
    <row r="4" customFormat="false" ht="13.8" hidden="false" customHeight="false" outlineLevel="0" collapsed="false">
      <c r="A4" s="26" t="n">
        <v>49489</v>
      </c>
      <c r="B4" s="26" t="n">
        <v>1888</v>
      </c>
      <c r="C4" s="26" t="s">
        <v>6125</v>
      </c>
      <c r="D4" s="26" t="n">
        <v>487092.0604</v>
      </c>
      <c r="E4" s="26" t="s">
        <v>7437</v>
      </c>
      <c r="F4" s="26" t="s">
        <v>171</v>
      </c>
      <c r="G4" s="26" t="n">
        <v>-77.042754</v>
      </c>
      <c r="H4" s="26" t="n">
        <v>-12.0463731</v>
      </c>
      <c r="I4" s="26" t="s">
        <v>110</v>
      </c>
      <c r="J4" s="27" t="s">
        <v>7438</v>
      </c>
      <c r="K4" s="26" t="s">
        <v>7439</v>
      </c>
      <c r="L4" s="26" t="s">
        <v>7396</v>
      </c>
      <c r="M4" s="26" t="s">
        <v>7440</v>
      </c>
      <c r="N4" s="26" t="s">
        <v>4900</v>
      </c>
      <c r="O4" s="26" t="s">
        <v>7441</v>
      </c>
      <c r="P4" s="26" t="n">
        <f aca="false">IF(A4=O4, 1, 0)</f>
        <v>0</v>
      </c>
    </row>
    <row r="5" customFormat="false" ht="13.8" hidden="false" customHeight="false" outlineLevel="0" collapsed="false">
      <c r="A5" s="26" t="n">
        <v>56165</v>
      </c>
      <c r="B5" s="26" t="n">
        <v>1888</v>
      </c>
      <c r="C5" s="26" t="s">
        <v>7442</v>
      </c>
      <c r="D5" s="26" t="n">
        <v>974184.1208</v>
      </c>
      <c r="E5" s="26" t="s">
        <v>7443</v>
      </c>
      <c r="F5" s="26" t="s">
        <v>117</v>
      </c>
      <c r="G5" s="26" t="n">
        <v>-4.251806</v>
      </c>
      <c r="H5" s="26" t="n">
        <v>55.864237</v>
      </c>
      <c r="I5" s="26" t="s">
        <v>110</v>
      </c>
      <c r="J5" s="26" t="s">
        <v>7444</v>
      </c>
      <c r="K5" s="26" t="s">
        <v>340</v>
      </c>
      <c r="L5" s="26" t="s">
        <v>7396</v>
      </c>
      <c r="M5" s="26" t="s">
        <v>152</v>
      </c>
      <c r="N5" s="25" t="s">
        <v>7445</v>
      </c>
      <c r="O5" s="26" t="s">
        <v>7446</v>
      </c>
      <c r="P5" s="26" t="n">
        <f aca="false">IF(A5=O5, 1, 0)</f>
        <v>0</v>
      </c>
    </row>
    <row r="6" customFormat="false" ht="13.8" hidden="false" customHeight="false" outlineLevel="0" collapsed="false">
      <c r="A6" s="26" t="n">
        <v>61899</v>
      </c>
      <c r="B6" s="26" t="n">
        <v>1889</v>
      </c>
      <c r="C6" s="26" t="s">
        <v>7447</v>
      </c>
      <c r="D6" s="26" t="n">
        <v>876338.851</v>
      </c>
      <c r="E6" s="26" t="s">
        <v>7448</v>
      </c>
      <c r="F6" s="26" t="s">
        <v>1054</v>
      </c>
      <c r="G6" s="26" t="n">
        <v>-2.2426305</v>
      </c>
      <c r="H6" s="26" t="n">
        <v>53.4807593</v>
      </c>
      <c r="I6" s="26" t="s">
        <v>110</v>
      </c>
      <c r="J6" s="26" t="s">
        <v>7449</v>
      </c>
      <c r="K6" s="26" t="s">
        <v>340</v>
      </c>
      <c r="L6" s="26" t="s">
        <v>7396</v>
      </c>
      <c r="M6" s="26" t="s">
        <v>1357</v>
      </c>
      <c r="N6" s="26" t="s">
        <v>7450</v>
      </c>
      <c r="O6" s="26" t="s">
        <v>7451</v>
      </c>
      <c r="P6" s="26" t="n">
        <f aca="false">IF(A6=O6, 1, 0)</f>
        <v>0</v>
      </c>
    </row>
    <row r="7" customFormat="false" ht="13.8" hidden="false" customHeight="false" outlineLevel="0" collapsed="false">
      <c r="A7" s="26" t="n">
        <v>63425</v>
      </c>
      <c r="B7" s="26" t="n">
        <v>1889</v>
      </c>
      <c r="C7" s="26" t="s">
        <v>7452</v>
      </c>
      <c r="D7" s="26" t="n">
        <v>146056.4752</v>
      </c>
      <c r="E7" s="26" t="s">
        <v>7453</v>
      </c>
      <c r="F7" s="26" t="s">
        <v>361</v>
      </c>
      <c r="G7" s="26" t="n">
        <v>-106.346771</v>
      </c>
      <c r="H7" s="26" t="n">
        <v>56.130366</v>
      </c>
      <c r="I7" s="26" t="s">
        <v>110</v>
      </c>
      <c r="J7" s="26" t="s">
        <v>7454</v>
      </c>
      <c r="K7" s="26" t="s">
        <v>361</v>
      </c>
      <c r="L7" s="26" t="s">
        <v>7396</v>
      </c>
      <c r="M7" s="26" t="s">
        <v>152</v>
      </c>
      <c r="N7" s="25" t="s">
        <v>7445</v>
      </c>
      <c r="O7" s="26" t="s">
        <v>7455</v>
      </c>
      <c r="P7" s="26" t="n">
        <f aca="false">IF(A7=O7, 1, 0)</f>
        <v>0</v>
      </c>
    </row>
    <row r="8" customFormat="false" ht="13.8" hidden="false" customHeight="false" outlineLevel="0" collapsed="false">
      <c r="A8" s="26" t="n">
        <v>71667</v>
      </c>
      <c r="B8" s="26" t="n">
        <v>1889</v>
      </c>
      <c r="C8" s="26" t="s">
        <v>7456</v>
      </c>
      <c r="D8" s="26" t="n">
        <v>778967.8675</v>
      </c>
      <c r="E8" s="26" t="s">
        <v>7457</v>
      </c>
      <c r="F8" s="26" t="s">
        <v>32</v>
      </c>
      <c r="G8" s="26" t="n">
        <v>-0.1277583</v>
      </c>
      <c r="H8" s="26" t="n">
        <v>51.5073509</v>
      </c>
      <c r="I8" s="26" t="s">
        <v>214</v>
      </c>
      <c r="J8" s="25" t="s">
        <v>7458</v>
      </c>
      <c r="K8" s="26" t="s">
        <v>340</v>
      </c>
      <c r="L8" s="26" t="s">
        <v>7396</v>
      </c>
      <c r="M8" s="26" t="s">
        <v>1357</v>
      </c>
      <c r="N8" s="25" t="s">
        <v>7435</v>
      </c>
      <c r="O8" s="26" t="s">
        <v>7459</v>
      </c>
      <c r="P8" s="26" t="n">
        <f aca="false">IF(A8=O8, 1, 0)</f>
        <v>0</v>
      </c>
    </row>
    <row r="9" customFormat="false" ht="13.8" hidden="false" customHeight="false" outlineLevel="0" collapsed="false">
      <c r="A9" s="26" t="n">
        <v>75152</v>
      </c>
      <c r="B9" s="26" t="n">
        <v>1889</v>
      </c>
      <c r="C9" s="26" t="s">
        <v>6239</v>
      </c>
      <c r="D9" s="26" t="n">
        <v>413826.6796</v>
      </c>
      <c r="E9" s="26" t="s">
        <v>7460</v>
      </c>
      <c r="F9" s="26" t="s">
        <v>88</v>
      </c>
      <c r="G9" s="26" t="n">
        <v>-3.7837117</v>
      </c>
      <c r="H9" s="26" t="n">
        <v>52.1306607</v>
      </c>
      <c r="I9" s="26" t="s">
        <v>214</v>
      </c>
      <c r="J9" s="26" t="s">
        <v>7461</v>
      </c>
      <c r="K9" s="26" t="s">
        <v>340</v>
      </c>
      <c r="L9" s="26" t="s">
        <v>7396</v>
      </c>
      <c r="M9" s="26" t="s">
        <v>152</v>
      </c>
      <c r="N9" s="25" t="s">
        <v>7445</v>
      </c>
      <c r="O9" s="26" t="s">
        <v>7462</v>
      </c>
      <c r="P9" s="26" t="n">
        <f aca="false">IF(A9=O9, 1, 0)</f>
        <v>0</v>
      </c>
    </row>
    <row r="10" customFormat="false" ht="13.8" hidden="false" customHeight="false" outlineLevel="0" collapsed="false">
      <c r="A10" s="26" t="n">
        <v>76264</v>
      </c>
      <c r="B10" s="26" t="n">
        <v>1889</v>
      </c>
      <c r="C10" s="26" t="s">
        <v>7463</v>
      </c>
      <c r="D10" s="26" t="n">
        <v>243427.4586</v>
      </c>
      <c r="E10" s="26" t="s">
        <v>7464</v>
      </c>
      <c r="F10" s="26" t="s">
        <v>7465</v>
      </c>
      <c r="G10" s="26" t="n">
        <v>-8.224454</v>
      </c>
      <c r="H10" s="26" t="n">
        <v>39.399872</v>
      </c>
      <c r="I10" s="26" t="s">
        <v>7466</v>
      </c>
      <c r="J10" s="26" t="s">
        <v>7467</v>
      </c>
      <c r="K10" s="26" t="s">
        <v>7465</v>
      </c>
      <c r="L10" s="26" t="s">
        <v>7396</v>
      </c>
      <c r="M10" s="26" t="s">
        <v>152</v>
      </c>
      <c r="N10" s="25" t="s">
        <v>7445</v>
      </c>
      <c r="O10" s="26" t="s">
        <v>7468</v>
      </c>
      <c r="P10" s="26" t="n">
        <f aca="false">IF(A10=O10, 1, 0)</f>
        <v>0</v>
      </c>
    </row>
    <row r="11" customFormat="false" ht="13.8" hidden="false" customHeight="false" outlineLevel="0" collapsed="false">
      <c r="A11" s="26" t="n">
        <v>79511</v>
      </c>
      <c r="B11" s="26" t="n">
        <v>1889</v>
      </c>
      <c r="C11" s="26" t="s">
        <v>7469</v>
      </c>
      <c r="D11" s="26" t="n">
        <v>146056.4752</v>
      </c>
      <c r="E11" s="26" t="s">
        <v>7470</v>
      </c>
      <c r="F11" s="26" t="s">
        <v>32</v>
      </c>
      <c r="G11" s="26" t="n">
        <v>-0.1277583</v>
      </c>
      <c r="H11" s="26" t="n">
        <v>51.5073509</v>
      </c>
      <c r="I11" s="26" t="s">
        <v>110</v>
      </c>
      <c r="J11" s="26" t="s">
        <v>7471</v>
      </c>
      <c r="K11" s="26" t="s">
        <v>340</v>
      </c>
      <c r="L11" s="26" t="s">
        <v>7396</v>
      </c>
      <c r="M11" s="26" t="s">
        <v>1357</v>
      </c>
      <c r="N11" s="26" t="s">
        <v>7450</v>
      </c>
      <c r="O11" s="26" t="s">
        <v>7472</v>
      </c>
      <c r="P11" s="26" t="n">
        <f aca="false">IF(A11=O11, 1, 0)</f>
        <v>0</v>
      </c>
    </row>
    <row r="12" customFormat="false" ht="13.8" hidden="false" customHeight="false" outlineLevel="0" collapsed="false">
      <c r="A12" s="26" t="n">
        <v>80781</v>
      </c>
      <c r="B12" s="26" t="n">
        <v>1889</v>
      </c>
      <c r="C12" s="26" t="s">
        <v>7473</v>
      </c>
      <c r="D12" s="26" t="n">
        <v>146056.4752</v>
      </c>
      <c r="E12" s="26" t="s">
        <v>7474</v>
      </c>
      <c r="F12" s="26" t="s">
        <v>171</v>
      </c>
      <c r="G12" s="26" t="n">
        <v>-77.042754</v>
      </c>
      <c r="H12" s="26" t="n">
        <v>-12.0463731</v>
      </c>
      <c r="I12" s="26" t="s">
        <v>110</v>
      </c>
      <c r="J12" s="26" t="s">
        <v>7475</v>
      </c>
      <c r="K12" s="26" t="s">
        <v>7439</v>
      </c>
      <c r="L12" s="26" t="s">
        <v>7396</v>
      </c>
      <c r="M12" s="26" t="s">
        <v>152</v>
      </c>
      <c r="N12" s="25" t="s">
        <v>7445</v>
      </c>
      <c r="O12" s="26" t="s">
        <v>7476</v>
      </c>
      <c r="P12" s="26" t="n">
        <f aca="false">IF(A12=O12, 1, 0)</f>
        <v>0</v>
      </c>
    </row>
    <row r="13" customFormat="false" ht="13.8" hidden="false" customHeight="false" outlineLevel="0" collapsed="false">
      <c r="A13" s="26" t="n">
        <v>91187</v>
      </c>
      <c r="B13" s="26" t="n">
        <v>1889</v>
      </c>
      <c r="C13" s="26" t="s">
        <v>7477</v>
      </c>
      <c r="D13" s="26" t="n">
        <v>1071080.818</v>
      </c>
      <c r="E13" s="26" t="s">
        <v>7478</v>
      </c>
      <c r="F13" s="26" t="s">
        <v>137</v>
      </c>
      <c r="G13" s="26" t="n">
        <v>28.0473051</v>
      </c>
      <c r="H13" s="26" t="n">
        <v>-26.2041028</v>
      </c>
      <c r="I13" s="26" t="s">
        <v>110</v>
      </c>
      <c r="J13" s="26" t="s">
        <v>7479</v>
      </c>
      <c r="K13" s="26" t="s">
        <v>7480</v>
      </c>
      <c r="L13" s="26" t="s">
        <v>7396</v>
      </c>
      <c r="M13" s="26" t="s">
        <v>1357</v>
      </c>
      <c r="N13" s="25" t="s">
        <v>7396</v>
      </c>
      <c r="O13" s="26" t="n">
        <v>87013</v>
      </c>
      <c r="P13" s="26" t="n">
        <f aca="false">IF(A13=O13, 1, 0)</f>
        <v>0</v>
      </c>
    </row>
    <row r="14" customFormat="false" ht="13.8" hidden="false" customHeight="false" outlineLevel="0" collapsed="false">
      <c r="A14" s="26" t="n">
        <v>92286</v>
      </c>
      <c r="B14" s="26" t="n">
        <v>1889</v>
      </c>
      <c r="C14" s="26" t="s">
        <v>7481</v>
      </c>
      <c r="D14" s="26" t="n">
        <v>584225.9</v>
      </c>
      <c r="E14" s="26" t="s">
        <v>7482</v>
      </c>
      <c r="F14" s="26" t="s">
        <v>152</v>
      </c>
      <c r="G14" s="26" t="s">
        <v>152</v>
      </c>
      <c r="H14" s="26" t="s">
        <v>152</v>
      </c>
      <c r="I14" s="26" t="s">
        <v>110</v>
      </c>
      <c r="J14" s="26" t="s">
        <v>7483</v>
      </c>
      <c r="K14" s="26" t="s">
        <v>152</v>
      </c>
      <c r="L14" s="26" t="s">
        <v>7396</v>
      </c>
      <c r="M14" s="26" t="s">
        <v>5133</v>
      </c>
      <c r="N14" s="25" t="s">
        <v>7445</v>
      </c>
      <c r="O14" s="26" t="s">
        <v>7484</v>
      </c>
      <c r="P14" s="26" t="n">
        <f aca="false">IF(A14=O14, 1, 0)</f>
        <v>0</v>
      </c>
    </row>
    <row r="15" customFormat="false" ht="13.8" hidden="false" customHeight="false" outlineLevel="0" collapsed="false">
      <c r="A15" s="26" t="n">
        <v>102710</v>
      </c>
      <c r="B15" s="26" t="n">
        <v>1891</v>
      </c>
      <c r="C15" s="26" t="s">
        <v>7485</v>
      </c>
      <c r="D15" s="26" t="n">
        <v>48614.49</v>
      </c>
      <c r="E15" s="26" t="s">
        <v>7486</v>
      </c>
      <c r="F15" s="26" t="s">
        <v>152</v>
      </c>
      <c r="G15" s="26" t="s">
        <v>152</v>
      </c>
      <c r="H15" s="26" t="s">
        <v>152</v>
      </c>
      <c r="I15" s="26" t="s">
        <v>110</v>
      </c>
      <c r="J15" s="26" t="s">
        <v>7487</v>
      </c>
      <c r="K15" s="26" t="s">
        <v>152</v>
      </c>
      <c r="L15" s="26" t="s">
        <v>7396</v>
      </c>
      <c r="M15" s="26" t="s">
        <v>7488</v>
      </c>
      <c r="N15" s="26" t="s">
        <v>4306</v>
      </c>
      <c r="O15" s="26" t="s">
        <v>7489</v>
      </c>
      <c r="P15" s="26" t="n">
        <f aca="false">IF(A15=O15, 1, 0)</f>
        <v>0</v>
      </c>
    </row>
    <row r="16" customFormat="false" ht="13.8" hidden="false" customHeight="false" outlineLevel="0" collapsed="false">
      <c r="A16" s="26" t="n">
        <v>103346</v>
      </c>
      <c r="B16" s="26" t="n">
        <v>1891</v>
      </c>
      <c r="C16" s="26" t="s">
        <v>7490</v>
      </c>
      <c r="D16" s="26" t="n">
        <v>24307.24</v>
      </c>
      <c r="E16" s="26" t="s">
        <v>7491</v>
      </c>
      <c r="F16" s="26" t="s">
        <v>32</v>
      </c>
      <c r="G16" s="26" t="n">
        <v>-0.1277583</v>
      </c>
      <c r="H16" s="26" t="n">
        <v>51.5073509</v>
      </c>
      <c r="I16" s="26" t="s">
        <v>110</v>
      </c>
      <c r="J16" s="26" t="s">
        <v>7492</v>
      </c>
      <c r="K16" s="26" t="s">
        <v>340</v>
      </c>
      <c r="L16" s="26" t="s">
        <v>7396</v>
      </c>
      <c r="M16" s="26" t="s">
        <v>152</v>
      </c>
      <c r="N16" s="26" t="s">
        <v>7445</v>
      </c>
      <c r="O16" s="26" t="s">
        <v>7493</v>
      </c>
      <c r="P16" s="26" t="n">
        <v>0</v>
      </c>
    </row>
    <row r="17" customFormat="false" ht="13.8" hidden="false" customHeight="false" outlineLevel="0" collapsed="false">
      <c r="A17" s="26" t="n">
        <v>105158</v>
      </c>
      <c r="B17" s="26" t="n">
        <v>1891</v>
      </c>
      <c r="C17" s="26" t="s">
        <v>7494</v>
      </c>
      <c r="D17" s="26" t="n">
        <v>486144.9</v>
      </c>
      <c r="E17" s="26" t="s">
        <v>7495</v>
      </c>
      <c r="F17" s="26" t="s">
        <v>578</v>
      </c>
      <c r="G17" s="26" t="n">
        <v>-97.7430608</v>
      </c>
      <c r="H17" s="26" t="n">
        <v>30.267153</v>
      </c>
      <c r="I17" s="26" t="s">
        <v>110</v>
      </c>
      <c r="J17" s="26" t="s">
        <v>7444</v>
      </c>
      <c r="K17" s="26" t="s">
        <v>7430</v>
      </c>
      <c r="L17" s="26" t="s">
        <v>7396</v>
      </c>
      <c r="M17" s="26" t="s">
        <v>152</v>
      </c>
      <c r="N17" s="25" t="s">
        <v>7445</v>
      </c>
      <c r="O17" s="26" t="s">
        <v>7446</v>
      </c>
      <c r="P17" s="26" t="n">
        <f aca="false">IF(A17=O17, 1, 0)</f>
        <v>0</v>
      </c>
    </row>
    <row r="18" customFormat="false" ht="13.8" hidden="false" customHeight="false" outlineLevel="0" collapsed="false">
      <c r="A18" s="26" t="n">
        <v>117911</v>
      </c>
      <c r="B18" s="26" t="n">
        <v>1891</v>
      </c>
      <c r="C18" s="26" t="s">
        <v>7496</v>
      </c>
      <c r="D18" s="26" t="n">
        <v>534759.4</v>
      </c>
      <c r="E18" s="26" t="s">
        <v>7497</v>
      </c>
      <c r="F18" s="26" t="s">
        <v>32</v>
      </c>
      <c r="G18" s="26" t="n">
        <v>-0.1277583</v>
      </c>
      <c r="H18" s="26" t="n">
        <v>51.5073509</v>
      </c>
      <c r="I18" s="26" t="s">
        <v>110</v>
      </c>
      <c r="J18" s="26" t="s">
        <v>7483</v>
      </c>
      <c r="K18" s="26" t="s">
        <v>340</v>
      </c>
      <c r="L18" s="26" t="s">
        <v>7396</v>
      </c>
      <c r="M18" s="26" t="s">
        <v>5133</v>
      </c>
      <c r="N18" s="25" t="s">
        <v>7445</v>
      </c>
      <c r="O18" s="26" t="s">
        <v>7484</v>
      </c>
      <c r="P18" s="26" t="n">
        <f aca="false">IF(A18=O18, 1, 0)</f>
        <v>0</v>
      </c>
    </row>
    <row r="19" customFormat="false" ht="13.8" hidden="false" customHeight="false" outlineLevel="0" collapsed="false">
      <c r="A19" s="26" t="n">
        <v>118996</v>
      </c>
      <c r="B19" s="26" t="n">
        <v>1891</v>
      </c>
      <c r="C19" s="26" t="s">
        <v>7498</v>
      </c>
      <c r="D19" s="26" t="n">
        <v>121536.2</v>
      </c>
      <c r="E19" s="26" t="s">
        <v>7499</v>
      </c>
      <c r="F19" s="26" t="s">
        <v>191</v>
      </c>
      <c r="G19" s="26" t="n">
        <v>-1.1743197</v>
      </c>
      <c r="H19" s="26" t="n">
        <v>52.3555177</v>
      </c>
      <c r="I19" s="26" t="s">
        <v>110</v>
      </c>
      <c r="J19" s="26" t="s">
        <v>7500</v>
      </c>
      <c r="K19" s="26" t="s">
        <v>340</v>
      </c>
      <c r="L19" s="26" t="s">
        <v>7396</v>
      </c>
      <c r="M19" s="26" t="s">
        <v>152</v>
      </c>
      <c r="N19" s="25" t="s">
        <v>7445</v>
      </c>
      <c r="O19" s="26" t="s">
        <v>7501</v>
      </c>
      <c r="P19" s="26" t="n">
        <f aca="false">IF(A19=O19, 1, 0)</f>
        <v>0</v>
      </c>
    </row>
    <row r="20" customFormat="false" ht="13.8" hidden="false" customHeight="false" outlineLevel="0" collapsed="false">
      <c r="A20" s="26" t="n">
        <v>121090</v>
      </c>
      <c r="B20" s="26" t="n">
        <v>1891</v>
      </c>
      <c r="C20" s="26" t="s">
        <v>7502</v>
      </c>
      <c r="D20" s="26" t="n">
        <v>1458435</v>
      </c>
      <c r="E20" s="26" t="s">
        <v>7503</v>
      </c>
      <c r="F20" s="26" t="s">
        <v>32</v>
      </c>
      <c r="G20" s="26" t="n">
        <v>-0.1277583</v>
      </c>
      <c r="H20" s="26" t="n">
        <v>51.5073509</v>
      </c>
      <c r="I20" s="26" t="s">
        <v>110</v>
      </c>
      <c r="J20" s="26" t="s">
        <v>7504</v>
      </c>
      <c r="K20" s="26" t="s">
        <v>340</v>
      </c>
      <c r="L20" s="26" t="s">
        <v>7396</v>
      </c>
      <c r="M20" s="26" t="s">
        <v>152</v>
      </c>
      <c r="N20" s="25" t="s">
        <v>7445</v>
      </c>
      <c r="O20" s="26" t="s">
        <v>7505</v>
      </c>
      <c r="P20" s="26" t="n">
        <f aca="false">IF(A20=O20, 1, 0)</f>
        <v>0</v>
      </c>
    </row>
    <row r="21" customFormat="false" ht="13.8" hidden="false" customHeight="false" outlineLevel="0" collapsed="false">
      <c r="A21" s="26" t="n">
        <v>124276</v>
      </c>
      <c r="B21" s="26" t="n">
        <v>1891</v>
      </c>
      <c r="C21" s="26" t="s">
        <v>7506</v>
      </c>
      <c r="D21" s="26" t="n">
        <v>486144.9</v>
      </c>
      <c r="E21" s="26" t="s">
        <v>7507</v>
      </c>
      <c r="F21" s="26" t="s">
        <v>32</v>
      </c>
      <c r="G21" s="26" t="n">
        <v>-0.1277583</v>
      </c>
      <c r="H21" s="26" t="n">
        <v>51.5073509</v>
      </c>
      <c r="I21" s="26" t="s">
        <v>110</v>
      </c>
      <c r="J21" s="26" t="s">
        <v>7508</v>
      </c>
      <c r="K21" s="26" t="s">
        <v>340</v>
      </c>
      <c r="L21" s="26" t="s">
        <v>7396</v>
      </c>
      <c r="M21" s="26" t="s">
        <v>3298</v>
      </c>
      <c r="N21" s="25" t="s">
        <v>99</v>
      </c>
      <c r="O21" s="26" t="s">
        <v>7509</v>
      </c>
      <c r="P21" s="26" t="n">
        <f aca="false">IF(A21=O21, 1, 0)</f>
        <v>0</v>
      </c>
    </row>
    <row r="22" customFormat="false" ht="13.8" hidden="false" customHeight="false" outlineLevel="0" collapsed="false">
      <c r="A22" s="26" t="n">
        <v>132208</v>
      </c>
      <c r="B22" s="26" t="n">
        <v>1893</v>
      </c>
      <c r="C22" s="26" t="s">
        <v>7510</v>
      </c>
      <c r="D22" s="26" t="n">
        <v>9727.626</v>
      </c>
      <c r="E22" s="26" t="s">
        <v>7511</v>
      </c>
      <c r="F22" s="26" t="s">
        <v>4745</v>
      </c>
      <c r="G22" s="26" t="n">
        <v>151.2092955</v>
      </c>
      <c r="H22" s="26" t="n">
        <v>-33.8688197</v>
      </c>
      <c r="I22" s="26" t="s">
        <v>110</v>
      </c>
      <c r="J22" s="26" t="s">
        <v>7512</v>
      </c>
      <c r="K22" s="26" t="s">
        <v>145</v>
      </c>
      <c r="L22" s="26" t="s">
        <v>7396</v>
      </c>
      <c r="M22" s="26" t="s">
        <v>1357</v>
      </c>
      <c r="N22" s="26" t="s">
        <v>7450</v>
      </c>
      <c r="O22" s="26" t="s">
        <v>7513</v>
      </c>
      <c r="P22" s="26" t="n">
        <f aca="false">IF(A22=O22, 1, 0)</f>
        <v>0</v>
      </c>
    </row>
    <row r="23" customFormat="false" ht="13.8" hidden="false" customHeight="false" outlineLevel="0" collapsed="false">
      <c r="A23" s="26" t="n">
        <v>140739</v>
      </c>
      <c r="B23" s="26" t="n">
        <v>1893</v>
      </c>
      <c r="C23" s="26" t="s">
        <v>7514</v>
      </c>
      <c r="D23" s="26" t="n">
        <v>977626.5</v>
      </c>
      <c r="E23" s="26" t="s">
        <v>7515</v>
      </c>
      <c r="F23" s="26" t="s">
        <v>145</v>
      </c>
      <c r="G23" s="26" t="n">
        <v>133.775136</v>
      </c>
      <c r="H23" s="26" t="n">
        <v>-25.274398</v>
      </c>
      <c r="I23" s="26" t="s">
        <v>110</v>
      </c>
      <c r="J23" s="26" t="s">
        <v>7444</v>
      </c>
      <c r="K23" s="26" t="s">
        <v>145</v>
      </c>
      <c r="L23" s="26" t="s">
        <v>7396</v>
      </c>
      <c r="M23" s="26" t="s">
        <v>152</v>
      </c>
      <c r="N23" s="25" t="s">
        <v>7445</v>
      </c>
      <c r="O23" s="26" t="s">
        <v>7446</v>
      </c>
      <c r="P23" s="26" t="n">
        <f aca="false">IF(A23=O23, 1, 0)</f>
        <v>0</v>
      </c>
    </row>
    <row r="24" customFormat="false" ht="13.8" hidden="false" customHeight="false" outlineLevel="0" collapsed="false">
      <c r="A24" s="26" t="n">
        <v>166154</v>
      </c>
      <c r="B24" s="26" t="n">
        <v>1894</v>
      </c>
      <c r="C24" s="26" t="s">
        <v>7516</v>
      </c>
      <c r="D24" s="26" t="n">
        <v>73170.73</v>
      </c>
      <c r="E24" s="26" t="s">
        <v>7517</v>
      </c>
      <c r="F24" s="26" t="s">
        <v>293</v>
      </c>
      <c r="G24" s="26" t="n">
        <v>-74.29733</v>
      </c>
      <c r="H24" s="26" t="n">
        <v>4.570868</v>
      </c>
      <c r="I24" s="26" t="s">
        <v>110</v>
      </c>
      <c r="J24" s="26" t="s">
        <v>7454</v>
      </c>
      <c r="K24" s="26" t="s">
        <v>293</v>
      </c>
      <c r="L24" s="26" t="s">
        <v>7396</v>
      </c>
      <c r="M24" s="26" t="s">
        <v>152</v>
      </c>
      <c r="N24" s="25" t="s">
        <v>7445</v>
      </c>
      <c r="O24" s="26" t="s">
        <v>7455</v>
      </c>
      <c r="P24" s="26" t="n">
        <f aca="false">IF(A24=O24, 1, 0)</f>
        <v>0</v>
      </c>
    </row>
    <row r="25" customFormat="false" ht="13.8" hidden="false" customHeight="false" outlineLevel="0" collapsed="false">
      <c r="A25" s="26" t="n">
        <v>182113</v>
      </c>
      <c r="B25" s="26" t="n">
        <v>1894</v>
      </c>
      <c r="C25" s="26" t="s">
        <v>7518</v>
      </c>
      <c r="D25" s="26" t="n">
        <v>3176931</v>
      </c>
      <c r="E25" s="26" t="s">
        <v>7519</v>
      </c>
      <c r="F25" s="26" t="s">
        <v>32</v>
      </c>
      <c r="G25" s="26" t="n">
        <v>-0.1277583</v>
      </c>
      <c r="H25" s="26" t="n">
        <v>51.50735</v>
      </c>
      <c r="I25" s="26" t="s">
        <v>110</v>
      </c>
      <c r="J25" s="26" t="s">
        <v>7520</v>
      </c>
      <c r="K25" s="26" t="s">
        <v>340</v>
      </c>
      <c r="L25" s="26" t="s">
        <v>7396</v>
      </c>
      <c r="M25" s="26" t="s">
        <v>152</v>
      </c>
      <c r="N25" s="25" t="s">
        <v>7445</v>
      </c>
      <c r="O25" s="26" t="s">
        <v>7521</v>
      </c>
      <c r="P25" s="26" t="n">
        <f aca="false">IF(A25=O25, 1, 0)</f>
        <v>0</v>
      </c>
    </row>
    <row r="26" customFormat="false" ht="13.8" hidden="false" customHeight="false" outlineLevel="0" collapsed="false">
      <c r="A26" s="26" t="n">
        <v>184622</v>
      </c>
      <c r="B26" s="26" t="n">
        <v>1894</v>
      </c>
      <c r="C26" s="26" t="s">
        <v>7442</v>
      </c>
      <c r="D26" s="26" t="n">
        <v>975609.8</v>
      </c>
      <c r="E26" s="26" t="s">
        <v>7522</v>
      </c>
      <c r="F26" s="26" t="s">
        <v>32</v>
      </c>
      <c r="G26" s="26" t="n">
        <v>-0.1277583</v>
      </c>
      <c r="H26" s="26" t="n">
        <v>51.50735</v>
      </c>
      <c r="I26" s="26" t="s">
        <v>110</v>
      </c>
      <c r="J26" s="26" t="s">
        <v>7444</v>
      </c>
      <c r="K26" s="26" t="s">
        <v>340</v>
      </c>
      <c r="L26" s="26" t="s">
        <v>7396</v>
      </c>
      <c r="M26" s="26" t="s">
        <v>152</v>
      </c>
      <c r="N26" s="25" t="s">
        <v>7445</v>
      </c>
      <c r="O26" s="26" t="s">
        <v>7446</v>
      </c>
      <c r="P26" s="26" t="n">
        <f aca="false">IF(A26=O26, 1, 0)</f>
        <v>0</v>
      </c>
    </row>
    <row r="27" customFormat="false" ht="13.8" hidden="false" customHeight="false" outlineLevel="0" collapsed="false">
      <c r="A27" s="26" t="n">
        <v>184938</v>
      </c>
      <c r="B27" s="26" t="n">
        <v>1894</v>
      </c>
      <c r="C27" s="26" t="s">
        <v>7523</v>
      </c>
      <c r="D27" s="26" t="n">
        <v>487804.9</v>
      </c>
      <c r="E27" s="26" t="s">
        <v>7524</v>
      </c>
      <c r="F27" s="26" t="s">
        <v>137</v>
      </c>
      <c r="G27" s="26" t="n">
        <v>28.04731</v>
      </c>
      <c r="H27" s="26" t="n">
        <v>-26.2041</v>
      </c>
      <c r="I27" s="26" t="s">
        <v>110</v>
      </c>
      <c r="J27" s="26" t="s">
        <v>7520</v>
      </c>
      <c r="K27" s="26" t="s">
        <v>7480</v>
      </c>
      <c r="L27" s="26" t="s">
        <v>7396</v>
      </c>
      <c r="M27" s="26" t="s">
        <v>152</v>
      </c>
      <c r="N27" s="25" t="s">
        <v>7445</v>
      </c>
      <c r="O27" s="26" t="s">
        <v>7521</v>
      </c>
      <c r="P27" s="26" t="n">
        <f aca="false">IF(A27=O27, 1, 0)</f>
        <v>0</v>
      </c>
    </row>
    <row r="28" customFormat="false" ht="13.8" hidden="false" customHeight="false" outlineLevel="0" collapsed="false">
      <c r="A28" s="26" t="n">
        <v>194898</v>
      </c>
      <c r="B28" s="26" t="n">
        <v>1895</v>
      </c>
      <c r="C28" s="26" t="s">
        <v>7525</v>
      </c>
      <c r="D28" s="26" t="n">
        <v>586510.3</v>
      </c>
      <c r="E28" s="26" t="s">
        <v>7526</v>
      </c>
      <c r="F28" s="26" t="s">
        <v>99</v>
      </c>
      <c r="G28" s="26" t="n">
        <v>-105.7821</v>
      </c>
      <c r="H28" s="26" t="n">
        <v>39.55005</v>
      </c>
      <c r="I28" s="26" t="s">
        <v>110</v>
      </c>
      <c r="J28" s="26" t="s">
        <v>7527</v>
      </c>
      <c r="K28" s="26" t="s">
        <v>7430</v>
      </c>
      <c r="L28" s="26" t="s">
        <v>7396</v>
      </c>
      <c r="M28" s="26" t="s">
        <v>7528</v>
      </c>
      <c r="N28" s="26" t="s">
        <v>4306</v>
      </c>
      <c r="O28" s="26" t="s">
        <v>7529</v>
      </c>
      <c r="P28" s="26" t="n">
        <f aca="false">IF(A28=O28, 1, 0)</f>
        <v>0</v>
      </c>
    </row>
    <row r="29" customFormat="false" ht="13.8" hidden="false" customHeight="false" outlineLevel="0" collapsed="false">
      <c r="A29" s="26" t="n">
        <v>197212</v>
      </c>
      <c r="B29" s="26" t="n">
        <v>1895</v>
      </c>
      <c r="C29" s="26" t="s">
        <v>7530</v>
      </c>
      <c r="D29" s="26" t="n">
        <v>279569.9</v>
      </c>
      <c r="E29" s="26" t="s">
        <v>7531</v>
      </c>
      <c r="F29" s="26" t="s">
        <v>378</v>
      </c>
      <c r="G29" s="26" t="n">
        <v>-1.61778</v>
      </c>
      <c r="H29" s="26" t="n">
        <v>54.97825</v>
      </c>
      <c r="I29" s="26" t="s">
        <v>214</v>
      </c>
      <c r="J29" s="26" t="s">
        <v>7532</v>
      </c>
      <c r="K29" s="26" t="s">
        <v>340</v>
      </c>
      <c r="L29" s="26" t="s">
        <v>7396</v>
      </c>
      <c r="M29" s="26" t="s">
        <v>152</v>
      </c>
      <c r="N29" s="25" t="s">
        <v>7445</v>
      </c>
      <c r="O29" s="26" t="s">
        <v>7533</v>
      </c>
      <c r="P29" s="26" t="n">
        <f aca="false">IF(A29=O29, 1, 0)</f>
        <v>0</v>
      </c>
    </row>
    <row r="30" customFormat="false" ht="13.8" hidden="false" customHeight="false" outlineLevel="0" collapsed="false">
      <c r="A30" s="26" t="n">
        <v>197762</v>
      </c>
      <c r="B30" s="26" t="n">
        <v>1895</v>
      </c>
      <c r="C30" s="26" t="s">
        <v>7534</v>
      </c>
      <c r="D30" s="26" t="n">
        <v>244379.3</v>
      </c>
      <c r="E30" s="26" t="s">
        <v>7535</v>
      </c>
      <c r="F30" s="26" t="s">
        <v>32</v>
      </c>
      <c r="G30" s="26" t="n">
        <v>-0.1277583</v>
      </c>
      <c r="H30" s="26" t="n">
        <v>51.50735</v>
      </c>
      <c r="I30" s="26" t="s">
        <v>110</v>
      </c>
      <c r="J30" s="26" t="s">
        <v>7536</v>
      </c>
      <c r="K30" s="26" t="s">
        <v>340</v>
      </c>
      <c r="L30" s="26" t="s">
        <v>7396</v>
      </c>
      <c r="M30" s="26" t="s">
        <v>7440</v>
      </c>
      <c r="N30" s="25" t="s">
        <v>7537</v>
      </c>
      <c r="O30" s="26" t="s">
        <v>7538</v>
      </c>
      <c r="P30" s="26" t="n">
        <f aca="false">IF(A30=O30, 1, 0)</f>
        <v>0</v>
      </c>
    </row>
    <row r="31" customFormat="false" ht="13.8" hidden="false" customHeight="false" outlineLevel="0" collapsed="false">
      <c r="A31" s="26" t="n">
        <v>202634</v>
      </c>
      <c r="B31" s="26" t="n">
        <v>1895</v>
      </c>
      <c r="C31" s="26" t="s">
        <v>7539</v>
      </c>
      <c r="D31" s="26" t="n">
        <v>48875.86</v>
      </c>
      <c r="E31" s="26" t="s">
        <v>7540</v>
      </c>
      <c r="F31" s="26" t="s">
        <v>184</v>
      </c>
      <c r="G31" s="26" t="n">
        <v>-95.71276</v>
      </c>
      <c r="H31" s="26" t="n">
        <v>37.09375</v>
      </c>
      <c r="I31" s="26" t="s">
        <v>110</v>
      </c>
      <c r="J31" s="26" t="s">
        <v>7541</v>
      </c>
      <c r="K31" s="26" t="s">
        <v>7430</v>
      </c>
      <c r="L31" s="26" t="s">
        <v>7396</v>
      </c>
      <c r="M31" s="26" t="s">
        <v>3298</v>
      </c>
      <c r="N31" s="25" t="s">
        <v>99</v>
      </c>
      <c r="O31" s="26" t="s">
        <v>7542</v>
      </c>
      <c r="P31" s="26" t="n">
        <f aca="false">IF(A31=O31, 1, 0)</f>
        <v>0</v>
      </c>
    </row>
    <row r="32" customFormat="false" ht="13.8" hidden="false" customHeight="false" outlineLevel="0" collapsed="false">
      <c r="A32" s="26" t="n">
        <v>207031</v>
      </c>
      <c r="B32" s="26" t="n">
        <v>1895</v>
      </c>
      <c r="C32" s="26" t="s">
        <v>7543</v>
      </c>
      <c r="D32" s="26" t="n">
        <v>17106.55</v>
      </c>
      <c r="E32" s="26" t="s">
        <v>7544</v>
      </c>
      <c r="F32" s="26" t="s">
        <v>4906</v>
      </c>
      <c r="G32" s="26" t="n">
        <v>-97.95781</v>
      </c>
      <c r="H32" s="26" t="n">
        <v>34.5023</v>
      </c>
      <c r="I32" s="26" t="s">
        <v>110</v>
      </c>
      <c r="J32" s="26" t="s">
        <v>7545</v>
      </c>
      <c r="K32" s="26" t="s">
        <v>7430</v>
      </c>
      <c r="L32" s="26" t="s">
        <v>7396</v>
      </c>
      <c r="M32" s="26" t="s">
        <v>152</v>
      </c>
      <c r="N32" s="25" t="s">
        <v>7445</v>
      </c>
      <c r="O32" s="26" t="s">
        <v>7546</v>
      </c>
      <c r="P32" s="26" t="n">
        <f aca="false">IF(A32=O32, 1, 0)</f>
        <v>0</v>
      </c>
    </row>
    <row r="33" customFormat="false" ht="13.8" hidden="false" customHeight="false" outlineLevel="0" collapsed="false">
      <c r="A33" s="26" t="n">
        <v>212648</v>
      </c>
      <c r="B33" s="26" t="n">
        <v>1895</v>
      </c>
      <c r="C33" s="26" t="s">
        <v>7547</v>
      </c>
      <c r="D33" s="26" t="n">
        <v>439882.7</v>
      </c>
      <c r="E33" s="26" t="s">
        <v>7548</v>
      </c>
      <c r="F33" s="26" t="s">
        <v>177</v>
      </c>
      <c r="G33" s="26" t="n">
        <v>-81.1831</v>
      </c>
      <c r="H33" s="26" t="n">
        <v>43.23256</v>
      </c>
      <c r="I33" s="26" t="s">
        <v>110</v>
      </c>
      <c r="J33" s="26" t="s">
        <v>7520</v>
      </c>
      <c r="K33" s="26" t="s">
        <v>361</v>
      </c>
      <c r="L33" s="26" t="s">
        <v>7396</v>
      </c>
      <c r="M33" s="26" t="s">
        <v>152</v>
      </c>
      <c r="N33" s="25" t="s">
        <v>7445</v>
      </c>
      <c r="O33" s="26" t="s">
        <v>7521</v>
      </c>
      <c r="P33" s="26" t="n">
        <f aca="false">IF(A33=O33, 1, 0)</f>
        <v>0</v>
      </c>
    </row>
    <row r="34" customFormat="false" ht="13.8" hidden="false" customHeight="false" outlineLevel="0" collapsed="false">
      <c r="A34" s="26" t="n">
        <v>218327</v>
      </c>
      <c r="B34" s="26" t="n">
        <v>1895</v>
      </c>
      <c r="C34" s="26" t="s">
        <v>7549</v>
      </c>
      <c r="D34" s="26" t="n">
        <v>977517.1</v>
      </c>
      <c r="E34" s="26" t="s">
        <v>7550</v>
      </c>
      <c r="F34" s="26" t="s">
        <v>137</v>
      </c>
      <c r="G34" s="26" t="n">
        <v>28.04731</v>
      </c>
      <c r="H34" s="26" t="n">
        <v>-26.2041</v>
      </c>
      <c r="I34" s="26" t="s">
        <v>110</v>
      </c>
      <c r="J34" s="26" t="s">
        <v>7551</v>
      </c>
      <c r="K34" s="26" t="s">
        <v>7480</v>
      </c>
      <c r="L34" s="26" t="s">
        <v>7396</v>
      </c>
      <c r="M34" s="26" t="s">
        <v>7552</v>
      </c>
      <c r="N34" s="26" t="s">
        <v>4306</v>
      </c>
      <c r="O34" s="26" t="s">
        <v>7553</v>
      </c>
      <c r="P34" s="26" t="n">
        <f aca="false">IF(A34=O34, 1, 0)</f>
        <v>0</v>
      </c>
    </row>
    <row r="35" customFormat="false" ht="13.8" hidden="false" customHeight="false" outlineLevel="0" collapsed="false">
      <c r="A35" s="26" t="n">
        <v>235223</v>
      </c>
      <c r="B35" s="26" t="n">
        <v>1895</v>
      </c>
      <c r="C35" s="26" t="s">
        <v>7554</v>
      </c>
      <c r="D35" s="26" t="n">
        <v>1466276</v>
      </c>
      <c r="E35" s="26" t="s">
        <v>7555</v>
      </c>
      <c r="F35" s="26" t="s">
        <v>313</v>
      </c>
      <c r="G35" s="26" t="n">
        <v>-112.4685</v>
      </c>
      <c r="H35" s="26" t="n">
        <v>34.54002</v>
      </c>
      <c r="I35" s="26" t="s">
        <v>214</v>
      </c>
      <c r="J35" s="26" t="s">
        <v>7520</v>
      </c>
      <c r="K35" s="26" t="s">
        <v>7430</v>
      </c>
      <c r="L35" s="26" t="s">
        <v>7396</v>
      </c>
      <c r="M35" s="26" t="s">
        <v>152</v>
      </c>
      <c r="N35" s="25" t="s">
        <v>7445</v>
      </c>
      <c r="O35" s="26" t="s">
        <v>7521</v>
      </c>
      <c r="P35" s="26" t="n">
        <f aca="false">IF(A35=O35, 1, 0)</f>
        <v>0</v>
      </c>
    </row>
    <row r="36" customFormat="false" ht="13.8" hidden="false" customHeight="false" outlineLevel="0" collapsed="false">
      <c r="A36" s="26" t="n">
        <v>237359</v>
      </c>
      <c r="B36" s="26" t="n">
        <v>1895</v>
      </c>
      <c r="C36" s="26" t="s">
        <v>7556</v>
      </c>
      <c r="D36" s="26" t="n">
        <v>977517.1</v>
      </c>
      <c r="E36" s="26" t="s">
        <v>7557</v>
      </c>
      <c r="F36" s="26" t="s">
        <v>32</v>
      </c>
      <c r="G36" s="26" t="n">
        <v>-0.1277583</v>
      </c>
      <c r="H36" s="26" t="n">
        <v>51.50735</v>
      </c>
      <c r="I36" s="26" t="s">
        <v>110</v>
      </c>
      <c r="J36" s="26" t="s">
        <v>7558</v>
      </c>
      <c r="K36" s="26" t="s">
        <v>340</v>
      </c>
      <c r="L36" s="26" t="s">
        <v>7396</v>
      </c>
      <c r="M36" s="26" t="s">
        <v>152</v>
      </c>
      <c r="N36" s="26" t="s">
        <v>7445</v>
      </c>
      <c r="O36" s="26" t="s">
        <v>7559</v>
      </c>
      <c r="P36" s="26" t="n">
        <f aca="false">IF(A36=O36, 1, 0)</f>
        <v>0</v>
      </c>
    </row>
    <row r="37" customFormat="false" ht="13.8" hidden="false" customHeight="false" outlineLevel="0" collapsed="false">
      <c r="A37" s="26" t="n">
        <v>254544</v>
      </c>
      <c r="B37" s="26" t="n">
        <v>1903</v>
      </c>
      <c r="C37" s="26" t="s">
        <v>6677</v>
      </c>
      <c r="D37" s="26" t="n">
        <v>875912.4</v>
      </c>
      <c r="E37" s="26" t="s">
        <v>7560</v>
      </c>
      <c r="F37" s="26" t="s">
        <v>503</v>
      </c>
      <c r="G37" s="26" t="n">
        <v>-94.64745</v>
      </c>
      <c r="H37" s="26" t="n">
        <v>36.83507</v>
      </c>
      <c r="I37" s="26" t="s">
        <v>110</v>
      </c>
      <c r="J37" s="26" t="s">
        <v>7561</v>
      </c>
      <c r="K37" s="26" t="s">
        <v>7430</v>
      </c>
      <c r="L37" s="26" t="s">
        <v>7396</v>
      </c>
      <c r="M37" s="26" t="s">
        <v>1357</v>
      </c>
      <c r="N37" s="25" t="s">
        <v>7435</v>
      </c>
      <c r="O37" s="26" t="s">
        <v>7562</v>
      </c>
      <c r="P37" s="26" t="n">
        <f aca="false">IF(A37=O37, 1, 0)</f>
        <v>0</v>
      </c>
    </row>
    <row r="38" customFormat="false" ht="13.8" hidden="false" customHeight="false" outlineLevel="0" collapsed="false">
      <c r="A38" s="26" t="n">
        <v>256606</v>
      </c>
      <c r="B38" s="26" t="n">
        <v>1903</v>
      </c>
      <c r="C38" s="26" t="s">
        <v>7563</v>
      </c>
      <c r="D38" s="26" t="n">
        <v>4863.813</v>
      </c>
      <c r="E38" s="26" t="s">
        <v>7564</v>
      </c>
      <c r="F38" s="26" t="s">
        <v>3603</v>
      </c>
      <c r="G38" s="26" t="n">
        <v>-110.3309</v>
      </c>
      <c r="H38" s="26" t="n">
        <v>29.29722</v>
      </c>
      <c r="I38" s="26" t="s">
        <v>110</v>
      </c>
      <c r="J38" s="26" t="s">
        <v>7565</v>
      </c>
      <c r="K38" s="26" t="s">
        <v>113</v>
      </c>
      <c r="L38" s="26" t="s">
        <v>7396</v>
      </c>
      <c r="M38" s="26" t="s">
        <v>152</v>
      </c>
      <c r="N38" s="25" t="s">
        <v>7445</v>
      </c>
      <c r="O38" s="26" t="s">
        <v>7566</v>
      </c>
      <c r="P38" s="26" t="n">
        <f aca="false">IF(A38=O38, 1, 0)</f>
        <v>0</v>
      </c>
    </row>
    <row r="39" customFormat="false" ht="13.8" hidden="false" customHeight="false" outlineLevel="0" collapsed="false">
      <c r="A39" s="26" t="n">
        <v>259082</v>
      </c>
      <c r="B39" s="26" t="n">
        <v>1903</v>
      </c>
      <c r="C39" s="26" t="s">
        <v>7567</v>
      </c>
      <c r="D39" s="26" t="n">
        <v>145914.4</v>
      </c>
      <c r="E39" s="26" t="s">
        <v>7568</v>
      </c>
      <c r="F39" s="26" t="s">
        <v>3685</v>
      </c>
      <c r="G39" s="26" t="n">
        <v>-94.61742</v>
      </c>
      <c r="H39" s="26" t="n">
        <v>37.07903</v>
      </c>
      <c r="I39" s="26" t="s">
        <v>110</v>
      </c>
      <c r="J39" s="26" t="s">
        <v>7569</v>
      </c>
      <c r="K39" s="26" t="s">
        <v>7430</v>
      </c>
      <c r="L39" s="26" t="s">
        <v>7396</v>
      </c>
      <c r="M39" s="26" t="s">
        <v>1357</v>
      </c>
      <c r="N39" s="26" t="s">
        <v>7450</v>
      </c>
      <c r="O39" s="26" t="s">
        <v>7570</v>
      </c>
      <c r="P39" s="26" t="n">
        <f aca="false">IF(A39=O39, 1, 0)</f>
        <v>0</v>
      </c>
    </row>
    <row r="40" customFormat="false" ht="13.8" hidden="false" customHeight="false" outlineLevel="0" collapsed="false">
      <c r="A40" s="26" t="n">
        <v>259211</v>
      </c>
      <c r="B40" s="26" t="n">
        <v>1903</v>
      </c>
      <c r="C40" s="26" t="s">
        <v>7571</v>
      </c>
      <c r="D40" s="26" t="n">
        <v>6079767</v>
      </c>
      <c r="E40" s="26" t="s">
        <v>7572</v>
      </c>
      <c r="F40" s="26" t="s">
        <v>7573</v>
      </c>
      <c r="G40" s="26" t="n">
        <v>-2.081112</v>
      </c>
      <c r="H40" s="26" t="n">
        <v>52.51226</v>
      </c>
      <c r="I40" s="26" t="s">
        <v>110</v>
      </c>
      <c r="J40" s="26" t="s">
        <v>7574</v>
      </c>
      <c r="K40" s="26" t="s">
        <v>340</v>
      </c>
      <c r="L40" s="26" t="s">
        <v>7396</v>
      </c>
      <c r="M40" s="26" t="s">
        <v>152</v>
      </c>
      <c r="N40" s="26" t="s">
        <v>7445</v>
      </c>
      <c r="O40" s="26" t="s">
        <v>7575</v>
      </c>
      <c r="P40" s="26" t="n">
        <f aca="false">IF(A40=O40, 1, 0)</f>
        <v>0</v>
      </c>
    </row>
    <row r="41" customFormat="false" ht="13.8" hidden="false" customHeight="false" outlineLevel="0" collapsed="false">
      <c r="A41" s="26" t="n">
        <v>266465</v>
      </c>
      <c r="B41" s="26" t="n">
        <v>1903</v>
      </c>
      <c r="C41" s="26" t="s">
        <v>7576</v>
      </c>
      <c r="D41" s="26" t="n">
        <v>2279912</v>
      </c>
      <c r="E41" s="26" t="s">
        <v>7577</v>
      </c>
      <c r="F41" s="26" t="s">
        <v>4745</v>
      </c>
      <c r="G41" s="26" t="n">
        <v>151.2093</v>
      </c>
      <c r="H41" s="26" t="n">
        <v>-33.86882</v>
      </c>
      <c r="I41" s="26" t="s">
        <v>110</v>
      </c>
      <c r="J41" s="26" t="s">
        <v>7578</v>
      </c>
      <c r="K41" s="26" t="s">
        <v>145</v>
      </c>
      <c r="L41" s="26" t="s">
        <v>7396</v>
      </c>
      <c r="M41" s="26" t="s">
        <v>7488</v>
      </c>
      <c r="N41" s="25" t="s">
        <v>7445</v>
      </c>
      <c r="O41" s="26" t="s">
        <v>7579</v>
      </c>
      <c r="P41" s="26" t="n">
        <f aca="false">IF(A41=O41, 1, 0)</f>
        <v>0</v>
      </c>
    </row>
    <row r="42" customFormat="false" ht="13.8" hidden="false" customHeight="false" outlineLevel="0" collapsed="false">
      <c r="A42" s="26" t="n">
        <v>267486</v>
      </c>
      <c r="B42" s="26" t="n">
        <v>1903</v>
      </c>
      <c r="C42" s="26" t="s">
        <v>7580</v>
      </c>
      <c r="D42" s="26" t="n">
        <v>745356.8</v>
      </c>
      <c r="E42" s="26" t="s">
        <v>7581</v>
      </c>
      <c r="F42" s="26" t="s">
        <v>7582</v>
      </c>
      <c r="G42" s="26" t="n">
        <v>-72.28955</v>
      </c>
      <c r="H42" s="26" t="n">
        <v>43.70225</v>
      </c>
      <c r="I42" s="26" t="s">
        <v>110</v>
      </c>
      <c r="J42" s="26" t="s">
        <v>7583</v>
      </c>
      <c r="K42" s="26" t="s">
        <v>7430</v>
      </c>
      <c r="L42" s="26" t="s">
        <v>7396</v>
      </c>
      <c r="M42" s="26" t="s">
        <v>152</v>
      </c>
      <c r="N42" s="25" t="s">
        <v>7445</v>
      </c>
      <c r="O42" s="26" t="s">
        <v>7584</v>
      </c>
      <c r="P42" s="26" t="n">
        <f aca="false">IF(A42=O42, 1, 0)</f>
        <v>0</v>
      </c>
    </row>
    <row r="43" customFormat="false" ht="13.8" hidden="false" customHeight="false" outlineLevel="0" collapsed="false">
      <c r="A43" s="26" t="n">
        <v>270898</v>
      </c>
      <c r="B43" s="26" t="n">
        <v>1903</v>
      </c>
      <c r="C43" s="26" t="s">
        <v>7585</v>
      </c>
      <c r="D43" s="26" t="n">
        <v>1750973</v>
      </c>
      <c r="E43" s="26" t="s">
        <v>7586</v>
      </c>
      <c r="F43" s="26" t="s">
        <v>7587</v>
      </c>
      <c r="G43" s="26" t="n">
        <v>-94.55468</v>
      </c>
      <c r="H43" s="26" t="n">
        <v>39.20389</v>
      </c>
      <c r="I43" s="26" t="s">
        <v>110</v>
      </c>
      <c r="J43" s="25" t="s">
        <v>7588</v>
      </c>
      <c r="K43" s="26" t="s">
        <v>7430</v>
      </c>
      <c r="L43" s="26" t="s">
        <v>7396</v>
      </c>
      <c r="M43" s="26" t="s">
        <v>1357</v>
      </c>
      <c r="N43" s="26" t="s">
        <v>7450</v>
      </c>
      <c r="O43" s="26" t="s">
        <v>7589</v>
      </c>
      <c r="P43" s="26" t="n">
        <f aca="false">IF(A43=O43, 1, 0)</f>
        <v>0</v>
      </c>
    </row>
    <row r="44" customFormat="false" ht="13.8" hidden="false" customHeight="false" outlineLevel="0" collapsed="false">
      <c r="A44" s="26" t="n">
        <v>285095</v>
      </c>
      <c r="B44" s="26" t="n">
        <v>1908</v>
      </c>
      <c r="C44" s="26" t="s">
        <v>7590</v>
      </c>
      <c r="D44" s="26" t="n">
        <v>486618</v>
      </c>
      <c r="E44" s="26" t="s">
        <v>7591</v>
      </c>
      <c r="F44" s="26" t="s">
        <v>32</v>
      </c>
      <c r="G44" s="26" t="n">
        <v>-0.1277583</v>
      </c>
      <c r="H44" s="26" t="n">
        <v>51.50735</v>
      </c>
      <c r="I44" s="26" t="s">
        <v>214</v>
      </c>
      <c r="J44" s="26" t="s">
        <v>7592</v>
      </c>
      <c r="K44" s="26" t="s">
        <v>340</v>
      </c>
      <c r="L44" s="26" t="s">
        <v>7396</v>
      </c>
      <c r="M44" s="26" t="s">
        <v>1357</v>
      </c>
      <c r="N44" s="25" t="s">
        <v>7396</v>
      </c>
      <c r="O44" s="26" t="n">
        <v>436688</v>
      </c>
      <c r="P44" s="26" t="n">
        <f aca="false">IF(A44=O44, 1, 0)</f>
        <v>0</v>
      </c>
    </row>
    <row r="45" customFormat="false" ht="13.8" hidden="false" customHeight="false" outlineLevel="0" collapsed="false">
      <c r="A45" s="26" t="n">
        <v>286215</v>
      </c>
      <c r="B45" s="26" t="n">
        <v>1908</v>
      </c>
      <c r="C45" s="26" t="s">
        <v>7593</v>
      </c>
      <c r="D45" s="26" t="n">
        <v>4866180</v>
      </c>
      <c r="E45" s="26" t="s">
        <v>7594</v>
      </c>
      <c r="F45" s="26" t="s">
        <v>4822</v>
      </c>
      <c r="G45" s="26" t="n">
        <v>4.469936</v>
      </c>
      <c r="H45" s="26" t="n">
        <v>50.50389</v>
      </c>
      <c r="I45" s="26" t="s">
        <v>110</v>
      </c>
      <c r="J45" s="26" t="s">
        <v>7595</v>
      </c>
      <c r="K45" s="26" t="s">
        <v>4822</v>
      </c>
      <c r="L45" s="26" t="s">
        <v>7396</v>
      </c>
      <c r="M45" s="26" t="s">
        <v>7596</v>
      </c>
      <c r="N45" s="25" t="s">
        <v>7445</v>
      </c>
      <c r="O45" s="26" t="s">
        <v>7597</v>
      </c>
      <c r="P45" s="26" t="n">
        <f aca="false">IF(A45=O45, 1, 0)</f>
        <v>0</v>
      </c>
    </row>
    <row r="46" customFormat="false" ht="13.8" hidden="false" customHeight="false" outlineLevel="0" collapsed="false">
      <c r="A46" s="26" t="n">
        <v>286607</v>
      </c>
      <c r="B46" s="26" t="n">
        <v>1908</v>
      </c>
      <c r="C46" s="26" t="s">
        <v>7598</v>
      </c>
      <c r="D46" s="26" t="n">
        <v>364963.5</v>
      </c>
      <c r="E46" s="26" t="s">
        <v>7599</v>
      </c>
      <c r="F46" s="26" t="s">
        <v>7600</v>
      </c>
      <c r="G46" s="26" t="n">
        <v>-3.530875</v>
      </c>
      <c r="H46" s="26" t="n">
        <v>50.71556</v>
      </c>
      <c r="I46" s="26" t="s">
        <v>110</v>
      </c>
      <c r="J46" s="27" t="s">
        <v>7601</v>
      </c>
      <c r="K46" s="26" t="s">
        <v>340</v>
      </c>
      <c r="L46" s="26" t="s">
        <v>7396</v>
      </c>
      <c r="M46" s="26" t="s">
        <v>3298</v>
      </c>
      <c r="N46" s="25" t="s">
        <v>99</v>
      </c>
      <c r="O46" s="26" t="s">
        <v>7602</v>
      </c>
      <c r="P46" s="26" t="n">
        <f aca="false">IF(A46=O46, 1, 0)</f>
        <v>0</v>
      </c>
    </row>
    <row r="47" customFormat="false" ht="13.8" hidden="false" customHeight="false" outlineLevel="0" collapsed="false">
      <c r="A47" s="26" t="n">
        <v>287358</v>
      </c>
      <c r="B47" s="26" t="n">
        <v>1908</v>
      </c>
      <c r="C47" s="26" t="s">
        <v>7603</v>
      </c>
      <c r="D47" s="26" t="n">
        <v>1703163</v>
      </c>
      <c r="E47" s="26" t="s">
        <v>7604</v>
      </c>
      <c r="F47" s="26" t="s">
        <v>32</v>
      </c>
      <c r="G47" s="26" t="n">
        <v>-0.1277583</v>
      </c>
      <c r="H47" s="26" t="n">
        <v>51.50735</v>
      </c>
      <c r="I47" s="26" t="s">
        <v>110</v>
      </c>
      <c r="J47" s="26" t="s">
        <v>7605</v>
      </c>
      <c r="K47" s="26" t="s">
        <v>340</v>
      </c>
      <c r="L47" s="26" t="s">
        <v>7396</v>
      </c>
      <c r="M47" s="26" t="s">
        <v>7606</v>
      </c>
      <c r="N47" s="25" t="s">
        <v>7445</v>
      </c>
      <c r="O47" s="26" t="s">
        <v>7607</v>
      </c>
      <c r="P47" s="26" t="n">
        <f aca="false">IF(A47=O47, 1, 0)</f>
        <v>0</v>
      </c>
    </row>
    <row r="48" customFormat="false" ht="13.8" hidden="false" customHeight="false" outlineLevel="0" collapsed="false">
      <c r="A48" s="26" t="n">
        <v>289504</v>
      </c>
      <c r="B48" s="26" t="n">
        <v>1908</v>
      </c>
      <c r="C48" s="26" t="s">
        <v>7608</v>
      </c>
      <c r="D48" s="26" t="n">
        <v>4622871</v>
      </c>
      <c r="E48" s="26" t="s">
        <v>7609</v>
      </c>
      <c r="F48" s="26" t="s">
        <v>967</v>
      </c>
      <c r="G48" s="26" t="n">
        <v>-78.67664</v>
      </c>
      <c r="H48" s="26" t="n">
        <v>35.78939</v>
      </c>
      <c r="I48" s="26" t="s">
        <v>110</v>
      </c>
      <c r="J48" s="26" t="s">
        <v>7610</v>
      </c>
      <c r="K48" s="26" t="s">
        <v>7430</v>
      </c>
      <c r="L48" s="26" t="s">
        <v>7396</v>
      </c>
      <c r="M48" s="26" t="s">
        <v>3298</v>
      </c>
      <c r="N48" s="26" t="s">
        <v>4719</v>
      </c>
      <c r="O48" s="26" t="s">
        <v>7611</v>
      </c>
      <c r="P48" s="26" t="n">
        <f aca="false">IF(A48=O48, 1, 0)</f>
        <v>0</v>
      </c>
    </row>
    <row r="49" customFormat="false" ht="13.8" hidden="false" customHeight="false" outlineLevel="0" collapsed="false">
      <c r="A49" s="26" t="n">
        <v>300420</v>
      </c>
      <c r="B49" s="26" t="n">
        <v>1908</v>
      </c>
      <c r="C49" s="26" t="s">
        <v>7612</v>
      </c>
      <c r="D49" s="26" t="n">
        <v>487834.5</v>
      </c>
      <c r="E49" s="26" t="s">
        <v>7613</v>
      </c>
      <c r="F49" s="26" t="s">
        <v>137</v>
      </c>
      <c r="G49" s="26" t="n">
        <v>28.04731</v>
      </c>
      <c r="H49" s="26" t="n">
        <v>-26.2041</v>
      </c>
      <c r="I49" s="26" t="s">
        <v>110</v>
      </c>
      <c r="J49" s="26" t="s">
        <v>7614</v>
      </c>
      <c r="K49" s="26" t="s">
        <v>7480</v>
      </c>
      <c r="L49" s="26" t="s">
        <v>7396</v>
      </c>
      <c r="M49" s="26" t="s">
        <v>1357</v>
      </c>
      <c r="N49" s="25" t="s">
        <v>7435</v>
      </c>
      <c r="O49" s="26" t="s">
        <v>7615</v>
      </c>
      <c r="P49" s="26" t="n">
        <f aca="false">IF(A49=O49, 1, 0)</f>
        <v>0</v>
      </c>
    </row>
    <row r="50" customFormat="false" ht="13.8" hidden="false" customHeight="false" outlineLevel="0" collapsed="false">
      <c r="A50" s="26" t="n">
        <v>308017</v>
      </c>
      <c r="B50" s="26" t="n">
        <v>1908</v>
      </c>
      <c r="C50" s="26" t="s">
        <v>7616</v>
      </c>
      <c r="D50" s="26" t="n">
        <v>486618</v>
      </c>
      <c r="E50" s="26" t="s">
        <v>7617</v>
      </c>
      <c r="F50" s="26" t="s">
        <v>4900</v>
      </c>
      <c r="G50" s="26" t="n">
        <v>-71.80229</v>
      </c>
      <c r="H50" s="26" t="n">
        <v>42.26259</v>
      </c>
      <c r="I50" s="26" t="s">
        <v>110</v>
      </c>
      <c r="J50" s="26" t="s">
        <v>7618</v>
      </c>
      <c r="K50" s="26" t="s">
        <v>7430</v>
      </c>
      <c r="L50" s="26" t="s">
        <v>7396</v>
      </c>
      <c r="M50" s="26" t="s">
        <v>7619</v>
      </c>
      <c r="N50" s="26" t="s">
        <v>4306</v>
      </c>
      <c r="O50" s="26" t="s">
        <v>7620</v>
      </c>
      <c r="P50" s="26" t="n">
        <f aca="false">IF(A50=O50, 1, 0)</f>
        <v>0</v>
      </c>
    </row>
    <row r="51" customFormat="false" ht="13.8" hidden="false" customHeight="false" outlineLevel="0" collapsed="false">
      <c r="A51" s="26" t="n">
        <v>310137</v>
      </c>
      <c r="B51" s="26" t="n">
        <v>1908</v>
      </c>
      <c r="C51" s="26" t="s">
        <v>7621</v>
      </c>
      <c r="D51" s="26" t="n">
        <v>340632.6</v>
      </c>
      <c r="E51" s="26" t="s">
        <v>7622</v>
      </c>
      <c r="F51" s="26" t="s">
        <v>32</v>
      </c>
      <c r="G51" s="26" t="n">
        <v>-0.1277583</v>
      </c>
      <c r="H51" s="26" t="n">
        <v>51.50735</v>
      </c>
      <c r="I51" s="26" t="s">
        <v>110</v>
      </c>
      <c r="J51" s="26" t="s">
        <v>7623</v>
      </c>
      <c r="K51" s="26" t="s">
        <v>340</v>
      </c>
      <c r="L51" s="26" t="s">
        <v>7396</v>
      </c>
      <c r="M51" s="26" t="s">
        <v>1357</v>
      </c>
      <c r="N51" s="25" t="s">
        <v>7435</v>
      </c>
      <c r="O51" s="26" t="s">
        <v>7624</v>
      </c>
      <c r="P51" s="26" t="n">
        <f aca="false">IF(A51=O51, 1, 0)</f>
        <v>0</v>
      </c>
    </row>
    <row r="52" customFormat="false" ht="13.8" hidden="false" customHeight="false" outlineLevel="0" collapsed="false">
      <c r="A52" s="26" t="n">
        <v>310303</v>
      </c>
      <c r="B52" s="26" t="n">
        <v>1908</v>
      </c>
      <c r="C52" s="26" t="s">
        <v>6794</v>
      </c>
      <c r="D52" s="26" t="n">
        <v>243309</v>
      </c>
      <c r="E52" s="26" t="s">
        <v>7625</v>
      </c>
      <c r="F52" s="26" t="s">
        <v>482</v>
      </c>
      <c r="G52" s="26" t="n">
        <v>-107.8801</v>
      </c>
      <c r="H52" s="26" t="n">
        <v>37.27528</v>
      </c>
      <c r="I52" s="26" t="s">
        <v>110</v>
      </c>
      <c r="J52" s="26" t="s">
        <v>7626</v>
      </c>
      <c r="K52" s="26" t="s">
        <v>7430</v>
      </c>
      <c r="L52" s="26" t="s">
        <v>7396</v>
      </c>
      <c r="M52" s="26" t="s">
        <v>152</v>
      </c>
      <c r="N52" s="25" t="s">
        <v>7445</v>
      </c>
      <c r="O52" s="26" t="s">
        <v>7627</v>
      </c>
      <c r="P52" s="26" t="n">
        <f aca="false">IF(A52=O52, 1, 0)</f>
        <v>0</v>
      </c>
    </row>
    <row r="53" customFormat="false" ht="13.8" hidden="false" customHeight="false" outlineLevel="0" collapsed="false">
      <c r="A53" s="26" t="n">
        <v>315208</v>
      </c>
      <c r="B53" s="26" t="n">
        <v>1908</v>
      </c>
      <c r="C53" s="26" t="s">
        <v>7628</v>
      </c>
      <c r="D53" s="26" t="n">
        <v>973236</v>
      </c>
      <c r="E53" s="26" t="s">
        <v>7629</v>
      </c>
      <c r="F53" s="26" t="s">
        <v>117</v>
      </c>
      <c r="G53" s="26" t="n">
        <v>-4.251806</v>
      </c>
      <c r="H53" s="26" t="n">
        <v>55.86424</v>
      </c>
      <c r="I53" s="26" t="s">
        <v>110</v>
      </c>
      <c r="J53" s="26" t="s">
        <v>7630</v>
      </c>
      <c r="K53" s="26" t="s">
        <v>340</v>
      </c>
      <c r="L53" s="26" t="s">
        <v>7396</v>
      </c>
      <c r="M53" s="26" t="s">
        <v>152</v>
      </c>
      <c r="N53" s="25" t="s">
        <v>7445</v>
      </c>
      <c r="O53" s="26" t="s">
        <v>7631</v>
      </c>
      <c r="P53" s="26" t="n">
        <f aca="false">IF(A53=O53, 1, 0)</f>
        <v>0</v>
      </c>
    </row>
    <row r="54" customFormat="false" ht="13.8" hidden="false" customHeight="false" outlineLevel="0" collapsed="false">
      <c r="A54" s="26" t="n">
        <v>316998</v>
      </c>
      <c r="B54" s="26" t="n">
        <v>1908</v>
      </c>
      <c r="C54" s="26" t="s">
        <v>7632</v>
      </c>
      <c r="D54" s="26" t="n">
        <v>1703163</v>
      </c>
      <c r="E54" s="26" t="s">
        <v>7633</v>
      </c>
      <c r="F54" s="26" t="s">
        <v>857</v>
      </c>
      <c r="G54" s="26" t="n">
        <v>8.468946</v>
      </c>
      <c r="H54" s="26" t="n">
        <v>60.47202</v>
      </c>
      <c r="I54" s="26" t="s">
        <v>882</v>
      </c>
      <c r="J54" s="26" t="s">
        <v>7634</v>
      </c>
      <c r="K54" s="26" t="s">
        <v>857</v>
      </c>
      <c r="L54" s="26" t="s">
        <v>7396</v>
      </c>
      <c r="M54" s="26" t="s">
        <v>1357</v>
      </c>
      <c r="N54" s="25" t="s">
        <v>7435</v>
      </c>
      <c r="O54" s="26" t="s">
        <v>7635</v>
      </c>
      <c r="P54" s="26" t="n">
        <f aca="false">IF(A54=O54, 1, 0)</f>
        <v>0</v>
      </c>
    </row>
    <row r="55" customFormat="false" ht="13.8" hidden="false" customHeight="false" outlineLevel="0" collapsed="false">
      <c r="A55" s="26" t="n">
        <v>320207</v>
      </c>
      <c r="B55" s="26" t="n">
        <v>1908</v>
      </c>
      <c r="C55" s="26" t="s">
        <v>7636</v>
      </c>
      <c r="D55" s="26" t="n">
        <v>973236</v>
      </c>
      <c r="E55" s="26" t="s">
        <v>7637</v>
      </c>
      <c r="F55" s="26" t="s">
        <v>857</v>
      </c>
      <c r="G55" s="26" t="n">
        <v>8.468946</v>
      </c>
      <c r="H55" s="26" t="n">
        <v>60.47202</v>
      </c>
      <c r="I55" s="26" t="s">
        <v>882</v>
      </c>
      <c r="J55" s="26" t="s">
        <v>7634</v>
      </c>
      <c r="K55" s="26" t="s">
        <v>857</v>
      </c>
      <c r="L55" s="26" t="s">
        <v>7396</v>
      </c>
      <c r="M55" s="26" t="s">
        <v>1357</v>
      </c>
      <c r="N55" s="25" t="s">
        <v>7435</v>
      </c>
      <c r="O55" s="26" t="s">
        <v>7635</v>
      </c>
      <c r="P55" s="26" t="n">
        <f aca="false">IF(A55=O55, 1, 0)</f>
        <v>0</v>
      </c>
    </row>
    <row r="56" customFormat="false" ht="13.8" hidden="false" customHeight="false" outlineLevel="0" collapsed="false">
      <c r="A56" s="26" t="n">
        <v>324908</v>
      </c>
      <c r="B56" s="26" t="n">
        <v>1908</v>
      </c>
      <c r="C56" s="26" t="s">
        <v>7638</v>
      </c>
      <c r="D56" s="26" t="n">
        <v>973236</v>
      </c>
      <c r="E56" s="26" t="s">
        <v>7639</v>
      </c>
      <c r="F56" s="26" t="s">
        <v>248</v>
      </c>
      <c r="G56" s="26" t="n">
        <v>-95.77491</v>
      </c>
      <c r="H56" s="26" t="n">
        <v>36.06743</v>
      </c>
      <c r="I56" s="26" t="s">
        <v>110</v>
      </c>
      <c r="J56" s="26" t="s">
        <v>7640</v>
      </c>
      <c r="K56" s="26" t="s">
        <v>7430</v>
      </c>
      <c r="L56" s="26" t="s">
        <v>7396</v>
      </c>
      <c r="M56" s="26" t="s">
        <v>1357</v>
      </c>
      <c r="N56" s="25" t="s">
        <v>7435</v>
      </c>
      <c r="O56" s="26" t="s">
        <v>7641</v>
      </c>
      <c r="P56" s="26" t="n">
        <f aca="false">IF(A56=O56, 1, 0)</f>
        <v>0</v>
      </c>
    </row>
    <row r="57" customFormat="false" ht="13.8" hidden="false" customHeight="false" outlineLevel="0" collapsed="false">
      <c r="A57" s="26" t="n">
        <v>328875</v>
      </c>
      <c r="B57" s="26" t="n">
        <v>1908</v>
      </c>
      <c r="C57" s="26" t="s">
        <v>7642</v>
      </c>
      <c r="D57" s="26" t="n">
        <v>729927</v>
      </c>
      <c r="E57" s="26" t="s">
        <v>7643</v>
      </c>
      <c r="F57" s="26" t="s">
        <v>7644</v>
      </c>
      <c r="G57" s="26" t="n">
        <v>-6.944722</v>
      </c>
      <c r="H57" s="26" t="n">
        <v>37.26142</v>
      </c>
      <c r="I57" s="26" t="s">
        <v>110</v>
      </c>
      <c r="J57" s="26" t="s">
        <v>7645</v>
      </c>
      <c r="K57" s="26" t="s">
        <v>616</v>
      </c>
      <c r="L57" s="26" t="s">
        <v>7396</v>
      </c>
      <c r="M57" s="26" t="s">
        <v>3298</v>
      </c>
      <c r="N57" s="26" t="s">
        <v>4894</v>
      </c>
      <c r="O57" s="26" t="s">
        <v>7646</v>
      </c>
      <c r="P57" s="26" t="n">
        <f aca="false">IF(A57=O57, 1, 0)</f>
        <v>0</v>
      </c>
    </row>
    <row r="58" customFormat="false" ht="13.8" hidden="false" customHeight="false" outlineLevel="0" collapsed="false">
      <c r="A58" s="26" t="n">
        <v>335578</v>
      </c>
      <c r="B58" s="26" t="n">
        <v>1909</v>
      </c>
      <c r="C58" s="26" t="s">
        <v>7647</v>
      </c>
      <c r="D58" s="26" t="n">
        <v>1461988</v>
      </c>
      <c r="E58" s="26" t="s">
        <v>7648</v>
      </c>
      <c r="F58" s="26" t="s">
        <v>32</v>
      </c>
      <c r="G58" s="26" t="n">
        <v>-0.1277583</v>
      </c>
      <c r="H58" s="26" t="n">
        <v>51.50735</v>
      </c>
      <c r="I58" s="26" t="s">
        <v>110</v>
      </c>
      <c r="J58" s="26" t="s">
        <v>7649</v>
      </c>
      <c r="K58" s="26" t="s">
        <v>340</v>
      </c>
      <c r="L58" s="26" t="s">
        <v>7396</v>
      </c>
      <c r="M58" s="26" t="s">
        <v>3298</v>
      </c>
      <c r="N58" s="26" t="s">
        <v>4306</v>
      </c>
      <c r="O58" s="26" t="s">
        <v>7650</v>
      </c>
      <c r="P58" s="26" t="n">
        <f aca="false">IF(A58=O58, 1, 0)</f>
        <v>0</v>
      </c>
    </row>
    <row r="59" customFormat="false" ht="13.8" hidden="false" customHeight="false" outlineLevel="0" collapsed="false">
      <c r="A59" s="26" t="n">
        <v>337925</v>
      </c>
      <c r="B59" s="26" t="n">
        <v>1909</v>
      </c>
      <c r="C59" s="26" t="s">
        <v>7651</v>
      </c>
      <c r="D59" s="26" t="n">
        <v>1218324</v>
      </c>
      <c r="E59" s="26" t="s">
        <v>7652</v>
      </c>
      <c r="F59" s="26" t="s">
        <v>40</v>
      </c>
      <c r="G59" s="26" t="n">
        <v>142.7028</v>
      </c>
      <c r="H59" s="26" t="n">
        <v>-20.91757</v>
      </c>
      <c r="I59" s="26" t="s">
        <v>110</v>
      </c>
      <c r="J59" s="26" t="s">
        <v>7653</v>
      </c>
      <c r="K59" s="26" t="s">
        <v>145</v>
      </c>
      <c r="L59" s="26" t="s">
        <v>7396</v>
      </c>
      <c r="M59" s="26" t="s">
        <v>152</v>
      </c>
      <c r="N59" s="25" t="s">
        <v>7445</v>
      </c>
      <c r="O59" s="26" t="s">
        <v>7654</v>
      </c>
      <c r="P59" s="26" t="n">
        <f aca="false">IF(A59=O59, 1, 0)</f>
        <v>0</v>
      </c>
    </row>
    <row r="60" customFormat="false" ht="13.8" hidden="false" customHeight="false" outlineLevel="0" collapsed="false">
      <c r="A60" s="26" t="n">
        <v>338107</v>
      </c>
      <c r="B60" s="26" t="n">
        <v>1909</v>
      </c>
      <c r="C60" s="26" t="s">
        <v>6779</v>
      </c>
      <c r="D60" s="26" t="n">
        <v>1023392</v>
      </c>
      <c r="E60" s="26" t="s">
        <v>7655</v>
      </c>
      <c r="F60" s="26" t="s">
        <v>7573</v>
      </c>
      <c r="G60" s="26" t="n">
        <v>-2.081112</v>
      </c>
      <c r="H60" s="26" t="n">
        <v>52.51226</v>
      </c>
      <c r="I60" s="26" t="s">
        <v>110</v>
      </c>
      <c r="J60" s="26" t="s">
        <v>7656</v>
      </c>
      <c r="K60" s="26" t="s">
        <v>340</v>
      </c>
      <c r="L60" s="26" t="s">
        <v>7396</v>
      </c>
      <c r="M60" s="26" t="s">
        <v>7657</v>
      </c>
      <c r="N60" s="26" t="s">
        <v>4306</v>
      </c>
      <c r="O60" s="26" t="s">
        <v>7658</v>
      </c>
      <c r="P60" s="26" t="n">
        <f aca="false">IF(A60=O60, 1, 0)</f>
        <v>0</v>
      </c>
    </row>
    <row r="61" customFormat="false" ht="13.8" hidden="false" customHeight="false" outlineLevel="0" collapsed="false">
      <c r="A61" s="26" t="n">
        <v>339876</v>
      </c>
      <c r="B61" s="26" t="n">
        <v>1909</v>
      </c>
      <c r="C61" s="26" t="s">
        <v>7659</v>
      </c>
      <c r="D61" s="26" t="n">
        <v>97465.89</v>
      </c>
      <c r="E61" s="26" t="s">
        <v>7660</v>
      </c>
      <c r="F61" s="26" t="s">
        <v>32</v>
      </c>
      <c r="G61" s="26" t="n">
        <v>-0.1277583</v>
      </c>
      <c r="H61" s="26" t="n">
        <v>51.50735</v>
      </c>
      <c r="I61" s="26" t="s">
        <v>882</v>
      </c>
      <c r="J61" s="26" t="s">
        <v>7661</v>
      </c>
      <c r="K61" s="26" t="s">
        <v>340</v>
      </c>
      <c r="L61" s="26" t="s">
        <v>7396</v>
      </c>
      <c r="M61" s="26" t="s">
        <v>1357</v>
      </c>
      <c r="N61" s="25" t="s">
        <v>7435</v>
      </c>
      <c r="O61" s="26" t="s">
        <v>7662</v>
      </c>
      <c r="P61" s="26" t="n">
        <f aca="false">IF(A61=O61, 1, 0)</f>
        <v>0</v>
      </c>
    </row>
    <row r="62" customFormat="false" ht="13.8" hidden="false" customHeight="false" outlineLevel="0" collapsed="false">
      <c r="A62" s="26" t="n">
        <v>340216</v>
      </c>
      <c r="B62" s="26" t="n">
        <v>1909</v>
      </c>
      <c r="C62" s="26" t="s">
        <v>6435</v>
      </c>
      <c r="D62" s="26" t="n">
        <v>487329.4</v>
      </c>
      <c r="E62" s="26" t="s">
        <v>7663</v>
      </c>
      <c r="F62" s="26" t="s">
        <v>7664</v>
      </c>
      <c r="G62" s="26" t="n">
        <v>145.338</v>
      </c>
      <c r="H62" s="26" t="n">
        <v>-41.88752</v>
      </c>
      <c r="I62" s="26" t="s">
        <v>110</v>
      </c>
      <c r="J62" s="26" t="s">
        <v>7665</v>
      </c>
      <c r="K62" s="26" t="s">
        <v>145</v>
      </c>
      <c r="L62" s="26" t="s">
        <v>7396</v>
      </c>
      <c r="M62" s="26" t="s">
        <v>1357</v>
      </c>
      <c r="N62" s="25" t="s">
        <v>7396</v>
      </c>
      <c r="O62" s="26" t="n">
        <v>315353</v>
      </c>
      <c r="P62" s="26" t="n">
        <f aca="false">IF(A62=O62, 1, 0)</f>
        <v>0</v>
      </c>
    </row>
    <row r="63" customFormat="false" ht="13.8" hidden="false" customHeight="false" outlineLevel="0" collapsed="false">
      <c r="A63" s="26" t="n">
        <v>353603</v>
      </c>
      <c r="B63" s="26" t="n">
        <v>1909</v>
      </c>
      <c r="C63" s="26" t="s">
        <v>7666</v>
      </c>
      <c r="D63" s="26" t="n">
        <v>974658.9</v>
      </c>
      <c r="E63" s="26" t="s">
        <v>7667</v>
      </c>
      <c r="F63" s="26" t="s">
        <v>177</v>
      </c>
      <c r="G63" s="26" t="n">
        <v>-81.1831</v>
      </c>
      <c r="H63" s="26" t="n">
        <v>43.23256</v>
      </c>
      <c r="I63" s="26" t="s">
        <v>110</v>
      </c>
      <c r="J63" s="26" t="s">
        <v>7668</v>
      </c>
      <c r="K63" s="26" t="s">
        <v>361</v>
      </c>
      <c r="L63" s="26" t="s">
        <v>7396</v>
      </c>
      <c r="M63" s="26" t="s">
        <v>1357</v>
      </c>
      <c r="N63" s="25" t="s">
        <v>7396</v>
      </c>
      <c r="O63" s="26" t="n">
        <v>306495</v>
      </c>
      <c r="P63" s="26" t="n">
        <f aca="false">IF(A63=O63, 1, 0)</f>
        <v>0</v>
      </c>
    </row>
    <row r="64" customFormat="false" ht="13.8" hidden="false" customHeight="false" outlineLevel="0" collapsed="false">
      <c r="A64" s="26" t="n">
        <v>357592</v>
      </c>
      <c r="B64" s="26" t="n">
        <v>1909</v>
      </c>
      <c r="C64" s="26" t="s">
        <v>7669</v>
      </c>
      <c r="D64" s="26" t="n">
        <v>974658.9</v>
      </c>
      <c r="E64" s="26" t="s">
        <v>7670</v>
      </c>
      <c r="F64" s="26" t="s">
        <v>32</v>
      </c>
      <c r="G64" s="26" t="n">
        <v>-0.1277583</v>
      </c>
      <c r="H64" s="26" t="n">
        <v>51.50735</v>
      </c>
      <c r="I64" s="26" t="s">
        <v>110</v>
      </c>
      <c r="J64" s="26" t="s">
        <v>7671</v>
      </c>
      <c r="K64" s="26" t="s">
        <v>340</v>
      </c>
      <c r="L64" s="26" t="s">
        <v>7396</v>
      </c>
      <c r="M64" s="26" t="s">
        <v>1357</v>
      </c>
      <c r="N64" s="25" t="s">
        <v>7435</v>
      </c>
      <c r="O64" s="26" t="s">
        <v>7672</v>
      </c>
      <c r="P64" s="26" t="n">
        <f aca="false">IF(A64=O64, 1, 0)</f>
        <v>0</v>
      </c>
    </row>
    <row r="65" customFormat="false" ht="13.8" hidden="false" customHeight="false" outlineLevel="0" collapsed="false">
      <c r="A65" s="26" t="n">
        <v>359567</v>
      </c>
      <c r="B65" s="26" t="n">
        <v>1909</v>
      </c>
      <c r="C65" s="26" t="s">
        <v>7673</v>
      </c>
      <c r="D65" s="26" t="n">
        <v>1218324</v>
      </c>
      <c r="E65" s="26" t="s">
        <v>7674</v>
      </c>
      <c r="F65" s="26" t="s">
        <v>32</v>
      </c>
      <c r="G65" s="26" t="n">
        <v>-0.1277583</v>
      </c>
      <c r="H65" s="26" t="n">
        <v>51.50735</v>
      </c>
      <c r="I65" s="26" t="s">
        <v>882</v>
      </c>
      <c r="J65" s="26" t="s">
        <v>7675</v>
      </c>
      <c r="K65" s="26" t="s">
        <v>340</v>
      </c>
      <c r="L65" s="26" t="s">
        <v>7396</v>
      </c>
      <c r="M65" s="26" t="s">
        <v>1357</v>
      </c>
      <c r="N65" s="25" t="s">
        <v>7435</v>
      </c>
      <c r="O65" s="26" t="s">
        <v>7676</v>
      </c>
      <c r="P65" s="26" t="n">
        <f aca="false">IF(A65=O65, 1, 0)</f>
        <v>0</v>
      </c>
    </row>
    <row r="66" customFormat="false" ht="13.8" hidden="false" customHeight="false" outlineLevel="0" collapsed="false">
      <c r="A66" s="26" t="n">
        <v>360738</v>
      </c>
      <c r="B66" s="26" t="n">
        <v>1909</v>
      </c>
      <c r="C66" s="26" t="s">
        <v>7677</v>
      </c>
      <c r="D66" s="26" t="n">
        <v>730994.2</v>
      </c>
      <c r="E66" s="26" t="s">
        <v>7678</v>
      </c>
      <c r="F66" s="26" t="s">
        <v>32</v>
      </c>
      <c r="G66" s="26" t="n">
        <v>-0.1277583</v>
      </c>
      <c r="H66" s="26" t="n">
        <v>51.50735</v>
      </c>
      <c r="I66" s="26" t="s">
        <v>214</v>
      </c>
      <c r="J66" s="26" t="s">
        <v>7679</v>
      </c>
      <c r="K66" s="26" t="s">
        <v>340</v>
      </c>
      <c r="L66" s="26" t="s">
        <v>7396</v>
      </c>
      <c r="M66" s="26" t="s">
        <v>7552</v>
      </c>
      <c r="N66" s="26" t="s">
        <v>4306</v>
      </c>
      <c r="O66" s="26" t="s">
        <v>7680</v>
      </c>
      <c r="P66" s="26" t="n">
        <f aca="false">IF(A66=O66, 1, 0)</f>
        <v>0</v>
      </c>
    </row>
    <row r="67" customFormat="false" ht="13.8" hidden="false" customHeight="false" outlineLevel="0" collapsed="false">
      <c r="A67" s="26" t="n">
        <v>363596</v>
      </c>
      <c r="B67" s="26" t="n">
        <v>1909</v>
      </c>
      <c r="C67" s="26" t="s">
        <v>7681</v>
      </c>
      <c r="D67" s="26" t="n">
        <v>2192982</v>
      </c>
      <c r="E67" s="26" t="s">
        <v>7682</v>
      </c>
      <c r="F67" s="26" t="s">
        <v>32</v>
      </c>
      <c r="G67" s="26" t="n">
        <v>-0.1277583</v>
      </c>
      <c r="H67" s="26" t="n">
        <v>51.50735</v>
      </c>
      <c r="I67" s="26" t="s">
        <v>1357</v>
      </c>
      <c r="J67" s="26" t="s">
        <v>7683</v>
      </c>
      <c r="K67" s="26" t="s">
        <v>340</v>
      </c>
      <c r="L67" s="26" t="s">
        <v>7396</v>
      </c>
      <c r="M67" s="26" t="s">
        <v>1357</v>
      </c>
      <c r="N67" s="25" t="s">
        <v>7396</v>
      </c>
      <c r="O67" s="26" t="n">
        <v>307115</v>
      </c>
      <c r="P67" s="26" t="n">
        <f aca="false">IF(A67=O67, 1, 0)</f>
        <v>0</v>
      </c>
    </row>
    <row r="68" customFormat="false" ht="13.8" hidden="false" customHeight="false" outlineLevel="0" collapsed="false">
      <c r="A68" s="26" t="n">
        <v>364560</v>
      </c>
      <c r="B68" s="26" t="n">
        <v>1909</v>
      </c>
      <c r="C68" s="26" t="s">
        <v>7684</v>
      </c>
      <c r="D68" s="26" t="n">
        <v>2071150</v>
      </c>
      <c r="E68" s="26" t="s">
        <v>7685</v>
      </c>
      <c r="F68" s="26" t="s">
        <v>137</v>
      </c>
      <c r="G68" s="26" t="n">
        <v>28.04731</v>
      </c>
      <c r="H68" s="26" t="n">
        <v>-26.2041</v>
      </c>
      <c r="I68" s="26" t="s">
        <v>1357</v>
      </c>
      <c r="J68" s="26" t="s">
        <v>7686</v>
      </c>
      <c r="K68" s="26" t="s">
        <v>7480</v>
      </c>
      <c r="L68" s="26" t="s">
        <v>7396</v>
      </c>
      <c r="M68" s="26" t="s">
        <v>3298</v>
      </c>
      <c r="N68" s="26" t="s">
        <v>4719</v>
      </c>
      <c r="O68" s="26" t="s">
        <v>7687</v>
      </c>
      <c r="P68" s="26" t="n">
        <f aca="false">IF(A68=O68, 1, 0)</f>
        <v>0</v>
      </c>
    </row>
    <row r="69" customFormat="false" ht="13.8" hidden="false" customHeight="false" outlineLevel="0" collapsed="false">
      <c r="A69" s="26" t="n">
        <v>365292</v>
      </c>
      <c r="B69" s="26" t="n">
        <v>1909</v>
      </c>
      <c r="C69" s="26" t="s">
        <v>6530</v>
      </c>
      <c r="D69" s="28" t="n">
        <v>5000000</v>
      </c>
      <c r="E69" s="26" t="s">
        <v>7688</v>
      </c>
      <c r="F69" s="26" t="s">
        <v>1129</v>
      </c>
      <c r="G69" s="26" t="n">
        <v>-122.4194</v>
      </c>
      <c r="H69" s="26" t="n">
        <v>37.77493</v>
      </c>
      <c r="I69" s="26" t="s">
        <v>1357</v>
      </c>
      <c r="J69" s="26" t="s">
        <v>7689</v>
      </c>
      <c r="K69" s="26" t="s">
        <v>7430</v>
      </c>
      <c r="L69" s="26" t="s">
        <v>7396</v>
      </c>
      <c r="M69" s="26" t="s">
        <v>1357</v>
      </c>
      <c r="N69" s="25" t="s">
        <v>7435</v>
      </c>
      <c r="O69" s="26" t="s">
        <v>7690</v>
      </c>
      <c r="P69" s="26" t="n">
        <f aca="false">IF(A69=O69, 1, 0)</f>
        <v>0</v>
      </c>
    </row>
    <row r="70" customFormat="false" ht="13.8" hidden="false" customHeight="false" outlineLevel="0" collapsed="false">
      <c r="A70" s="26" t="n">
        <v>366671</v>
      </c>
      <c r="B70" s="26" t="n">
        <v>1909</v>
      </c>
      <c r="C70" s="26" t="s">
        <v>6797</v>
      </c>
      <c r="D70" s="26" t="n">
        <v>4136253</v>
      </c>
      <c r="E70" s="26" t="s">
        <v>7691</v>
      </c>
      <c r="F70" s="26" t="s">
        <v>32</v>
      </c>
      <c r="G70" s="26" t="n">
        <v>-0.1277583</v>
      </c>
      <c r="H70" s="26" t="n">
        <v>51.50735</v>
      </c>
      <c r="I70" s="26" t="s">
        <v>931</v>
      </c>
      <c r="J70" s="26" t="s">
        <v>7692</v>
      </c>
      <c r="K70" s="26" t="s">
        <v>340</v>
      </c>
      <c r="L70" s="26" t="s">
        <v>7396</v>
      </c>
      <c r="M70" s="26" t="s">
        <v>1357</v>
      </c>
      <c r="N70" s="25" t="s">
        <v>7435</v>
      </c>
      <c r="O70" s="26" t="s">
        <v>7693</v>
      </c>
      <c r="P70" s="26" t="n">
        <f aca="false">IF(A70=O70, 1, 0)</f>
        <v>0</v>
      </c>
    </row>
    <row r="71" customFormat="false" ht="13.8" hidden="false" customHeight="false" outlineLevel="0" collapsed="false">
      <c r="A71" s="26" t="n">
        <v>368224</v>
      </c>
      <c r="B71" s="26" t="n">
        <v>1909</v>
      </c>
      <c r="C71" s="26" t="s">
        <v>7694</v>
      </c>
      <c r="D71" s="26" t="n">
        <v>36549.71</v>
      </c>
      <c r="E71" s="26" t="s">
        <v>7695</v>
      </c>
      <c r="F71" s="26" t="s">
        <v>7696</v>
      </c>
      <c r="G71" s="26" t="n">
        <v>-94.65089</v>
      </c>
      <c r="H71" s="26" t="n">
        <v>39.04894</v>
      </c>
      <c r="I71" s="26" t="s">
        <v>110</v>
      </c>
      <c r="J71" s="26" t="s">
        <v>7697</v>
      </c>
      <c r="K71" s="26" t="s">
        <v>7430</v>
      </c>
      <c r="L71" s="26" t="s">
        <v>7396</v>
      </c>
      <c r="M71" s="26" t="s">
        <v>7488</v>
      </c>
      <c r="N71" s="26" t="s">
        <v>4306</v>
      </c>
      <c r="O71" s="26" t="s">
        <v>7698</v>
      </c>
      <c r="P71" s="26" t="n">
        <f aca="false">IF(A71=O71, 1, 0)</f>
        <v>0</v>
      </c>
    </row>
    <row r="72" customFormat="false" ht="13.8" hidden="false" customHeight="false" outlineLevel="0" collapsed="false">
      <c r="A72" s="26" t="n">
        <v>368730</v>
      </c>
      <c r="B72" s="26" t="n">
        <v>1909</v>
      </c>
      <c r="C72" s="26" t="s">
        <v>7699</v>
      </c>
      <c r="D72" s="28" t="n">
        <v>11000000</v>
      </c>
      <c r="E72" s="26" t="s">
        <v>7700</v>
      </c>
      <c r="F72" s="26" t="s">
        <v>4701</v>
      </c>
      <c r="G72" s="26" t="n">
        <v>-110.3626</v>
      </c>
      <c r="H72" s="26" t="n">
        <v>46.87968</v>
      </c>
      <c r="I72" s="26" t="s">
        <v>110</v>
      </c>
      <c r="J72" s="26" t="s">
        <v>7701</v>
      </c>
      <c r="K72" s="26" t="s">
        <v>7430</v>
      </c>
      <c r="L72" s="26" t="s">
        <v>7396</v>
      </c>
      <c r="M72" s="26" t="s">
        <v>152</v>
      </c>
      <c r="N72" s="25" t="s">
        <v>7445</v>
      </c>
      <c r="O72" s="26" t="s">
        <v>7702</v>
      </c>
      <c r="P72" s="26" t="n">
        <f aca="false">IF(A72=O72, 1, 0)</f>
        <v>0</v>
      </c>
    </row>
    <row r="73" customFormat="false" ht="13.8" hidden="false" customHeight="false" outlineLevel="0" collapsed="false">
      <c r="A73" s="26" t="n">
        <v>369711</v>
      </c>
      <c r="B73" s="26" t="n">
        <v>1909</v>
      </c>
      <c r="C73" s="26" t="s">
        <v>7703</v>
      </c>
      <c r="D73" s="26" t="n">
        <v>1263977</v>
      </c>
      <c r="E73" s="26" t="s">
        <v>7704</v>
      </c>
      <c r="F73" s="26" t="s">
        <v>32</v>
      </c>
      <c r="G73" s="26" t="n">
        <v>-0.1277583</v>
      </c>
      <c r="H73" s="26" t="n">
        <v>51.50735</v>
      </c>
      <c r="I73" s="26" t="s">
        <v>1357</v>
      </c>
      <c r="J73" s="26" t="s">
        <v>7705</v>
      </c>
      <c r="K73" s="26" t="s">
        <v>340</v>
      </c>
      <c r="L73" s="26" t="s">
        <v>7396</v>
      </c>
      <c r="M73" s="26" t="s">
        <v>1357</v>
      </c>
      <c r="N73" s="25" t="s">
        <v>7435</v>
      </c>
      <c r="O73" s="26" t="s">
        <v>7706</v>
      </c>
      <c r="P73" s="26" t="n">
        <f aca="false">IF(A73=O73, 1, 0)</f>
        <v>0</v>
      </c>
    </row>
    <row r="74" customFormat="false" ht="13.8" hidden="false" customHeight="false" outlineLevel="0" collapsed="false">
      <c r="A74" s="26" t="n">
        <v>374481</v>
      </c>
      <c r="B74" s="26" t="n">
        <v>1909</v>
      </c>
      <c r="C74" s="26" t="s">
        <v>7707</v>
      </c>
      <c r="D74" s="26" t="n">
        <v>267509.7</v>
      </c>
      <c r="E74" s="26" t="s">
        <v>7708</v>
      </c>
      <c r="F74" s="26" t="s">
        <v>1177</v>
      </c>
      <c r="G74" s="26" t="n">
        <v>-95.61644</v>
      </c>
      <c r="H74" s="26" t="n">
        <v>37.03284</v>
      </c>
      <c r="I74" s="26" t="s">
        <v>110</v>
      </c>
      <c r="J74" s="26" t="s">
        <v>7709</v>
      </c>
      <c r="K74" s="26" t="s">
        <v>7430</v>
      </c>
      <c r="L74" s="26" t="s">
        <v>7396</v>
      </c>
      <c r="M74" s="26" t="s">
        <v>1357</v>
      </c>
      <c r="N74" s="25" t="s">
        <v>7435</v>
      </c>
      <c r="O74" s="26" t="s">
        <v>7710</v>
      </c>
      <c r="P74" s="26" t="n">
        <f aca="false">IF(A74=O74, 1, 0)</f>
        <v>0</v>
      </c>
    </row>
    <row r="75" customFormat="false" ht="13.8" hidden="false" customHeight="false" outlineLevel="0" collapsed="false">
      <c r="A75" s="26" t="n">
        <v>386046</v>
      </c>
      <c r="B75" s="26" t="n">
        <v>1909</v>
      </c>
      <c r="C75" s="26" t="s">
        <v>7711</v>
      </c>
      <c r="D75" s="28" t="n">
        <v>5000000</v>
      </c>
      <c r="E75" s="26" t="s">
        <v>7712</v>
      </c>
      <c r="F75" s="26" t="s">
        <v>7713</v>
      </c>
      <c r="G75" s="26" t="n">
        <v>-73.64866</v>
      </c>
      <c r="H75" s="26" t="n">
        <v>40.75516</v>
      </c>
      <c r="I75" s="26" t="s">
        <v>110</v>
      </c>
      <c r="J75" s="26" t="s">
        <v>7714</v>
      </c>
      <c r="K75" s="26" t="s">
        <v>7430</v>
      </c>
      <c r="L75" s="26" t="s">
        <v>7396</v>
      </c>
      <c r="M75" s="26" t="s">
        <v>152</v>
      </c>
      <c r="N75" s="25" t="s">
        <v>7445</v>
      </c>
      <c r="O75" s="26" t="s">
        <v>7715</v>
      </c>
      <c r="P75" s="26" t="n">
        <f aca="false">IF(A75=O75, 1, 0)</f>
        <v>0</v>
      </c>
    </row>
    <row r="76" customFormat="false" ht="13.8" hidden="false" customHeight="false" outlineLevel="0" collapsed="false">
      <c r="A76" s="26" t="n">
        <v>392606</v>
      </c>
      <c r="B76" s="26" t="n">
        <v>1910</v>
      </c>
      <c r="C76" s="26" t="s">
        <v>7716</v>
      </c>
      <c r="D76" s="26" t="n">
        <v>972762.6</v>
      </c>
      <c r="E76" s="26" t="s">
        <v>7717</v>
      </c>
      <c r="F76" s="26" t="s">
        <v>347</v>
      </c>
      <c r="G76" s="26" t="n">
        <v>121.466</v>
      </c>
      <c r="H76" s="26" t="n">
        <v>-30.749</v>
      </c>
      <c r="I76" s="26" t="s">
        <v>110</v>
      </c>
      <c r="J76" s="26" t="s">
        <v>7718</v>
      </c>
      <c r="K76" s="26" t="s">
        <v>145</v>
      </c>
      <c r="L76" s="26" t="s">
        <v>7396</v>
      </c>
      <c r="M76" s="26" t="s">
        <v>1357</v>
      </c>
      <c r="N76" s="25" t="s">
        <v>7396</v>
      </c>
      <c r="O76" s="26" t="n">
        <v>63247</v>
      </c>
      <c r="P76" s="26" t="n">
        <f aca="false">IF(A76=O76, 1, 0)</f>
        <v>0</v>
      </c>
    </row>
    <row r="77" customFormat="false" ht="13.8" hidden="false" customHeight="false" outlineLevel="0" collapsed="false">
      <c r="A77" s="26" t="n">
        <v>399015</v>
      </c>
      <c r="B77" s="26" t="n">
        <v>1910</v>
      </c>
      <c r="C77" s="26" t="s">
        <v>7719</v>
      </c>
      <c r="D77" s="26" t="n">
        <v>1750973</v>
      </c>
      <c r="E77" s="26" t="s">
        <v>7720</v>
      </c>
      <c r="F77" s="26" t="s">
        <v>32</v>
      </c>
      <c r="G77" s="26" t="n">
        <v>-0.1277583</v>
      </c>
      <c r="H77" s="26" t="n">
        <v>51.50735</v>
      </c>
      <c r="I77" s="26" t="s">
        <v>214</v>
      </c>
      <c r="J77" s="26" t="s">
        <v>7721</v>
      </c>
      <c r="K77" s="26" t="s">
        <v>340</v>
      </c>
      <c r="L77" s="26" t="s">
        <v>7396</v>
      </c>
      <c r="M77" s="26" t="s">
        <v>3298</v>
      </c>
      <c r="N77" s="25" t="s">
        <v>7445</v>
      </c>
      <c r="O77" s="26" t="s">
        <v>7722</v>
      </c>
      <c r="P77" s="26" t="n">
        <f aca="false">IF(A77=O77, 1, 0)</f>
        <v>0</v>
      </c>
    </row>
    <row r="78" customFormat="false" ht="13.8" hidden="false" customHeight="false" outlineLevel="0" collapsed="false">
      <c r="A78" s="26" t="n">
        <v>400967</v>
      </c>
      <c r="B78" s="26" t="n">
        <v>1910</v>
      </c>
      <c r="C78" s="26" t="s">
        <v>7723</v>
      </c>
      <c r="D78" s="26" t="n">
        <v>4620623</v>
      </c>
      <c r="E78" s="26" t="s">
        <v>7724</v>
      </c>
      <c r="F78" s="26" t="s">
        <v>32</v>
      </c>
      <c r="G78" s="26" t="n">
        <v>-0.1277583</v>
      </c>
      <c r="H78" s="26" t="n">
        <v>51.50735</v>
      </c>
      <c r="I78" s="26" t="s">
        <v>110</v>
      </c>
      <c r="J78" s="26" t="s">
        <v>7725</v>
      </c>
      <c r="K78" s="26" t="s">
        <v>340</v>
      </c>
      <c r="L78" s="26" t="s">
        <v>7396</v>
      </c>
      <c r="M78" s="26" t="s">
        <v>7488</v>
      </c>
      <c r="N78" s="26" t="s">
        <v>4900</v>
      </c>
      <c r="O78" s="26" t="s">
        <v>7726</v>
      </c>
      <c r="P78" s="26" t="n">
        <f aca="false">IF(A78=O78, 1, 0)</f>
        <v>0</v>
      </c>
    </row>
    <row r="79" customFormat="false" ht="13.8" hidden="false" customHeight="false" outlineLevel="0" collapsed="false">
      <c r="A79" s="26" t="n">
        <v>401596</v>
      </c>
      <c r="B79" s="26" t="n">
        <v>1910</v>
      </c>
      <c r="C79" s="26" t="s">
        <v>7727</v>
      </c>
      <c r="D79" s="26" t="n">
        <v>486381.3</v>
      </c>
      <c r="E79" s="26" t="s">
        <v>7728</v>
      </c>
      <c r="F79" s="26" t="s">
        <v>32</v>
      </c>
      <c r="G79" s="26" t="n">
        <v>-0.1277583</v>
      </c>
      <c r="H79" s="26" t="n">
        <v>51.50735</v>
      </c>
      <c r="I79" s="26" t="s">
        <v>882</v>
      </c>
      <c r="J79" s="26" t="s">
        <v>7729</v>
      </c>
      <c r="K79" s="26" t="s">
        <v>340</v>
      </c>
      <c r="L79" s="26" t="s">
        <v>7396</v>
      </c>
      <c r="M79" s="26" t="s">
        <v>1357</v>
      </c>
      <c r="N79" s="25" t="s">
        <v>7435</v>
      </c>
      <c r="O79" s="26" t="s">
        <v>7730</v>
      </c>
      <c r="P79" s="26" t="n">
        <f aca="false">IF(A79=O79, 1, 0)</f>
        <v>0</v>
      </c>
    </row>
    <row r="80" customFormat="false" ht="13.8" hidden="false" customHeight="false" outlineLevel="0" collapsed="false">
      <c r="A80" s="26" t="n">
        <v>404097</v>
      </c>
      <c r="B80" s="26" t="n">
        <v>1910</v>
      </c>
      <c r="C80" s="26" t="s">
        <v>7731</v>
      </c>
      <c r="D80" s="26" t="n">
        <v>1142996</v>
      </c>
      <c r="E80" s="26" t="s">
        <v>7732</v>
      </c>
      <c r="F80" s="26" t="s">
        <v>137</v>
      </c>
      <c r="G80" s="26" t="n">
        <v>28.04731</v>
      </c>
      <c r="H80" s="26" t="n">
        <v>-26.2041</v>
      </c>
      <c r="I80" s="26" t="s">
        <v>882</v>
      </c>
      <c r="J80" s="26" t="s">
        <v>7733</v>
      </c>
      <c r="K80" s="26" t="s">
        <v>7480</v>
      </c>
      <c r="L80" s="26" t="s">
        <v>7396</v>
      </c>
      <c r="M80" s="26" t="s">
        <v>1357</v>
      </c>
      <c r="N80" s="25" t="s">
        <v>7435</v>
      </c>
      <c r="O80" s="26" t="s">
        <v>7734</v>
      </c>
      <c r="P80" s="26" t="n">
        <f aca="false">IF(A80=O80, 1, 0)</f>
        <v>0</v>
      </c>
    </row>
    <row r="81" customFormat="false" ht="13.8" hidden="false" customHeight="false" outlineLevel="0" collapsed="false">
      <c r="A81" s="26" t="n">
        <v>404296</v>
      </c>
      <c r="B81" s="26" t="n">
        <v>1910</v>
      </c>
      <c r="C81" s="26" t="s">
        <v>7139</v>
      </c>
      <c r="D81" s="26" t="n">
        <v>972762.6</v>
      </c>
      <c r="E81" s="26" t="s">
        <v>7735</v>
      </c>
      <c r="F81" s="26" t="s">
        <v>413</v>
      </c>
      <c r="G81" s="26" t="n">
        <v>-97.21348</v>
      </c>
      <c r="H81" s="26" t="n">
        <v>32.82943</v>
      </c>
      <c r="I81" s="26" t="s">
        <v>882</v>
      </c>
      <c r="J81" s="26" t="s">
        <v>7736</v>
      </c>
      <c r="K81" s="26" t="s">
        <v>7430</v>
      </c>
      <c r="L81" s="26" t="s">
        <v>7396</v>
      </c>
      <c r="M81" s="26" t="s">
        <v>1357</v>
      </c>
      <c r="N81" s="25" t="s">
        <v>7435</v>
      </c>
      <c r="O81" s="26" t="s">
        <v>7737</v>
      </c>
      <c r="P81" s="26" t="n">
        <f aca="false">IF(A81=O81, 1, 0)</f>
        <v>0</v>
      </c>
    </row>
    <row r="82" customFormat="false" ht="13.8" hidden="false" customHeight="false" outlineLevel="0" collapsed="false">
      <c r="A82" s="26" t="n">
        <v>412323</v>
      </c>
      <c r="B82" s="26" t="n">
        <v>1910</v>
      </c>
      <c r="C82" s="26" t="s">
        <v>7738</v>
      </c>
      <c r="D82" s="26" t="n">
        <v>1653696</v>
      </c>
      <c r="E82" s="26" t="s">
        <v>7739</v>
      </c>
      <c r="F82" s="26" t="s">
        <v>32</v>
      </c>
      <c r="G82" s="26" t="n">
        <v>-0.1277583</v>
      </c>
      <c r="H82" s="26" t="n">
        <v>51.50735</v>
      </c>
      <c r="I82" s="26" t="s">
        <v>882</v>
      </c>
      <c r="J82" s="26" t="s">
        <v>7740</v>
      </c>
      <c r="K82" s="26" t="s">
        <v>340</v>
      </c>
      <c r="L82" s="26" t="s">
        <v>7396</v>
      </c>
      <c r="M82" s="26" t="s">
        <v>1357</v>
      </c>
      <c r="N82" s="25" t="s">
        <v>7435</v>
      </c>
      <c r="O82" s="26" t="s">
        <v>7741</v>
      </c>
      <c r="P82" s="26" t="n">
        <f aca="false">IF(A82=O82, 1, 0)</f>
        <v>0</v>
      </c>
    </row>
    <row r="83" customFormat="false" ht="13.8" hidden="false" customHeight="false" outlineLevel="0" collapsed="false">
      <c r="A83" s="26" t="n">
        <v>419592</v>
      </c>
      <c r="B83" s="26" t="n">
        <v>1910</v>
      </c>
      <c r="C83" s="26" t="s">
        <v>6856</v>
      </c>
      <c r="D83" s="26" t="n">
        <v>1215953</v>
      </c>
      <c r="E83" s="26" t="s">
        <v>7742</v>
      </c>
      <c r="F83" s="26" t="s">
        <v>137</v>
      </c>
      <c r="G83" s="26" t="n">
        <v>28.04731</v>
      </c>
      <c r="H83" s="26" t="n">
        <v>-26.2041</v>
      </c>
      <c r="I83" s="26" t="s">
        <v>214</v>
      </c>
      <c r="J83" s="26" t="s">
        <v>7743</v>
      </c>
      <c r="K83" s="26" t="s">
        <v>7480</v>
      </c>
      <c r="L83" s="26" t="s">
        <v>7396</v>
      </c>
      <c r="M83" s="26" t="s">
        <v>1357</v>
      </c>
      <c r="N83" s="25" t="s">
        <v>7435</v>
      </c>
      <c r="O83" s="26" t="s">
        <v>7744</v>
      </c>
      <c r="P83" s="26" t="n">
        <f aca="false">IF(A83=O83, 1, 0)</f>
        <v>0</v>
      </c>
    </row>
    <row r="84" customFormat="false" ht="13.8" hidden="false" customHeight="false" outlineLevel="0" collapsed="false">
      <c r="A84" s="26" t="n">
        <v>420051</v>
      </c>
      <c r="B84" s="26" t="n">
        <v>1910</v>
      </c>
      <c r="C84" s="26" t="s">
        <v>7745</v>
      </c>
      <c r="D84" s="26" t="n">
        <v>4863.813</v>
      </c>
      <c r="E84" s="26" t="s">
        <v>7746</v>
      </c>
      <c r="F84" s="26" t="s">
        <v>32</v>
      </c>
      <c r="G84" s="26" t="n">
        <v>-0.1277583</v>
      </c>
      <c r="H84" s="26" t="n">
        <v>51.50735</v>
      </c>
      <c r="I84" s="26" t="s">
        <v>1357</v>
      </c>
      <c r="J84" s="26" t="s">
        <v>7747</v>
      </c>
      <c r="K84" s="26" t="s">
        <v>340</v>
      </c>
      <c r="L84" s="26" t="s">
        <v>7396</v>
      </c>
      <c r="M84" s="26" t="s">
        <v>1357</v>
      </c>
      <c r="N84" s="25" t="s">
        <v>7435</v>
      </c>
      <c r="O84" s="26" t="s">
        <v>7748</v>
      </c>
      <c r="P84" s="26" t="n">
        <f aca="false">IF(A84=O84, 1, 0)</f>
        <v>0</v>
      </c>
    </row>
    <row r="85" customFormat="false" ht="13.8" hidden="false" customHeight="false" outlineLevel="0" collapsed="false">
      <c r="A85" s="26" t="n">
        <v>421747</v>
      </c>
      <c r="B85" s="26" t="n">
        <v>1910</v>
      </c>
      <c r="C85" s="26" t="s">
        <v>7749</v>
      </c>
      <c r="D85" s="26" t="n">
        <v>30642.02</v>
      </c>
      <c r="E85" s="26" t="s">
        <v>7750</v>
      </c>
      <c r="F85" s="26" t="s">
        <v>7751</v>
      </c>
      <c r="G85" s="26" t="n">
        <v>-116.5765</v>
      </c>
      <c r="H85" s="26" t="n">
        <v>53.93327</v>
      </c>
      <c r="I85" s="26" t="s">
        <v>110</v>
      </c>
      <c r="J85" s="26" t="s">
        <v>7752</v>
      </c>
      <c r="K85" s="26" t="s">
        <v>361</v>
      </c>
      <c r="L85" s="26" t="s">
        <v>7396</v>
      </c>
      <c r="M85" s="26" t="s">
        <v>1357</v>
      </c>
      <c r="N85" s="26" t="s">
        <v>7396</v>
      </c>
      <c r="O85" s="26" t="n">
        <v>735959</v>
      </c>
      <c r="P85" s="26" t="n">
        <f aca="false">IF(A85=O85, 1, 0)</f>
        <v>0</v>
      </c>
    </row>
    <row r="86" customFormat="false" ht="13.8" hidden="false" customHeight="false" outlineLevel="0" collapsed="false">
      <c r="A86" s="26" t="n">
        <v>424124</v>
      </c>
      <c r="B86" s="26" t="n">
        <v>1910</v>
      </c>
      <c r="C86" s="26" t="s">
        <v>7753</v>
      </c>
      <c r="D86" s="26" t="n">
        <v>1408818</v>
      </c>
      <c r="E86" s="26" t="s">
        <v>7754</v>
      </c>
      <c r="F86" s="26" t="s">
        <v>782</v>
      </c>
      <c r="G86" s="26" t="n">
        <v>-76.2177</v>
      </c>
      <c r="H86" s="26" t="n">
        <v>43.10646</v>
      </c>
      <c r="I86" s="26" t="s">
        <v>1357</v>
      </c>
      <c r="J86" s="26" t="s">
        <v>7755</v>
      </c>
      <c r="K86" s="26" t="s">
        <v>7430</v>
      </c>
      <c r="L86" s="26" t="s">
        <v>7396</v>
      </c>
      <c r="M86" s="26" t="s">
        <v>1357</v>
      </c>
      <c r="N86" s="25" t="s">
        <v>7435</v>
      </c>
      <c r="O86" s="26" t="s">
        <v>7756</v>
      </c>
      <c r="P86" s="26" t="n">
        <f aca="false">IF(A86=O86, 1, 0)</f>
        <v>0</v>
      </c>
    </row>
    <row r="87" customFormat="false" ht="13.8" hidden="false" customHeight="false" outlineLevel="0" collapsed="false">
      <c r="A87" s="26" t="n">
        <v>427156</v>
      </c>
      <c r="B87" s="26" t="n">
        <v>1910</v>
      </c>
      <c r="C87" s="26" t="s">
        <v>7757</v>
      </c>
      <c r="D87" s="26" t="n">
        <v>680933.9</v>
      </c>
      <c r="E87" s="26" t="s">
        <v>7758</v>
      </c>
      <c r="F87" s="26" t="s">
        <v>985</v>
      </c>
      <c r="G87" s="26" t="n">
        <v>2.352222</v>
      </c>
      <c r="H87" s="26" t="n">
        <v>48.85661</v>
      </c>
      <c r="I87" s="26" t="s">
        <v>1357</v>
      </c>
      <c r="J87" s="26" t="s">
        <v>7759</v>
      </c>
      <c r="K87" s="26" t="s">
        <v>264</v>
      </c>
      <c r="L87" s="26" t="s">
        <v>7396</v>
      </c>
      <c r="M87" s="26" t="s">
        <v>1357</v>
      </c>
      <c r="N87" s="25" t="s">
        <v>7435</v>
      </c>
      <c r="O87" s="26" t="s">
        <v>7760</v>
      </c>
      <c r="P87" s="26" t="n">
        <f aca="false">IF(A87=O87, 1, 0)</f>
        <v>0</v>
      </c>
    </row>
    <row r="88" customFormat="false" ht="13.8" hidden="false" customHeight="false" outlineLevel="0" collapsed="false">
      <c r="A88" s="26" t="n">
        <v>427983</v>
      </c>
      <c r="B88" s="26" t="n">
        <v>1910</v>
      </c>
      <c r="C88" s="26" t="s">
        <v>7761</v>
      </c>
      <c r="D88" s="26" t="n">
        <v>729572</v>
      </c>
      <c r="E88" s="26" t="s">
        <v>7762</v>
      </c>
      <c r="F88" s="26" t="s">
        <v>92</v>
      </c>
      <c r="G88" s="26" t="n">
        <v>-63.58865</v>
      </c>
      <c r="H88" s="26" t="n">
        <v>-16.29015</v>
      </c>
      <c r="I88" s="26" t="s">
        <v>882</v>
      </c>
      <c r="J88" s="26" t="s">
        <v>7763</v>
      </c>
      <c r="K88" s="26" t="s">
        <v>92</v>
      </c>
      <c r="L88" s="26" t="s">
        <v>7396</v>
      </c>
      <c r="M88" s="26" t="s">
        <v>1357</v>
      </c>
      <c r="N88" s="25" t="s">
        <v>7435</v>
      </c>
      <c r="O88" s="26" t="s">
        <v>7764</v>
      </c>
      <c r="P88" s="26" t="n">
        <f aca="false">IF(A88=O88, 1, 0)</f>
        <v>0</v>
      </c>
    </row>
    <row r="89" customFormat="false" ht="13.8" hidden="false" customHeight="false" outlineLevel="0" collapsed="false">
      <c r="A89" s="26" t="n">
        <v>429446</v>
      </c>
      <c r="B89" s="26" t="n">
        <v>1910</v>
      </c>
      <c r="C89" s="26" t="s">
        <v>7765</v>
      </c>
      <c r="D89" s="26" t="n">
        <v>1337549</v>
      </c>
      <c r="E89" s="26" t="s">
        <v>7766</v>
      </c>
      <c r="F89" s="26" t="s">
        <v>7767</v>
      </c>
      <c r="G89" s="26" t="n">
        <v>-1.158109</v>
      </c>
      <c r="H89" s="26" t="n">
        <v>52.95478</v>
      </c>
      <c r="I89" s="26" t="s">
        <v>110</v>
      </c>
      <c r="J89" s="26" t="s">
        <v>7768</v>
      </c>
      <c r="K89" s="26" t="s">
        <v>340</v>
      </c>
      <c r="L89" s="26" t="s">
        <v>7396</v>
      </c>
      <c r="M89" s="26" t="s">
        <v>7488</v>
      </c>
      <c r="N89" s="26" t="s">
        <v>4900</v>
      </c>
      <c r="O89" s="26" t="s">
        <v>7769</v>
      </c>
      <c r="P89" s="26" t="n">
        <f aca="false">IF(A89=O89, 1, 0)</f>
        <v>0</v>
      </c>
    </row>
    <row r="90" customFormat="false" ht="13.8" hidden="false" customHeight="false" outlineLevel="0" collapsed="false">
      <c r="A90" s="26" t="n">
        <v>433272</v>
      </c>
      <c r="B90" s="26" t="n">
        <v>1910</v>
      </c>
      <c r="C90" s="26" t="s">
        <v>7770</v>
      </c>
      <c r="D90" s="26" t="n">
        <v>48638.13</v>
      </c>
      <c r="E90" s="26" t="s">
        <v>7771</v>
      </c>
      <c r="F90" s="26" t="s">
        <v>1260</v>
      </c>
      <c r="G90" s="26" t="n">
        <v>-97.14307</v>
      </c>
      <c r="H90" s="26" t="n">
        <v>32.84402</v>
      </c>
      <c r="I90" s="26" t="s">
        <v>882</v>
      </c>
      <c r="J90" s="26" t="s">
        <v>7772</v>
      </c>
      <c r="K90" s="26" t="s">
        <v>7430</v>
      </c>
      <c r="L90" s="26" t="s">
        <v>7396</v>
      </c>
      <c r="M90" s="26" t="s">
        <v>7657</v>
      </c>
      <c r="N90" s="26" t="s">
        <v>4306</v>
      </c>
      <c r="O90" s="26" t="s">
        <v>7773</v>
      </c>
      <c r="P90" s="26" t="n">
        <f aca="false">IF(A90=O90, 1, 0)</f>
        <v>0</v>
      </c>
    </row>
    <row r="91" customFormat="false" ht="13.8" hidden="false" customHeight="false" outlineLevel="0" collapsed="false">
      <c r="A91" s="26" t="n">
        <v>442647</v>
      </c>
      <c r="B91" s="26" t="n">
        <v>1910</v>
      </c>
      <c r="C91" s="26" t="s">
        <v>7774</v>
      </c>
      <c r="D91" s="26" t="n">
        <v>588.5214</v>
      </c>
      <c r="E91" s="26" t="s">
        <v>7775</v>
      </c>
      <c r="F91" s="26" t="s">
        <v>864</v>
      </c>
      <c r="G91" s="26" t="n">
        <v>-95.92508</v>
      </c>
      <c r="H91" s="26" t="n">
        <v>36.03332</v>
      </c>
      <c r="I91" s="26" t="s">
        <v>110</v>
      </c>
      <c r="J91" s="26" t="s">
        <v>7776</v>
      </c>
      <c r="K91" s="26" t="s">
        <v>7430</v>
      </c>
      <c r="L91" s="26" t="s">
        <v>7396</v>
      </c>
      <c r="M91" s="26" t="s">
        <v>7488</v>
      </c>
      <c r="N91" s="26" t="s">
        <v>4306</v>
      </c>
      <c r="O91" s="26" t="s">
        <v>7777</v>
      </c>
      <c r="P91" s="26" t="n">
        <f aca="false">IF(A91=O91, 1, 0)</f>
        <v>0</v>
      </c>
    </row>
    <row r="92" customFormat="false" ht="13.8" hidden="false" customHeight="false" outlineLevel="0" collapsed="false">
      <c r="A92" s="26" t="n">
        <v>446920</v>
      </c>
      <c r="B92" s="26" t="n">
        <v>1910</v>
      </c>
      <c r="C92" s="26" t="s">
        <v>7778</v>
      </c>
      <c r="D92" s="26" t="n">
        <v>985408.6</v>
      </c>
      <c r="E92" s="26" t="s">
        <v>7779</v>
      </c>
      <c r="F92" s="26" t="s">
        <v>32</v>
      </c>
      <c r="G92" s="26" t="n">
        <v>-0.1277583</v>
      </c>
      <c r="H92" s="26" t="n">
        <v>51.50735</v>
      </c>
      <c r="I92" s="26" t="s">
        <v>214</v>
      </c>
      <c r="J92" s="26" t="s">
        <v>7780</v>
      </c>
      <c r="K92" s="26" t="s">
        <v>340</v>
      </c>
      <c r="L92" s="26" t="s">
        <v>7396</v>
      </c>
      <c r="M92" s="26" t="s">
        <v>1357</v>
      </c>
      <c r="N92" s="25" t="s">
        <v>7435</v>
      </c>
      <c r="O92" s="26" t="s">
        <v>7781</v>
      </c>
      <c r="P92" s="26" t="n">
        <f aca="false">IF(A92=O92, 1, 0)</f>
        <v>0</v>
      </c>
    </row>
    <row r="93" customFormat="false" ht="13.8" hidden="false" customHeight="false" outlineLevel="0" collapsed="false">
      <c r="A93" s="26" t="n">
        <v>449029</v>
      </c>
      <c r="B93" s="26" t="n">
        <v>1910</v>
      </c>
      <c r="C93" s="26" t="s">
        <v>7782</v>
      </c>
      <c r="D93" s="26" t="n">
        <v>243190.7</v>
      </c>
      <c r="E93" s="26" t="s">
        <v>7783</v>
      </c>
      <c r="F93" s="26" t="s">
        <v>160</v>
      </c>
      <c r="G93" s="26" t="n">
        <v>-2.926231</v>
      </c>
      <c r="H93" s="26" t="n">
        <v>51.1051</v>
      </c>
      <c r="I93" s="26" t="s">
        <v>110</v>
      </c>
      <c r="J93" s="26" t="s">
        <v>7784</v>
      </c>
      <c r="K93" s="26" t="s">
        <v>340</v>
      </c>
      <c r="L93" s="26" t="s">
        <v>7396</v>
      </c>
      <c r="M93" s="26" t="s">
        <v>152</v>
      </c>
      <c r="N93" s="25" t="s">
        <v>7445</v>
      </c>
      <c r="O93" s="26" t="s">
        <v>7785</v>
      </c>
      <c r="P93" s="26" t="n">
        <f aca="false">IF(A93=O93, 1, 0)</f>
        <v>0</v>
      </c>
    </row>
    <row r="94" customFormat="false" ht="13.8" hidden="false" customHeight="false" outlineLevel="0" collapsed="false">
      <c r="A94" s="26" t="n">
        <v>463401</v>
      </c>
      <c r="B94" s="26" t="n">
        <v>1911</v>
      </c>
      <c r="C94" s="26" t="s">
        <v>6716</v>
      </c>
      <c r="D94" s="26" t="n">
        <v>486144.9</v>
      </c>
      <c r="E94" s="26" t="s">
        <v>7786</v>
      </c>
      <c r="F94" s="26" t="s">
        <v>32</v>
      </c>
      <c r="G94" s="26" t="n">
        <v>-0.1277583</v>
      </c>
      <c r="H94" s="26" t="n">
        <v>51.5073509</v>
      </c>
      <c r="I94" s="26" t="s">
        <v>882</v>
      </c>
      <c r="J94" s="26" t="s">
        <v>7787</v>
      </c>
      <c r="K94" s="26" t="s">
        <v>340</v>
      </c>
      <c r="L94" s="26" t="s">
        <v>7396</v>
      </c>
      <c r="M94" s="26" t="s">
        <v>1357</v>
      </c>
      <c r="N94" s="25" t="s">
        <v>7435</v>
      </c>
      <c r="O94" s="26" t="s">
        <v>7788</v>
      </c>
      <c r="P94" s="26" t="n">
        <f aca="false">IF(A94=O94, 1, 0)</f>
        <v>0</v>
      </c>
    </row>
    <row r="95" customFormat="false" ht="13.8" hidden="false" customHeight="false" outlineLevel="0" collapsed="false">
      <c r="A95" s="26" t="n">
        <v>463820</v>
      </c>
      <c r="B95" s="26" t="n">
        <v>1911</v>
      </c>
      <c r="C95" s="26" t="s">
        <v>7130</v>
      </c>
      <c r="D95" s="26" t="n">
        <v>1215362</v>
      </c>
      <c r="E95" s="26" t="s">
        <v>7789</v>
      </c>
      <c r="F95" s="26" t="s">
        <v>706</v>
      </c>
      <c r="G95" s="26" t="n">
        <v>-71.542969</v>
      </c>
      <c r="H95" s="26" t="n">
        <v>-35.675147</v>
      </c>
      <c r="I95" s="26" t="s">
        <v>882</v>
      </c>
      <c r="J95" s="26" t="s">
        <v>7790</v>
      </c>
      <c r="K95" s="26" t="s">
        <v>1303</v>
      </c>
      <c r="L95" s="26" t="s">
        <v>7396</v>
      </c>
      <c r="M95" s="26" t="s">
        <v>1357</v>
      </c>
      <c r="N95" s="25" t="s">
        <v>7435</v>
      </c>
      <c r="O95" s="26" t="s">
        <v>7791</v>
      </c>
      <c r="P95" s="26" t="n">
        <f aca="false">IF(A95=O95, 1, 0)</f>
        <v>0</v>
      </c>
    </row>
    <row r="96" customFormat="false" ht="13.8" hidden="false" customHeight="false" outlineLevel="0" collapsed="false">
      <c r="A96" s="26" t="n">
        <v>465599</v>
      </c>
      <c r="B96" s="26" t="n">
        <v>1911</v>
      </c>
      <c r="C96" s="26" t="s">
        <v>7792</v>
      </c>
      <c r="D96" s="26" t="n">
        <v>2430.724</v>
      </c>
      <c r="E96" s="26" t="s">
        <v>7793</v>
      </c>
      <c r="F96" s="26" t="s">
        <v>52</v>
      </c>
      <c r="G96" s="26" t="n">
        <v>-121.9510491</v>
      </c>
      <c r="H96" s="26" t="n">
        <v>37.3183318</v>
      </c>
      <c r="I96" s="26" t="s">
        <v>882</v>
      </c>
      <c r="J96" s="26" t="s">
        <v>7794</v>
      </c>
      <c r="K96" s="26" t="s">
        <v>7430</v>
      </c>
      <c r="L96" s="26" t="s">
        <v>7396</v>
      </c>
      <c r="M96" s="26" t="s">
        <v>1357</v>
      </c>
      <c r="N96" s="25" t="s">
        <v>7435</v>
      </c>
      <c r="O96" s="26" t="s">
        <v>7795</v>
      </c>
      <c r="P96" s="26" t="n">
        <f aca="false">IF(A96=O96, 1, 0)</f>
        <v>0</v>
      </c>
    </row>
    <row r="97" customFormat="false" ht="13.8" hidden="false" customHeight="false" outlineLevel="0" collapsed="false">
      <c r="A97" s="26" t="n">
        <v>465941</v>
      </c>
      <c r="B97" s="26" t="n">
        <v>1911</v>
      </c>
      <c r="C97" s="26" t="s">
        <v>7796</v>
      </c>
      <c r="D97" s="26" t="n">
        <v>972289.7</v>
      </c>
      <c r="E97" s="26" t="s">
        <v>7797</v>
      </c>
      <c r="F97" s="26" t="s">
        <v>4900</v>
      </c>
      <c r="G97" s="26" t="n">
        <v>-71.8022934</v>
      </c>
      <c r="H97" s="26" t="n">
        <v>42.2625932</v>
      </c>
      <c r="I97" s="26" t="s">
        <v>110</v>
      </c>
      <c r="J97" s="26" t="s">
        <v>7798</v>
      </c>
      <c r="K97" s="26" t="s">
        <v>7430</v>
      </c>
      <c r="L97" s="26" t="s">
        <v>7396</v>
      </c>
      <c r="M97" s="26" t="s">
        <v>1357</v>
      </c>
      <c r="N97" s="25" t="s">
        <v>7435</v>
      </c>
      <c r="O97" s="26" t="s">
        <v>7799</v>
      </c>
      <c r="P97" s="26" t="n">
        <f aca="false">IF(A97=O97, 1, 0)</f>
        <v>0</v>
      </c>
    </row>
    <row r="98" customFormat="false" ht="13.8" hidden="false" customHeight="false" outlineLevel="0" collapsed="false">
      <c r="A98" s="26" t="n">
        <v>485403</v>
      </c>
      <c r="B98" s="26" t="n">
        <v>1911</v>
      </c>
      <c r="C98" s="26" t="s">
        <v>7800</v>
      </c>
      <c r="D98" s="26" t="n">
        <v>24307.24</v>
      </c>
      <c r="E98" s="26" t="s">
        <v>7801</v>
      </c>
      <c r="F98" s="26" t="s">
        <v>264</v>
      </c>
      <c r="G98" s="26" t="n">
        <v>2.213749</v>
      </c>
      <c r="H98" s="26" t="n">
        <v>46.227638</v>
      </c>
      <c r="I98" s="26" t="s">
        <v>110</v>
      </c>
      <c r="J98" s="26" t="s">
        <v>7802</v>
      </c>
      <c r="K98" s="26" t="s">
        <v>264</v>
      </c>
      <c r="L98" s="26" t="s">
        <v>7396</v>
      </c>
      <c r="M98" s="26" t="s">
        <v>1357</v>
      </c>
      <c r="N98" s="25" t="s">
        <v>7396</v>
      </c>
      <c r="O98" s="26" t="n">
        <v>319031</v>
      </c>
      <c r="P98" s="26" t="n">
        <f aca="false">IF(A98=O98, 1, 0)</f>
        <v>0</v>
      </c>
    </row>
    <row r="99" customFormat="false" ht="13.8" hidden="false" customHeight="false" outlineLevel="0" collapsed="false">
      <c r="A99" s="26" t="n">
        <v>486607</v>
      </c>
      <c r="B99" s="26" t="n">
        <v>1911</v>
      </c>
      <c r="C99" s="26" t="s">
        <v>7803</v>
      </c>
      <c r="D99" s="26" t="n">
        <v>729217.3</v>
      </c>
      <c r="E99" s="26" t="s">
        <v>7804</v>
      </c>
      <c r="F99" s="26" t="s">
        <v>582</v>
      </c>
      <c r="G99" s="26" t="n">
        <v>-3.17909</v>
      </c>
      <c r="H99" s="26" t="n">
        <v>51.481581</v>
      </c>
      <c r="I99" s="26" t="s">
        <v>110</v>
      </c>
      <c r="J99" s="26" t="s">
        <v>7805</v>
      </c>
      <c r="K99" s="26" t="s">
        <v>340</v>
      </c>
      <c r="L99" s="26" t="s">
        <v>7396</v>
      </c>
      <c r="M99" s="26" t="s">
        <v>4428</v>
      </c>
      <c r="N99" s="25" t="s">
        <v>7445</v>
      </c>
      <c r="O99" s="26" t="s">
        <v>7806</v>
      </c>
      <c r="P99" s="26" t="n">
        <f aca="false">IF(A99=O99, 1, 0)</f>
        <v>0</v>
      </c>
    </row>
    <row r="100" customFormat="false" ht="13.8" hidden="false" customHeight="false" outlineLevel="0" collapsed="false">
      <c r="A100" s="26" t="n">
        <v>489085</v>
      </c>
      <c r="B100" s="26" t="n">
        <v>1911</v>
      </c>
      <c r="C100" s="26" t="s">
        <v>7807</v>
      </c>
      <c r="D100" s="28" t="n">
        <v>5000000</v>
      </c>
      <c r="E100" s="26" t="s">
        <v>7808</v>
      </c>
      <c r="F100" s="26" t="s">
        <v>586</v>
      </c>
      <c r="G100" s="26" t="n">
        <v>-85.323214</v>
      </c>
      <c r="H100" s="26" t="n">
        <v>51.253775</v>
      </c>
      <c r="I100" s="26" t="s">
        <v>882</v>
      </c>
      <c r="J100" s="26" t="s">
        <v>7809</v>
      </c>
      <c r="K100" s="26" t="s">
        <v>361</v>
      </c>
      <c r="L100" s="26" t="s">
        <v>7396</v>
      </c>
      <c r="M100" s="26" t="s">
        <v>1357</v>
      </c>
      <c r="N100" s="25" t="s">
        <v>7435</v>
      </c>
      <c r="O100" s="26" t="s">
        <v>7810</v>
      </c>
      <c r="P100" s="26" t="n">
        <f aca="false">IF(A100=O100, 1, 0)</f>
        <v>0</v>
      </c>
    </row>
    <row r="101" customFormat="false" ht="13.8" hidden="false" customHeight="false" outlineLevel="0" collapsed="false">
      <c r="A101" s="26" t="n">
        <v>490913</v>
      </c>
      <c r="B101" s="26" t="n">
        <v>1911</v>
      </c>
      <c r="C101" s="26" t="s">
        <v>7339</v>
      </c>
      <c r="D101" s="26" t="n">
        <v>1215362</v>
      </c>
      <c r="E101" s="26" t="s">
        <v>7811</v>
      </c>
      <c r="F101" s="26" t="s">
        <v>578</v>
      </c>
      <c r="G101" s="26" t="n">
        <v>-97.7430608</v>
      </c>
      <c r="H101" s="26" t="n">
        <v>30.267153</v>
      </c>
      <c r="I101" s="26" t="s">
        <v>1357</v>
      </c>
      <c r="J101" s="26" t="s">
        <v>7812</v>
      </c>
      <c r="K101" s="26" t="s">
        <v>7430</v>
      </c>
      <c r="L101" s="26" t="s">
        <v>7396</v>
      </c>
      <c r="M101" s="26" t="s">
        <v>1357</v>
      </c>
      <c r="N101" s="25" t="s">
        <v>7396</v>
      </c>
      <c r="O101" s="26" t="n">
        <v>371863</v>
      </c>
      <c r="P101" s="26" t="n">
        <f aca="false">IF(A101=O101, 1, 0)</f>
        <v>0</v>
      </c>
    </row>
    <row r="102" customFormat="false" ht="13.8" hidden="false" customHeight="false" outlineLevel="0" collapsed="false">
      <c r="A102" s="26" t="n">
        <v>492121</v>
      </c>
      <c r="B102" s="26" t="n">
        <v>1911</v>
      </c>
      <c r="C102" s="26" t="s">
        <v>7813</v>
      </c>
      <c r="D102" s="26" t="n">
        <v>291686.9</v>
      </c>
      <c r="E102" s="26" t="s">
        <v>7814</v>
      </c>
      <c r="F102" s="26" t="s">
        <v>475</v>
      </c>
      <c r="G102" s="26" t="n">
        <v>-2.0571868</v>
      </c>
      <c r="H102" s="26" t="n">
        <v>52.8792745</v>
      </c>
      <c r="I102" s="26" t="s">
        <v>110</v>
      </c>
      <c r="J102" s="26" t="s">
        <v>7815</v>
      </c>
      <c r="K102" s="26" t="s">
        <v>340</v>
      </c>
      <c r="L102" s="26" t="s">
        <v>7396</v>
      </c>
      <c r="M102" s="26" t="s">
        <v>1357</v>
      </c>
      <c r="N102" s="25" t="s">
        <v>7435</v>
      </c>
      <c r="O102" s="26" t="s">
        <v>7816</v>
      </c>
      <c r="P102" s="26" t="n">
        <f aca="false">IF(A102=O102, 1, 0)</f>
        <v>0</v>
      </c>
    </row>
    <row r="103" customFormat="false" ht="13.8" hidden="false" customHeight="false" outlineLevel="0" collapsed="false">
      <c r="A103" s="26" t="n">
        <v>492560</v>
      </c>
      <c r="B103" s="26" t="n">
        <v>1911</v>
      </c>
      <c r="C103" s="26" t="s">
        <v>7817</v>
      </c>
      <c r="D103" s="26" t="n">
        <v>729217.3</v>
      </c>
      <c r="E103" s="26" t="s">
        <v>7818</v>
      </c>
      <c r="F103" s="26" t="s">
        <v>7573</v>
      </c>
      <c r="G103" s="26" t="n">
        <v>-2.081112</v>
      </c>
      <c r="H103" s="26" t="n">
        <v>52.512255</v>
      </c>
      <c r="I103" s="26" t="s">
        <v>110</v>
      </c>
      <c r="J103" s="26" t="s">
        <v>7819</v>
      </c>
      <c r="K103" s="26" t="s">
        <v>340</v>
      </c>
      <c r="L103" s="26" t="s">
        <v>7396</v>
      </c>
      <c r="M103" s="26" t="s">
        <v>7488</v>
      </c>
      <c r="N103" s="26" t="s">
        <v>4306</v>
      </c>
      <c r="O103" s="26" t="s">
        <v>7820</v>
      </c>
      <c r="P103" s="26" t="n">
        <f aca="false">IF(A103=O103, 1, 0)</f>
        <v>0</v>
      </c>
    </row>
    <row r="104" customFormat="false" ht="13.8" hidden="false" customHeight="false" outlineLevel="0" collapsed="false">
      <c r="A104" s="26" t="n">
        <v>494735</v>
      </c>
      <c r="B104" s="26" t="n">
        <v>1911</v>
      </c>
      <c r="C104" s="26" t="s">
        <v>7821</v>
      </c>
      <c r="D104" s="26" t="n">
        <v>486144.9</v>
      </c>
      <c r="E104" s="26" t="s">
        <v>7822</v>
      </c>
      <c r="F104" s="26" t="s">
        <v>578</v>
      </c>
      <c r="G104" s="26" t="n">
        <v>-97.7430608</v>
      </c>
      <c r="H104" s="26" t="n">
        <v>30.267153</v>
      </c>
      <c r="I104" s="26" t="s">
        <v>882</v>
      </c>
      <c r="J104" s="26" t="s">
        <v>7823</v>
      </c>
      <c r="K104" s="26" t="s">
        <v>7430</v>
      </c>
      <c r="L104" s="26" t="s">
        <v>7396</v>
      </c>
      <c r="M104" s="26" t="s">
        <v>1357</v>
      </c>
      <c r="N104" s="25" t="s">
        <v>7435</v>
      </c>
      <c r="O104" s="26" t="s">
        <v>7824</v>
      </c>
      <c r="P104" s="26" t="n">
        <f aca="false">IF(A104=O104, 1, 0)</f>
        <v>0</v>
      </c>
    </row>
    <row r="105" customFormat="false" ht="13.8" hidden="false" customHeight="false" outlineLevel="0" collapsed="false">
      <c r="A105" s="26" t="n">
        <v>496554</v>
      </c>
      <c r="B105" s="26" t="n">
        <v>1911</v>
      </c>
      <c r="C105" s="26" t="s">
        <v>7825</v>
      </c>
      <c r="D105" s="26" t="n">
        <v>24330.9</v>
      </c>
      <c r="E105" s="26" t="s">
        <v>7826</v>
      </c>
      <c r="F105" s="26" t="s">
        <v>7827</v>
      </c>
      <c r="G105" s="26" t="n">
        <v>-0.1887443</v>
      </c>
      <c r="H105" s="26" t="n">
        <v>51.6096508</v>
      </c>
      <c r="I105" s="26" t="s">
        <v>110</v>
      </c>
      <c r="J105" s="26" t="s">
        <v>7454</v>
      </c>
      <c r="K105" s="26" t="s">
        <v>340</v>
      </c>
      <c r="L105" s="26" t="s">
        <v>7396</v>
      </c>
      <c r="M105" s="26" t="s">
        <v>152</v>
      </c>
      <c r="N105" s="25" t="s">
        <v>7445</v>
      </c>
      <c r="O105" s="26" t="s">
        <v>7455</v>
      </c>
      <c r="P105" s="26" t="n">
        <f aca="false">IF(A105=O105, 1, 0)</f>
        <v>0</v>
      </c>
    </row>
    <row r="106" customFormat="false" ht="13.8" hidden="false" customHeight="false" outlineLevel="0" collapsed="false">
      <c r="A106" s="26" t="n">
        <v>496841</v>
      </c>
      <c r="B106" s="26" t="n">
        <v>1911</v>
      </c>
      <c r="C106" s="26" t="s">
        <v>7828</v>
      </c>
      <c r="D106" s="26" t="n">
        <v>2187652</v>
      </c>
      <c r="E106" s="26" t="s">
        <v>7829</v>
      </c>
      <c r="F106" s="26" t="s">
        <v>582</v>
      </c>
      <c r="G106" s="26" t="n">
        <v>-3.17909</v>
      </c>
      <c r="H106" s="26" t="n">
        <v>51.481581</v>
      </c>
      <c r="I106" s="26" t="s">
        <v>110</v>
      </c>
      <c r="J106" s="26" t="s">
        <v>7830</v>
      </c>
      <c r="K106" s="26" t="s">
        <v>340</v>
      </c>
      <c r="L106" s="26" t="s">
        <v>7396</v>
      </c>
      <c r="M106" s="26" t="s">
        <v>152</v>
      </c>
      <c r="N106" s="25" t="s">
        <v>7445</v>
      </c>
      <c r="O106" s="26" t="s">
        <v>7831</v>
      </c>
      <c r="P106" s="26" t="n">
        <f aca="false">IF(A106=O106, 1, 0)</f>
        <v>0</v>
      </c>
    </row>
    <row r="107" customFormat="false" ht="13.8" hidden="false" customHeight="false" outlineLevel="0" collapsed="false">
      <c r="A107" s="26" t="n">
        <v>499137</v>
      </c>
      <c r="B107" s="26" t="n">
        <v>1911</v>
      </c>
      <c r="C107" s="26" t="s">
        <v>7832</v>
      </c>
      <c r="D107" s="26" t="n">
        <v>1215362</v>
      </c>
      <c r="E107" s="26" t="s">
        <v>7833</v>
      </c>
      <c r="F107" s="26" t="s">
        <v>1129</v>
      </c>
      <c r="G107" s="26" t="n">
        <v>-122.4194155</v>
      </c>
      <c r="H107" s="26" t="n">
        <v>37.7749295</v>
      </c>
      <c r="I107" s="26" t="s">
        <v>110</v>
      </c>
      <c r="J107" s="26" t="s">
        <v>7834</v>
      </c>
      <c r="K107" s="26" t="s">
        <v>7430</v>
      </c>
      <c r="L107" s="26" t="s">
        <v>7396</v>
      </c>
      <c r="M107" s="26" t="s">
        <v>152</v>
      </c>
      <c r="N107" s="25" t="s">
        <v>7445</v>
      </c>
      <c r="O107" s="26" t="s">
        <v>7835</v>
      </c>
      <c r="P107" s="26" t="n">
        <f aca="false">IF(A107=O107, 1, 0)</f>
        <v>0</v>
      </c>
    </row>
    <row r="108" customFormat="false" ht="13.8" hidden="false" customHeight="false" outlineLevel="0" collapsed="false">
      <c r="A108" s="26" t="n">
        <v>499730</v>
      </c>
      <c r="B108" s="26" t="n">
        <v>1911</v>
      </c>
      <c r="C108" s="26" t="s">
        <v>7836</v>
      </c>
      <c r="D108" s="26" t="n">
        <v>126397.7</v>
      </c>
      <c r="E108" s="26" t="s">
        <v>7837</v>
      </c>
      <c r="F108" s="26" t="s">
        <v>32</v>
      </c>
      <c r="G108" s="26" t="n">
        <v>-0.1277583</v>
      </c>
      <c r="H108" s="26" t="n">
        <v>51.5073509</v>
      </c>
      <c r="I108" s="26" t="s">
        <v>882</v>
      </c>
      <c r="J108" s="26" t="s">
        <v>7838</v>
      </c>
      <c r="K108" s="26" t="s">
        <v>340</v>
      </c>
      <c r="L108" s="26" t="s">
        <v>7396</v>
      </c>
      <c r="M108" s="26" t="s">
        <v>1357</v>
      </c>
      <c r="N108" s="25" t="s">
        <v>7435</v>
      </c>
      <c r="O108" s="26" t="s">
        <v>7839</v>
      </c>
      <c r="P108" s="26" t="n">
        <f aca="false">IF(A108=O108, 1, 0)</f>
        <v>0</v>
      </c>
    </row>
    <row r="109" customFormat="false" ht="13.8" hidden="false" customHeight="false" outlineLevel="0" collapsed="false">
      <c r="A109" s="26" t="n">
        <v>503267</v>
      </c>
      <c r="B109" s="26" t="n">
        <v>1911</v>
      </c>
      <c r="C109" s="26" t="s">
        <v>7840</v>
      </c>
      <c r="D109" s="26" t="n">
        <v>486144.9</v>
      </c>
      <c r="E109" s="26" t="s">
        <v>7841</v>
      </c>
      <c r="F109" s="26" t="s">
        <v>32</v>
      </c>
      <c r="G109" s="26" t="n">
        <v>-0.1277583</v>
      </c>
      <c r="H109" s="26" t="n">
        <v>51.5073509</v>
      </c>
      <c r="I109" s="26" t="s">
        <v>882</v>
      </c>
      <c r="J109" s="26" t="s">
        <v>7842</v>
      </c>
      <c r="K109" s="26" t="s">
        <v>340</v>
      </c>
      <c r="L109" s="26" t="s">
        <v>7396</v>
      </c>
      <c r="M109" s="26" t="s">
        <v>1357</v>
      </c>
      <c r="N109" s="25" t="s">
        <v>7435</v>
      </c>
      <c r="O109" s="26" t="s">
        <v>7843</v>
      </c>
      <c r="P109" s="26" t="n">
        <f aca="false">IF(A109=O109, 1, 0)</f>
        <v>0</v>
      </c>
    </row>
    <row r="110" customFormat="false" ht="13.8" hidden="false" customHeight="false" outlineLevel="0" collapsed="false">
      <c r="A110" s="26" t="n">
        <v>503296</v>
      </c>
      <c r="B110" s="26" t="n">
        <v>1911</v>
      </c>
      <c r="C110" s="26" t="s">
        <v>7844</v>
      </c>
      <c r="D110" s="26" t="n">
        <v>583373.8</v>
      </c>
      <c r="E110" s="26" t="s">
        <v>7845</v>
      </c>
      <c r="F110" s="26" t="s">
        <v>32</v>
      </c>
      <c r="G110" s="26" t="n">
        <v>-0.1277583</v>
      </c>
      <c r="H110" s="26" t="n">
        <v>51.5073509</v>
      </c>
      <c r="I110" s="26" t="s">
        <v>882</v>
      </c>
      <c r="J110" s="26" t="s">
        <v>7842</v>
      </c>
      <c r="K110" s="26" t="s">
        <v>340</v>
      </c>
      <c r="L110" s="26" t="s">
        <v>7396</v>
      </c>
      <c r="M110" s="26" t="s">
        <v>1357</v>
      </c>
      <c r="N110" s="25" t="s">
        <v>7435</v>
      </c>
      <c r="O110" s="26" t="s">
        <v>7843</v>
      </c>
      <c r="P110" s="26" t="n">
        <f aca="false">IF(A110=O110, 1, 0)</f>
        <v>0</v>
      </c>
    </row>
    <row r="111" customFormat="false" ht="13.8" hidden="false" customHeight="false" outlineLevel="0" collapsed="false">
      <c r="A111" s="26" t="n">
        <v>508538</v>
      </c>
      <c r="B111" s="26" t="n">
        <v>1911</v>
      </c>
      <c r="C111" s="26" t="s">
        <v>7846</v>
      </c>
      <c r="D111" s="28" t="n">
        <v>25000000</v>
      </c>
      <c r="E111" s="26" t="s">
        <v>7847</v>
      </c>
      <c r="F111" s="26" t="s">
        <v>66</v>
      </c>
      <c r="G111" s="26" t="n">
        <v>-94.7053013</v>
      </c>
      <c r="H111" s="26" t="n">
        <v>37.3961631</v>
      </c>
      <c r="I111" s="26" t="s">
        <v>931</v>
      </c>
      <c r="J111" s="26" t="s">
        <v>7848</v>
      </c>
      <c r="K111" s="26" t="s">
        <v>7430</v>
      </c>
      <c r="L111" s="26" t="s">
        <v>7396</v>
      </c>
      <c r="M111" s="26" t="s">
        <v>152</v>
      </c>
      <c r="N111" s="25" t="s">
        <v>7445</v>
      </c>
      <c r="O111" s="26" t="s">
        <v>7849</v>
      </c>
      <c r="P111" s="26" t="n">
        <f aca="false">IF(A111=O111, 1, 0)</f>
        <v>0</v>
      </c>
    </row>
    <row r="112" customFormat="false" ht="13.8" hidden="false" customHeight="false" outlineLevel="0" collapsed="false">
      <c r="A112" s="26" t="n">
        <v>511263</v>
      </c>
      <c r="B112" s="26" t="n">
        <v>1912</v>
      </c>
      <c r="C112" s="26" t="s">
        <v>7850</v>
      </c>
      <c r="D112" s="26" t="n">
        <v>486618</v>
      </c>
      <c r="E112" s="26" t="s">
        <v>7851</v>
      </c>
      <c r="F112" s="26" t="s">
        <v>32</v>
      </c>
      <c r="G112" s="26" t="n">
        <v>-0.1277583</v>
      </c>
      <c r="H112" s="26" t="n">
        <v>51.5073509</v>
      </c>
      <c r="I112" s="26" t="s">
        <v>110</v>
      </c>
      <c r="J112" s="26" t="s">
        <v>7852</v>
      </c>
      <c r="K112" s="26" t="s">
        <v>340</v>
      </c>
      <c r="L112" s="26" t="s">
        <v>7396</v>
      </c>
      <c r="M112" s="26" t="s">
        <v>152</v>
      </c>
      <c r="N112" s="25" t="s">
        <v>7445</v>
      </c>
      <c r="O112" s="26" t="s">
        <v>7853</v>
      </c>
      <c r="P112" s="26" t="n">
        <f aca="false">IF(A112=O112, 1, 0)</f>
        <v>0</v>
      </c>
    </row>
    <row r="113" customFormat="false" ht="13.8" hidden="false" customHeight="false" outlineLevel="0" collapsed="false">
      <c r="A113" s="26" t="n">
        <v>513255</v>
      </c>
      <c r="B113" s="26" t="n">
        <v>1912</v>
      </c>
      <c r="C113" s="26" t="s">
        <v>7854</v>
      </c>
      <c r="D113" s="26" t="n">
        <v>291970.8</v>
      </c>
      <c r="E113" s="26" t="s">
        <v>7855</v>
      </c>
      <c r="F113" s="26" t="s">
        <v>32</v>
      </c>
      <c r="G113" s="26" t="n">
        <v>-0.1277583</v>
      </c>
      <c r="H113" s="26" t="n">
        <v>51.5073509</v>
      </c>
      <c r="I113" s="26" t="s">
        <v>110</v>
      </c>
      <c r="J113" s="26" t="s">
        <v>7856</v>
      </c>
      <c r="K113" s="26" t="s">
        <v>340</v>
      </c>
      <c r="L113" s="26" t="s">
        <v>7396</v>
      </c>
      <c r="M113" s="26" t="s">
        <v>1357</v>
      </c>
      <c r="N113" s="25" t="s">
        <v>7435</v>
      </c>
      <c r="O113" s="26" t="s">
        <v>7857</v>
      </c>
      <c r="P113" s="26" t="n">
        <f aca="false">IF(A113=O113, 1, 0)</f>
        <v>0</v>
      </c>
    </row>
    <row r="114" customFormat="false" ht="13.8" hidden="false" customHeight="false" outlineLevel="0" collapsed="false">
      <c r="A114" s="26" t="n">
        <v>515445</v>
      </c>
      <c r="B114" s="26" t="n">
        <v>1912</v>
      </c>
      <c r="C114" s="26" t="s">
        <v>6776</v>
      </c>
      <c r="D114" s="26" t="n">
        <v>608272.5</v>
      </c>
      <c r="E114" s="26" t="s">
        <v>7858</v>
      </c>
      <c r="F114" s="26" t="s">
        <v>32</v>
      </c>
      <c r="G114" s="26" t="n">
        <v>-0.1277583</v>
      </c>
      <c r="H114" s="26" t="n">
        <v>51.5073509</v>
      </c>
      <c r="I114" s="26" t="s">
        <v>882</v>
      </c>
      <c r="J114" s="26" t="s">
        <v>7859</v>
      </c>
      <c r="K114" s="26" t="s">
        <v>340</v>
      </c>
      <c r="L114" s="26" t="s">
        <v>7396</v>
      </c>
      <c r="M114" s="26" t="s">
        <v>1357</v>
      </c>
      <c r="N114" s="25" t="s">
        <v>7435</v>
      </c>
      <c r="O114" s="26" t="s">
        <v>7860</v>
      </c>
      <c r="P114" s="26" t="n">
        <f aca="false">IF(A114=O114, 1, 0)</f>
        <v>0</v>
      </c>
    </row>
    <row r="115" customFormat="false" ht="13.8" hidden="false" customHeight="false" outlineLevel="0" collapsed="false">
      <c r="A115" s="26" t="n">
        <v>516474</v>
      </c>
      <c r="B115" s="26" t="n">
        <v>1912</v>
      </c>
      <c r="C115" s="26" t="s">
        <v>7158</v>
      </c>
      <c r="D115" s="26" t="n">
        <v>1356015.779</v>
      </c>
      <c r="E115" s="26" t="s">
        <v>7861</v>
      </c>
      <c r="F115" s="26" t="s">
        <v>48</v>
      </c>
      <c r="G115" s="26" t="n">
        <v>174.885971</v>
      </c>
      <c r="H115" s="26" t="n">
        <v>-40.900557</v>
      </c>
      <c r="I115" s="26" t="s">
        <v>882</v>
      </c>
      <c r="J115" s="26" t="s">
        <v>7862</v>
      </c>
      <c r="K115" s="26" t="s">
        <v>152</v>
      </c>
      <c r="L115" s="26" t="s">
        <v>7396</v>
      </c>
      <c r="M115" s="26" t="s">
        <v>1357</v>
      </c>
      <c r="N115" s="25" t="s">
        <v>7435</v>
      </c>
      <c r="O115" s="26" t="s">
        <v>7863</v>
      </c>
      <c r="P115" s="26" t="n">
        <f aca="false">IF(A115=O115, 1, 0)</f>
        <v>0</v>
      </c>
    </row>
    <row r="116" customFormat="false" ht="13.8" hidden="false" customHeight="false" outlineLevel="0" collapsed="false">
      <c r="A116" s="26" t="n">
        <v>520062</v>
      </c>
      <c r="B116" s="26" t="n">
        <v>1912</v>
      </c>
      <c r="C116" s="26" t="s">
        <v>6578</v>
      </c>
      <c r="D116" s="26" t="n">
        <v>1459854</v>
      </c>
      <c r="E116" s="26" t="s">
        <v>7864</v>
      </c>
      <c r="F116" s="26" t="s">
        <v>549</v>
      </c>
      <c r="G116" s="26" t="n">
        <v>-75.5993692</v>
      </c>
      <c r="H116" s="26" t="n">
        <v>38.3606736</v>
      </c>
      <c r="I116" s="26" t="s">
        <v>110</v>
      </c>
      <c r="J116" s="26" t="s">
        <v>7865</v>
      </c>
      <c r="K116" s="26" t="s">
        <v>7430</v>
      </c>
      <c r="L116" s="26" t="s">
        <v>7396</v>
      </c>
      <c r="M116" s="26" t="s">
        <v>3298</v>
      </c>
      <c r="N116" s="26" t="s">
        <v>7866</v>
      </c>
      <c r="O116" s="26" t="s">
        <v>7867</v>
      </c>
      <c r="P116" s="26" t="n">
        <f aca="false">IF(A116=O116, 1, 0)</f>
        <v>0</v>
      </c>
    </row>
    <row r="117" customFormat="false" ht="13.8" hidden="false" customHeight="false" outlineLevel="0" collapsed="false">
      <c r="A117" s="26" t="n">
        <v>520654</v>
      </c>
      <c r="B117" s="26" t="n">
        <v>1912</v>
      </c>
      <c r="C117" s="26" t="s">
        <v>7868</v>
      </c>
      <c r="D117" s="26" t="n">
        <v>1216545</v>
      </c>
      <c r="E117" s="26" t="s">
        <v>7869</v>
      </c>
      <c r="F117" s="26" t="s">
        <v>413</v>
      </c>
      <c r="G117" s="26" t="n">
        <v>-97.2134822</v>
      </c>
      <c r="H117" s="26" t="n">
        <v>32.8294337</v>
      </c>
      <c r="I117" s="26" t="s">
        <v>214</v>
      </c>
      <c r="J117" s="26" t="s">
        <v>7558</v>
      </c>
      <c r="K117" s="26" t="s">
        <v>7430</v>
      </c>
      <c r="L117" s="26" t="s">
        <v>7396</v>
      </c>
      <c r="M117" s="26" t="s">
        <v>152</v>
      </c>
      <c r="N117" s="26" t="s">
        <v>7445</v>
      </c>
      <c r="O117" s="26" t="s">
        <v>7559</v>
      </c>
      <c r="P117" s="26" t="n">
        <f aca="false">IF(A117=O117, 1, 0)</f>
        <v>0</v>
      </c>
    </row>
    <row r="118" customFormat="false" ht="13.8" hidden="false" customHeight="false" outlineLevel="0" collapsed="false">
      <c r="A118" s="26" t="n">
        <v>530769</v>
      </c>
      <c r="B118" s="26" t="n">
        <v>1912</v>
      </c>
      <c r="C118" s="26" t="s">
        <v>6731</v>
      </c>
      <c r="D118" s="26" t="n">
        <v>1946472</v>
      </c>
      <c r="E118" s="26" t="s">
        <v>7870</v>
      </c>
      <c r="F118" s="26" t="s">
        <v>413</v>
      </c>
      <c r="G118" s="26" t="n">
        <v>-97.2134822</v>
      </c>
      <c r="H118" s="26" t="n">
        <v>32.8294337</v>
      </c>
      <c r="I118" s="26" t="s">
        <v>1357</v>
      </c>
      <c r="J118" s="26" t="s">
        <v>7871</v>
      </c>
      <c r="K118" s="26" t="s">
        <v>7430</v>
      </c>
      <c r="L118" s="26" t="s">
        <v>7396</v>
      </c>
      <c r="M118" s="26" t="s">
        <v>1357</v>
      </c>
      <c r="N118" s="25" t="s">
        <v>7435</v>
      </c>
      <c r="O118" s="26" t="s">
        <v>7872</v>
      </c>
      <c r="P118" s="26" t="n">
        <f aca="false">IF(A118=O118, 1, 0)</f>
        <v>0</v>
      </c>
    </row>
    <row r="119" customFormat="false" ht="13.8" hidden="false" customHeight="false" outlineLevel="0" collapsed="false">
      <c r="A119" s="26" t="n">
        <v>531126</v>
      </c>
      <c r="B119" s="26" t="n">
        <v>1912</v>
      </c>
      <c r="C119" s="26" t="s">
        <v>7873</v>
      </c>
      <c r="D119" s="26" t="n">
        <v>1216545</v>
      </c>
      <c r="E119" s="26" t="s">
        <v>7874</v>
      </c>
      <c r="F119" s="26" t="s">
        <v>177</v>
      </c>
      <c r="G119" s="26" t="n">
        <v>-81.1830974</v>
      </c>
      <c r="H119" s="26" t="n">
        <v>43.2325617</v>
      </c>
      <c r="I119" s="26" t="s">
        <v>110</v>
      </c>
      <c r="J119" s="26" t="s">
        <v>7592</v>
      </c>
      <c r="K119" s="26" t="s">
        <v>361</v>
      </c>
      <c r="L119" s="26" t="s">
        <v>7396</v>
      </c>
      <c r="M119" s="26" t="s">
        <v>1357</v>
      </c>
      <c r="N119" s="25" t="s">
        <v>7396</v>
      </c>
      <c r="O119" s="26" t="n">
        <v>436688</v>
      </c>
      <c r="P119" s="26" t="n">
        <f aca="false">IF(A119=O119, 1, 0)</f>
        <v>0</v>
      </c>
    </row>
    <row r="120" customFormat="false" ht="13.8" hidden="false" customHeight="false" outlineLevel="0" collapsed="false">
      <c r="A120" s="26" t="n">
        <v>533457</v>
      </c>
      <c r="B120" s="26" t="n">
        <v>1912</v>
      </c>
      <c r="C120" s="26" t="s">
        <v>7875</v>
      </c>
      <c r="D120" s="26" t="n">
        <v>973236</v>
      </c>
      <c r="E120" s="26" t="s">
        <v>7876</v>
      </c>
      <c r="F120" s="26" t="s">
        <v>137</v>
      </c>
      <c r="G120" s="26" t="n">
        <v>28.0473051</v>
      </c>
      <c r="H120" s="26" t="n">
        <v>-26.2041028</v>
      </c>
      <c r="I120" s="26" t="s">
        <v>1357</v>
      </c>
      <c r="J120" s="26" t="s">
        <v>7877</v>
      </c>
      <c r="K120" s="26" t="s">
        <v>7480</v>
      </c>
      <c r="L120" s="26" t="s">
        <v>7396</v>
      </c>
      <c r="M120" s="26" t="s">
        <v>7488</v>
      </c>
      <c r="N120" s="26" t="s">
        <v>4306</v>
      </c>
      <c r="O120" s="26" t="s">
        <v>7878</v>
      </c>
      <c r="P120" s="26" t="n">
        <f aca="false">IF(A120=O120, 1, 0)</f>
        <v>0</v>
      </c>
    </row>
    <row r="121" customFormat="false" ht="13.8" hidden="false" customHeight="false" outlineLevel="0" collapsed="false">
      <c r="A121" s="26" t="n">
        <v>533604</v>
      </c>
      <c r="B121" s="26" t="n">
        <v>1912</v>
      </c>
      <c r="C121" s="26" t="s">
        <v>7879</v>
      </c>
      <c r="D121" s="26" t="n">
        <v>243649.6</v>
      </c>
      <c r="E121" s="26" t="s">
        <v>7880</v>
      </c>
      <c r="F121" s="26" t="s">
        <v>413</v>
      </c>
      <c r="G121" s="26" t="n">
        <v>-97.2134822</v>
      </c>
      <c r="H121" s="26" t="n">
        <v>32.8294337</v>
      </c>
      <c r="I121" s="26" t="s">
        <v>1357</v>
      </c>
      <c r="J121" s="26" t="s">
        <v>7871</v>
      </c>
      <c r="K121" s="26" t="s">
        <v>7430</v>
      </c>
      <c r="L121" s="26" t="s">
        <v>7396</v>
      </c>
      <c r="M121" s="26" t="s">
        <v>1357</v>
      </c>
      <c r="N121" s="25" t="s">
        <v>7435</v>
      </c>
      <c r="O121" s="26" t="s">
        <v>7872</v>
      </c>
      <c r="P121" s="26" t="n">
        <f aca="false">IF(A121=O121, 1, 0)</f>
        <v>0</v>
      </c>
    </row>
    <row r="122" customFormat="false" ht="13.8" hidden="false" customHeight="false" outlineLevel="0" collapsed="false">
      <c r="A122" s="26" t="n">
        <v>534631</v>
      </c>
      <c r="B122" s="26" t="n">
        <v>1912</v>
      </c>
      <c r="C122" s="26" t="s">
        <v>7881</v>
      </c>
      <c r="D122" s="26" t="n">
        <v>26666.67</v>
      </c>
      <c r="E122" s="26" t="s">
        <v>7882</v>
      </c>
      <c r="F122" s="26" t="s">
        <v>7883</v>
      </c>
      <c r="G122" s="26" t="n">
        <v>-70.9161551</v>
      </c>
      <c r="H122" s="26" t="n">
        <v>42.1306563</v>
      </c>
      <c r="I122" s="26" t="s">
        <v>110</v>
      </c>
      <c r="J122" s="26" t="s">
        <v>7884</v>
      </c>
      <c r="K122" s="26" t="s">
        <v>7430</v>
      </c>
      <c r="L122" s="26" t="s">
        <v>7396</v>
      </c>
      <c r="M122" s="26" t="s">
        <v>1357</v>
      </c>
      <c r="N122" s="25" t="s">
        <v>7435</v>
      </c>
      <c r="O122" s="26" t="s">
        <v>7885</v>
      </c>
      <c r="P122" s="26" t="n">
        <f aca="false">IF(A122=O122, 1, 0)</f>
        <v>0</v>
      </c>
    </row>
    <row r="123" customFormat="false" ht="13.8" hidden="false" customHeight="false" outlineLevel="0" collapsed="false">
      <c r="A123" s="26" t="n">
        <v>535616</v>
      </c>
      <c r="B123" s="26" t="n">
        <v>1912</v>
      </c>
      <c r="C123" s="26" t="s">
        <v>7886</v>
      </c>
      <c r="D123" s="26" t="n">
        <v>1459854</v>
      </c>
      <c r="E123" s="26" t="s">
        <v>7887</v>
      </c>
      <c r="F123" s="26" t="s">
        <v>32</v>
      </c>
      <c r="G123" s="26" t="n">
        <v>-0.1277583</v>
      </c>
      <c r="H123" s="26" t="n">
        <v>51.5073509</v>
      </c>
      <c r="I123" s="26" t="s">
        <v>110</v>
      </c>
      <c r="J123" s="26" t="s">
        <v>7595</v>
      </c>
      <c r="K123" s="26" t="s">
        <v>340</v>
      </c>
      <c r="L123" s="26" t="s">
        <v>7396</v>
      </c>
      <c r="M123" s="26" t="s">
        <v>7596</v>
      </c>
      <c r="N123" s="25" t="s">
        <v>7445</v>
      </c>
      <c r="O123" s="26" t="s">
        <v>7597</v>
      </c>
      <c r="P123" s="26" t="n">
        <f aca="false">IF(A123=O123, 1, 0)</f>
        <v>0</v>
      </c>
    </row>
    <row r="124" customFormat="false" ht="13.8" hidden="false" customHeight="false" outlineLevel="0" collapsed="false">
      <c r="A124" s="26" t="n">
        <v>537276</v>
      </c>
      <c r="B124" s="26" t="n">
        <v>1912</v>
      </c>
      <c r="C124" s="26" t="s">
        <v>7888</v>
      </c>
      <c r="D124" s="26" t="n">
        <v>1459854</v>
      </c>
      <c r="E124" s="26" t="s">
        <v>7889</v>
      </c>
      <c r="F124" s="26" t="s">
        <v>7890</v>
      </c>
      <c r="G124" s="26" t="n">
        <v>-73.9973608</v>
      </c>
      <c r="H124" s="26" t="n">
        <v>41.9270367</v>
      </c>
      <c r="I124" s="26" t="s">
        <v>1357</v>
      </c>
      <c r="J124" s="26" t="s">
        <v>7891</v>
      </c>
      <c r="K124" s="26" t="s">
        <v>7430</v>
      </c>
      <c r="L124" s="26" t="s">
        <v>7396</v>
      </c>
      <c r="M124" s="26" t="s">
        <v>1357</v>
      </c>
      <c r="N124" s="25" t="s">
        <v>7435</v>
      </c>
      <c r="O124" s="26" t="s">
        <v>7892</v>
      </c>
      <c r="P124" s="26" t="n">
        <f aca="false">IF(A124=O124, 1, 0)</f>
        <v>0</v>
      </c>
    </row>
    <row r="125" customFormat="false" ht="13.8" hidden="false" customHeight="false" outlineLevel="0" collapsed="false">
      <c r="A125" s="26" t="n">
        <v>541456</v>
      </c>
      <c r="B125" s="26" t="n">
        <v>1912</v>
      </c>
      <c r="C125" s="26" t="s">
        <v>7893</v>
      </c>
      <c r="D125" s="26" t="n">
        <v>4866180</v>
      </c>
      <c r="E125" s="26" t="s">
        <v>7894</v>
      </c>
      <c r="F125" s="26" t="s">
        <v>137</v>
      </c>
      <c r="G125" s="26" t="n">
        <v>28.0473051</v>
      </c>
      <c r="H125" s="26" t="n">
        <v>-26.2041028</v>
      </c>
      <c r="I125" s="26" t="s">
        <v>1357</v>
      </c>
      <c r="J125" s="26" t="s">
        <v>7895</v>
      </c>
      <c r="K125" s="26" t="s">
        <v>7480</v>
      </c>
      <c r="L125" s="26" t="s">
        <v>7396</v>
      </c>
      <c r="M125" s="26" t="s">
        <v>1357</v>
      </c>
      <c r="N125" s="25" t="s">
        <v>7396</v>
      </c>
      <c r="O125" s="26" t="n">
        <v>417988</v>
      </c>
      <c r="P125" s="26" t="n">
        <f aca="false">IF(A125=O125, 1, 0)</f>
        <v>0</v>
      </c>
    </row>
    <row r="126" customFormat="false" ht="13.8" hidden="false" customHeight="false" outlineLevel="0" collapsed="false">
      <c r="A126" s="26" t="n">
        <v>542885</v>
      </c>
      <c r="B126" s="26" t="n">
        <v>1912</v>
      </c>
      <c r="C126" s="26" t="s">
        <v>7896</v>
      </c>
      <c r="D126" s="26" t="n">
        <v>5161416</v>
      </c>
      <c r="E126" s="26" t="s">
        <v>7897</v>
      </c>
      <c r="F126" s="26" t="s">
        <v>32</v>
      </c>
      <c r="G126" s="26" t="n">
        <v>-0.1277583</v>
      </c>
      <c r="H126" s="26" t="n">
        <v>51.5073509</v>
      </c>
      <c r="I126" s="26" t="s">
        <v>1357</v>
      </c>
      <c r="J126" s="26" t="s">
        <v>7898</v>
      </c>
      <c r="K126" s="26" t="s">
        <v>340</v>
      </c>
      <c r="L126" s="26" t="s">
        <v>7396</v>
      </c>
      <c r="M126" s="26" t="s">
        <v>1357</v>
      </c>
      <c r="N126" s="25" t="s">
        <v>7396</v>
      </c>
      <c r="O126" s="26" t="n">
        <v>461922</v>
      </c>
      <c r="P126" s="26" t="n">
        <f aca="false">IF(A126=O126, 1, 0)</f>
        <v>0</v>
      </c>
    </row>
    <row r="127" customFormat="false" ht="13.8" hidden="false" customHeight="false" outlineLevel="0" collapsed="false">
      <c r="A127" s="26" t="n">
        <v>545271</v>
      </c>
      <c r="B127" s="26" t="n">
        <v>1912</v>
      </c>
      <c r="C127" s="26" t="s">
        <v>7899</v>
      </c>
      <c r="D127" s="26" t="n">
        <v>583941.6</v>
      </c>
      <c r="E127" s="26" t="s">
        <v>7900</v>
      </c>
      <c r="F127" s="26" t="s">
        <v>32</v>
      </c>
      <c r="G127" s="26" t="n">
        <v>-0.1277583</v>
      </c>
      <c r="H127" s="26" t="n">
        <v>51.5073509</v>
      </c>
      <c r="I127" s="26" t="s">
        <v>110</v>
      </c>
      <c r="J127" s="26" t="s">
        <v>7901</v>
      </c>
      <c r="K127" s="26" t="s">
        <v>340</v>
      </c>
      <c r="L127" s="26" t="s">
        <v>7396</v>
      </c>
      <c r="M127" s="26" t="s">
        <v>7488</v>
      </c>
      <c r="N127" s="26" t="s">
        <v>4306</v>
      </c>
      <c r="O127" s="26" t="s">
        <v>7902</v>
      </c>
      <c r="P127" s="26" t="n">
        <f aca="false">IF(A127=O127, 1, 0)</f>
        <v>0</v>
      </c>
    </row>
    <row r="128" customFormat="false" ht="13.8" hidden="false" customHeight="false" outlineLevel="0" collapsed="false">
      <c r="A128" s="26" t="n">
        <v>546948</v>
      </c>
      <c r="B128" s="26" t="n">
        <v>1912</v>
      </c>
      <c r="C128" s="26" t="s">
        <v>7903</v>
      </c>
      <c r="D128" s="26" t="n">
        <v>389294.4</v>
      </c>
      <c r="E128" s="26" t="s">
        <v>7904</v>
      </c>
      <c r="F128" s="26" t="s">
        <v>32</v>
      </c>
      <c r="G128" s="26" t="n">
        <v>-0.1277583</v>
      </c>
      <c r="H128" s="26" t="n">
        <v>51.5073509</v>
      </c>
      <c r="I128" s="26" t="s">
        <v>1357</v>
      </c>
      <c r="J128" s="26" t="s">
        <v>7905</v>
      </c>
      <c r="K128" s="26" t="s">
        <v>340</v>
      </c>
      <c r="L128" s="26" t="s">
        <v>7396</v>
      </c>
      <c r="M128" s="26" t="s">
        <v>1357</v>
      </c>
      <c r="N128" s="25" t="s">
        <v>7435</v>
      </c>
      <c r="O128" s="26" t="s">
        <v>7906</v>
      </c>
      <c r="P128" s="26" t="n">
        <f aca="false">IF(A128=O128, 1, 0)</f>
        <v>0</v>
      </c>
    </row>
    <row r="129" customFormat="false" ht="13.8" hidden="false" customHeight="false" outlineLevel="0" collapsed="false">
      <c r="A129" s="26" t="n">
        <v>551225</v>
      </c>
      <c r="B129" s="26" t="n">
        <v>1912</v>
      </c>
      <c r="C129" s="26" t="s">
        <v>7907</v>
      </c>
      <c r="D129" s="26" t="n">
        <v>194647.2</v>
      </c>
      <c r="E129" s="26" t="s">
        <v>7908</v>
      </c>
      <c r="F129" s="26" t="s">
        <v>582</v>
      </c>
      <c r="G129" s="26" t="n">
        <v>-3.17909</v>
      </c>
      <c r="H129" s="26" t="n">
        <v>51.481581</v>
      </c>
      <c r="I129" s="26" t="s">
        <v>1357</v>
      </c>
      <c r="J129" s="26" t="s">
        <v>7909</v>
      </c>
      <c r="K129" s="26" t="s">
        <v>340</v>
      </c>
      <c r="L129" s="26" t="s">
        <v>7396</v>
      </c>
      <c r="M129" s="26" t="s">
        <v>1357</v>
      </c>
      <c r="N129" s="25" t="s">
        <v>7435</v>
      </c>
      <c r="O129" s="26" t="s">
        <v>7910</v>
      </c>
      <c r="P129" s="26" t="n">
        <f aca="false">IF(A129=O129, 1, 0)</f>
        <v>0</v>
      </c>
    </row>
    <row r="130" customFormat="false" ht="13.8" hidden="false" customHeight="false" outlineLevel="0" collapsed="false">
      <c r="A130" s="26" t="n">
        <v>552880</v>
      </c>
      <c r="B130" s="26" t="n">
        <v>1912</v>
      </c>
      <c r="C130" s="26" t="s">
        <v>7911</v>
      </c>
      <c r="D130" s="26" t="n">
        <v>973260.3</v>
      </c>
      <c r="E130" s="26" t="s">
        <v>7912</v>
      </c>
      <c r="F130" s="26" t="s">
        <v>32</v>
      </c>
      <c r="G130" s="26" t="n">
        <v>-0.1277583</v>
      </c>
      <c r="H130" s="26" t="n">
        <v>51.5073509</v>
      </c>
      <c r="I130" s="26" t="s">
        <v>110</v>
      </c>
      <c r="J130" s="26" t="s">
        <v>7913</v>
      </c>
      <c r="K130" s="26" t="s">
        <v>340</v>
      </c>
      <c r="L130" s="26" t="s">
        <v>7396</v>
      </c>
      <c r="M130" s="26" t="s">
        <v>152</v>
      </c>
      <c r="N130" s="25" t="s">
        <v>7445</v>
      </c>
      <c r="O130" s="26" t="s">
        <v>7914</v>
      </c>
      <c r="P130" s="26" t="n">
        <f aca="false">IF(A130=O130, 1, 0)</f>
        <v>0</v>
      </c>
    </row>
    <row r="131" customFormat="false" ht="13.8" hidden="false" customHeight="false" outlineLevel="0" collapsed="false">
      <c r="A131" s="26" t="n">
        <v>553199</v>
      </c>
      <c r="B131" s="26" t="n">
        <v>1912</v>
      </c>
      <c r="C131" s="26" t="s">
        <v>7571</v>
      </c>
      <c r="D131" s="26" t="n">
        <v>1216545</v>
      </c>
      <c r="E131" s="26" t="s">
        <v>7915</v>
      </c>
      <c r="F131" s="26" t="s">
        <v>32</v>
      </c>
      <c r="G131" s="26" t="n">
        <v>-0.1277583</v>
      </c>
      <c r="H131" s="26" t="n">
        <v>51.5073509</v>
      </c>
      <c r="I131" s="26" t="s">
        <v>110</v>
      </c>
      <c r="J131" s="26" t="s">
        <v>7574</v>
      </c>
      <c r="K131" s="26" t="s">
        <v>340</v>
      </c>
      <c r="L131" s="26" t="s">
        <v>7396</v>
      </c>
      <c r="M131" s="26" t="s">
        <v>152</v>
      </c>
      <c r="N131" s="26" t="s">
        <v>7445</v>
      </c>
      <c r="O131" s="26" t="s">
        <v>7575</v>
      </c>
      <c r="P131" s="26" t="n">
        <f aca="false">IF(A131=O131, 1, 0)</f>
        <v>0</v>
      </c>
    </row>
    <row r="132" customFormat="false" ht="13.8" hidden="false" customHeight="false" outlineLevel="0" collapsed="false">
      <c r="A132" s="26" t="n">
        <v>557404</v>
      </c>
      <c r="B132" s="26" t="n">
        <v>1912</v>
      </c>
      <c r="C132" s="26" t="s">
        <v>7916</v>
      </c>
      <c r="D132" s="26" t="n">
        <v>97323.6</v>
      </c>
      <c r="E132" s="26" t="s">
        <v>7917</v>
      </c>
      <c r="F132" s="26" t="s">
        <v>1177</v>
      </c>
      <c r="G132" s="26" t="n">
        <v>-95.6164438</v>
      </c>
      <c r="H132" s="26" t="n">
        <v>37.0328377</v>
      </c>
      <c r="I132" s="26" t="s">
        <v>1357</v>
      </c>
      <c r="J132" s="26" t="s">
        <v>7918</v>
      </c>
      <c r="K132" s="26" t="s">
        <v>7430</v>
      </c>
      <c r="L132" s="26" t="s">
        <v>7396</v>
      </c>
      <c r="M132" s="26" t="s">
        <v>1357</v>
      </c>
      <c r="N132" s="25" t="s">
        <v>7435</v>
      </c>
      <c r="O132" s="26" t="s">
        <v>7919</v>
      </c>
      <c r="P132" s="26" t="n">
        <f aca="false">IF(A132=O132, 1, 0)</f>
        <v>0</v>
      </c>
    </row>
    <row r="133" customFormat="false" ht="13.8" hidden="false" customHeight="false" outlineLevel="0" collapsed="false">
      <c r="A133" s="26" t="n">
        <v>559408</v>
      </c>
      <c r="B133" s="26" t="n">
        <v>1912</v>
      </c>
      <c r="C133" s="26" t="s">
        <v>7920</v>
      </c>
      <c r="D133" s="26" t="n">
        <v>326034.1</v>
      </c>
      <c r="E133" s="26" t="s">
        <v>7921</v>
      </c>
      <c r="F133" s="26" t="s">
        <v>117</v>
      </c>
      <c r="G133" s="26" t="n">
        <v>-4.251806</v>
      </c>
      <c r="H133" s="26" t="n">
        <v>55.864237</v>
      </c>
      <c r="I133" s="26" t="s">
        <v>110</v>
      </c>
      <c r="J133" s="26" t="s">
        <v>7922</v>
      </c>
      <c r="K133" s="26" t="s">
        <v>340</v>
      </c>
      <c r="L133" s="26" t="s">
        <v>7396</v>
      </c>
      <c r="M133" s="26" t="s">
        <v>7528</v>
      </c>
      <c r="N133" s="26" t="s">
        <v>4306</v>
      </c>
      <c r="O133" s="26" t="s">
        <v>7923</v>
      </c>
      <c r="P133" s="26" t="n">
        <f aca="false">IF(A133=O133, 1, 0)</f>
        <v>0</v>
      </c>
    </row>
    <row r="134" customFormat="false" ht="13.8" hidden="false" customHeight="false" outlineLevel="0" collapsed="false">
      <c r="A134" s="26" t="n">
        <v>571949</v>
      </c>
      <c r="B134" s="26" t="n">
        <v>1912</v>
      </c>
      <c r="C134" s="26" t="s">
        <v>7924</v>
      </c>
      <c r="D134" s="26" t="n">
        <v>364963.5</v>
      </c>
      <c r="E134" s="26" t="s">
        <v>7925</v>
      </c>
      <c r="F134" s="26" t="s">
        <v>32</v>
      </c>
      <c r="G134" s="26" t="n">
        <v>-0.1277583</v>
      </c>
      <c r="H134" s="26" t="n">
        <v>51.5073509</v>
      </c>
      <c r="I134" s="26" t="s">
        <v>110</v>
      </c>
      <c r="J134" s="26" t="s">
        <v>7438</v>
      </c>
      <c r="K134" s="26" t="s">
        <v>340</v>
      </c>
      <c r="L134" s="26" t="s">
        <v>7396</v>
      </c>
      <c r="M134" s="26" t="s">
        <v>7440</v>
      </c>
      <c r="N134" s="26" t="s">
        <v>4900</v>
      </c>
      <c r="O134" s="26" t="s">
        <v>7441</v>
      </c>
      <c r="P134" s="26" t="n">
        <f aca="false">IF(A134=O134, 1, 0)</f>
        <v>0</v>
      </c>
    </row>
    <row r="135" customFormat="false" ht="13.8" hidden="false" customHeight="false" outlineLevel="0" collapsed="false">
      <c r="A135" s="25" t="n">
        <v>576455</v>
      </c>
      <c r="B135" s="25" t="n">
        <v>1913</v>
      </c>
      <c r="C135" s="25" t="s">
        <v>7926</v>
      </c>
      <c r="D135" s="25" t="n">
        <v>1947420</v>
      </c>
      <c r="E135" s="25" t="s">
        <v>7927</v>
      </c>
      <c r="F135" s="25" t="s">
        <v>32</v>
      </c>
      <c r="G135" s="25" t="n">
        <v>-0.1277583</v>
      </c>
      <c r="H135" s="25" t="n">
        <v>51.5073509</v>
      </c>
      <c r="I135" s="25" t="s">
        <v>110</v>
      </c>
      <c r="J135" s="25" t="s">
        <v>7928</v>
      </c>
      <c r="K135" s="25" t="s">
        <v>340</v>
      </c>
      <c r="L135" s="25" t="s">
        <v>7396</v>
      </c>
      <c r="M135" s="25" t="s">
        <v>3298</v>
      </c>
      <c r="N135" s="25" t="s">
        <v>99</v>
      </c>
      <c r="O135" s="25" t="s">
        <v>7929</v>
      </c>
      <c r="P135" s="25" t="n">
        <f aca="false">IF(A135=O135, 1, 0)</f>
        <v>0</v>
      </c>
    </row>
    <row r="136" customFormat="false" ht="13.8" hidden="false" customHeight="false" outlineLevel="0" collapsed="false">
      <c r="A136" s="26" t="n">
        <v>581230</v>
      </c>
      <c r="B136" s="26" t="n">
        <v>1913</v>
      </c>
      <c r="C136" s="26" t="s">
        <v>6719</v>
      </c>
      <c r="D136" s="26" t="n">
        <v>656295.6</v>
      </c>
      <c r="E136" s="26" t="s">
        <v>7930</v>
      </c>
      <c r="F136" s="26" t="s">
        <v>177</v>
      </c>
      <c r="G136" s="26" t="n">
        <v>-81.1830974</v>
      </c>
      <c r="H136" s="26" t="n">
        <v>43.2325617</v>
      </c>
      <c r="I136" s="26" t="s">
        <v>1357</v>
      </c>
      <c r="J136" s="26" t="s">
        <v>7931</v>
      </c>
      <c r="K136" s="26" t="s">
        <v>361</v>
      </c>
      <c r="L136" s="26" t="s">
        <v>7396</v>
      </c>
      <c r="M136" s="26" t="s">
        <v>1357</v>
      </c>
      <c r="N136" s="25" t="s">
        <v>7435</v>
      </c>
      <c r="O136" s="26" t="s">
        <v>7932</v>
      </c>
      <c r="P136" s="26" t="n">
        <f aca="false">IF(A136=O136, 1, 0)</f>
        <v>0</v>
      </c>
    </row>
    <row r="137" customFormat="false" ht="13.8" hidden="false" customHeight="false" outlineLevel="0" collapsed="false">
      <c r="A137" s="26" t="n">
        <v>583959</v>
      </c>
      <c r="B137" s="26" t="n">
        <v>1913</v>
      </c>
      <c r="C137" s="26" t="s">
        <v>7731</v>
      </c>
      <c r="D137" s="26" t="n">
        <v>730.2824</v>
      </c>
      <c r="E137" s="26" t="s">
        <v>7933</v>
      </c>
      <c r="F137" s="26" t="s">
        <v>137</v>
      </c>
      <c r="G137" s="26" t="n">
        <v>28.0473051</v>
      </c>
      <c r="H137" s="26" t="n">
        <v>-26.2041028</v>
      </c>
      <c r="I137" s="26" t="s">
        <v>1357</v>
      </c>
      <c r="J137" s="26" t="s">
        <v>7934</v>
      </c>
      <c r="K137" s="26" t="s">
        <v>7480</v>
      </c>
      <c r="L137" s="26" t="s">
        <v>7396</v>
      </c>
      <c r="M137" s="26" t="s">
        <v>1357</v>
      </c>
      <c r="N137" s="25" t="s">
        <v>7435</v>
      </c>
      <c r="O137" s="26" t="s">
        <v>7935</v>
      </c>
      <c r="P137" s="26" t="n">
        <f aca="false">IF(A137=O137, 1, 0)</f>
        <v>0</v>
      </c>
    </row>
    <row r="138" customFormat="false" ht="13.8" hidden="false" customHeight="false" outlineLevel="0" collapsed="false">
      <c r="A138" s="26" t="n">
        <v>586337</v>
      </c>
      <c r="B138" s="26" t="n">
        <v>1913</v>
      </c>
      <c r="C138" s="26" t="s">
        <v>7936</v>
      </c>
      <c r="D138" s="26" t="n">
        <v>5024343</v>
      </c>
      <c r="E138" s="26" t="s">
        <v>7937</v>
      </c>
      <c r="F138" s="26" t="s">
        <v>32</v>
      </c>
      <c r="G138" s="26" t="n">
        <v>-0.1277583</v>
      </c>
      <c r="H138" s="26" t="n">
        <v>51.5073509</v>
      </c>
      <c r="I138" s="26" t="s">
        <v>110</v>
      </c>
      <c r="J138" s="26" t="s">
        <v>7938</v>
      </c>
      <c r="K138" s="26" t="s">
        <v>340</v>
      </c>
      <c r="L138" s="26" t="s">
        <v>7396</v>
      </c>
      <c r="M138" s="26" t="s">
        <v>1357</v>
      </c>
      <c r="N138" s="25" t="s">
        <v>7435</v>
      </c>
      <c r="O138" s="26" t="s">
        <v>7939</v>
      </c>
      <c r="P138" s="26" t="n">
        <f aca="false">IF(A138=O138, 1, 0)</f>
        <v>0</v>
      </c>
    </row>
    <row r="139" customFormat="false" ht="13.8" hidden="false" customHeight="false" outlineLevel="0" collapsed="false">
      <c r="A139" s="26" t="n">
        <v>590933</v>
      </c>
      <c r="B139" s="26" t="n">
        <v>1913</v>
      </c>
      <c r="C139" s="26" t="s">
        <v>7940</v>
      </c>
      <c r="D139" s="26" t="n">
        <v>2749392</v>
      </c>
      <c r="E139" s="26" t="s">
        <v>7941</v>
      </c>
      <c r="F139" s="26" t="s">
        <v>32</v>
      </c>
      <c r="G139" s="26" t="n">
        <v>-0.1277583</v>
      </c>
      <c r="H139" s="26" t="n">
        <v>51.5073509</v>
      </c>
      <c r="I139" s="26" t="s">
        <v>110</v>
      </c>
      <c r="J139" s="26" t="s">
        <v>7605</v>
      </c>
      <c r="K139" s="26" t="s">
        <v>340</v>
      </c>
      <c r="L139" s="26" t="s">
        <v>7396</v>
      </c>
      <c r="M139" s="26" t="s">
        <v>7606</v>
      </c>
      <c r="N139" s="25" t="s">
        <v>7445</v>
      </c>
      <c r="O139" s="26" t="s">
        <v>7607</v>
      </c>
      <c r="P139" s="26" t="n">
        <f aca="false">IF(A139=O139, 1, 0)</f>
        <v>0</v>
      </c>
    </row>
    <row r="140" customFormat="false" ht="13.8" hidden="false" customHeight="false" outlineLevel="0" collapsed="false">
      <c r="A140" s="26" t="n">
        <v>603327</v>
      </c>
      <c r="B140" s="26" t="n">
        <v>1913</v>
      </c>
      <c r="C140" s="26" t="s">
        <v>7224</v>
      </c>
      <c r="D140" s="26" t="n">
        <v>1509250</v>
      </c>
      <c r="E140" s="26" t="s">
        <v>7942</v>
      </c>
      <c r="F140" s="26" t="s">
        <v>32</v>
      </c>
      <c r="G140" s="26" t="n">
        <v>-0.1277583</v>
      </c>
      <c r="H140" s="26" t="n">
        <v>51.5073509</v>
      </c>
      <c r="I140" s="26" t="s">
        <v>110</v>
      </c>
      <c r="J140" s="26" t="s">
        <v>7943</v>
      </c>
      <c r="K140" s="26" t="s">
        <v>340</v>
      </c>
      <c r="L140" s="26" t="s">
        <v>7396</v>
      </c>
      <c r="M140" s="26" t="s">
        <v>152</v>
      </c>
      <c r="N140" s="25" t="s">
        <v>7445</v>
      </c>
      <c r="O140" s="26" t="s">
        <v>7944</v>
      </c>
      <c r="P140" s="26" t="n">
        <f aca="false">IF(A140=O140, 1, 0)</f>
        <v>0</v>
      </c>
    </row>
    <row r="141" customFormat="false" ht="13.8" hidden="false" customHeight="false" outlineLevel="0" collapsed="false">
      <c r="A141" s="26" t="n">
        <v>608810</v>
      </c>
      <c r="B141" s="26" t="n">
        <v>1913</v>
      </c>
      <c r="C141" s="26" t="s">
        <v>7945</v>
      </c>
      <c r="D141" s="26" t="n">
        <v>97370.98</v>
      </c>
      <c r="E141" s="26" t="s">
        <v>7946</v>
      </c>
      <c r="F141" s="26" t="s">
        <v>92</v>
      </c>
      <c r="G141" s="26" t="n">
        <v>-63.588653</v>
      </c>
      <c r="H141" s="26" t="n">
        <v>-16.290154</v>
      </c>
      <c r="I141" s="26" t="s">
        <v>882</v>
      </c>
      <c r="J141" s="26" t="s">
        <v>7947</v>
      </c>
      <c r="K141" s="26" t="s">
        <v>92</v>
      </c>
      <c r="L141" s="26" t="s">
        <v>7396</v>
      </c>
      <c r="M141" s="26" t="s">
        <v>1357</v>
      </c>
      <c r="N141" s="25" t="s">
        <v>7435</v>
      </c>
      <c r="O141" s="26" t="s">
        <v>7948</v>
      </c>
      <c r="P141" s="26" t="n">
        <f aca="false">IF(A141=O141, 1, 0)</f>
        <v>0</v>
      </c>
    </row>
    <row r="142" customFormat="false" ht="13.8" hidden="false" customHeight="false" outlineLevel="0" collapsed="false">
      <c r="A142" s="26" t="n">
        <v>613249</v>
      </c>
      <c r="B142" s="26" t="n">
        <v>1913</v>
      </c>
      <c r="C142" s="26" t="s">
        <v>7757</v>
      </c>
      <c r="D142" s="26" t="n">
        <v>681596.9</v>
      </c>
      <c r="E142" s="26" t="s">
        <v>7949</v>
      </c>
      <c r="F142" s="26" t="s">
        <v>985</v>
      </c>
      <c r="G142" s="26" t="n">
        <v>2.3522219</v>
      </c>
      <c r="H142" s="26" t="n">
        <v>48.856614</v>
      </c>
      <c r="I142" s="26" t="s">
        <v>1357</v>
      </c>
      <c r="J142" s="26" t="s">
        <v>7759</v>
      </c>
      <c r="K142" s="26" t="s">
        <v>264</v>
      </c>
      <c r="L142" s="26" t="s">
        <v>7396</v>
      </c>
      <c r="M142" s="26" t="s">
        <v>1357</v>
      </c>
      <c r="N142" s="25" t="s">
        <v>7435</v>
      </c>
      <c r="O142" s="26" t="s">
        <v>7760</v>
      </c>
      <c r="P142" s="26" t="n">
        <f aca="false">IF(A142=O142, 1, 0)</f>
        <v>0</v>
      </c>
    </row>
    <row r="143" customFormat="false" ht="13.8" hidden="false" customHeight="false" outlineLevel="0" collapsed="false">
      <c r="A143" s="26" t="n">
        <v>613775</v>
      </c>
      <c r="B143" s="26" t="n">
        <v>1913</v>
      </c>
      <c r="C143" s="26" t="s">
        <v>7950</v>
      </c>
      <c r="D143" s="26" t="n">
        <v>4866180</v>
      </c>
      <c r="E143" s="26" t="s">
        <v>7951</v>
      </c>
      <c r="F143" s="26" t="s">
        <v>32</v>
      </c>
      <c r="G143" s="26" t="n">
        <v>-0.1277583</v>
      </c>
      <c r="H143" s="26" t="n">
        <v>51.5073509</v>
      </c>
      <c r="I143" s="26" t="s">
        <v>882</v>
      </c>
      <c r="J143" s="25" t="s">
        <v>7952</v>
      </c>
      <c r="K143" s="26" t="s">
        <v>340</v>
      </c>
      <c r="L143" s="26" t="s">
        <v>7396</v>
      </c>
      <c r="M143" s="26" t="s">
        <v>1357</v>
      </c>
      <c r="N143" s="25" t="s">
        <v>7435</v>
      </c>
      <c r="O143" s="26" t="s">
        <v>7953</v>
      </c>
      <c r="P143" s="26" t="n">
        <f aca="false">IF(A143=O143, 1, 0)</f>
        <v>0</v>
      </c>
    </row>
    <row r="144" customFormat="false" ht="13.8" hidden="false" customHeight="false" outlineLevel="0" collapsed="false">
      <c r="A144" s="26" t="n">
        <v>626731</v>
      </c>
      <c r="B144" s="26" t="n">
        <v>1913</v>
      </c>
      <c r="C144" s="26" t="s">
        <v>7954</v>
      </c>
      <c r="D144" s="26" t="n">
        <v>11893.43483</v>
      </c>
      <c r="E144" s="26" t="s">
        <v>7955</v>
      </c>
      <c r="F144" s="26" t="s">
        <v>32</v>
      </c>
      <c r="G144" s="26" t="n">
        <v>-0.1277583</v>
      </c>
      <c r="H144" s="26" t="n">
        <v>51.5073509</v>
      </c>
      <c r="I144" s="26" t="s">
        <v>110</v>
      </c>
      <c r="J144" s="26" t="s">
        <v>7956</v>
      </c>
      <c r="K144" s="26" t="s">
        <v>340</v>
      </c>
      <c r="L144" s="26" t="s">
        <v>7396</v>
      </c>
      <c r="M144" s="26" t="s">
        <v>152</v>
      </c>
      <c r="N144" s="25" t="s">
        <v>7445</v>
      </c>
      <c r="O144" s="26" t="s">
        <v>7957</v>
      </c>
      <c r="P144" s="26" t="n">
        <f aca="false">IF(A144=O144, 1, 0)</f>
        <v>0</v>
      </c>
    </row>
    <row r="145" customFormat="false" ht="13.8" hidden="false" customHeight="false" outlineLevel="0" collapsed="false">
      <c r="A145" s="26" t="n">
        <v>629317</v>
      </c>
      <c r="B145" s="26" t="n">
        <v>1913</v>
      </c>
      <c r="C145" s="26" t="s">
        <v>7958</v>
      </c>
      <c r="D145" s="26" t="n">
        <v>75000</v>
      </c>
      <c r="E145" s="26" t="s">
        <v>7959</v>
      </c>
      <c r="F145" s="26" t="s">
        <v>66</v>
      </c>
      <c r="G145" s="26" t="n">
        <v>-94.7053013</v>
      </c>
      <c r="H145" s="26" t="n">
        <v>37.3961631</v>
      </c>
      <c r="I145" s="26" t="s">
        <v>882</v>
      </c>
      <c r="J145" s="26" t="s">
        <v>7960</v>
      </c>
      <c r="K145" s="26" t="s">
        <v>7430</v>
      </c>
      <c r="L145" s="26" t="s">
        <v>7396</v>
      </c>
      <c r="M145" s="26" t="s">
        <v>1357</v>
      </c>
      <c r="N145" s="25" t="s">
        <v>7435</v>
      </c>
      <c r="O145" s="26" t="s">
        <v>7961</v>
      </c>
      <c r="P145" s="26" t="n">
        <f aca="false">IF(A145=O145, 1, 0)</f>
        <v>0</v>
      </c>
    </row>
    <row r="146" customFormat="false" ht="13.8" hidden="false" customHeight="false" outlineLevel="0" collapsed="false">
      <c r="A146" s="26" t="n">
        <v>630565</v>
      </c>
      <c r="B146" s="26" t="n">
        <v>1913</v>
      </c>
      <c r="C146" s="26" t="s">
        <v>7962</v>
      </c>
      <c r="D146" s="26" t="n">
        <v>973709.8</v>
      </c>
      <c r="E146" s="26" t="s">
        <v>7963</v>
      </c>
      <c r="F146" s="26" t="s">
        <v>7964</v>
      </c>
      <c r="G146" s="26" t="n">
        <v>-0.0851738</v>
      </c>
      <c r="H146" s="26" t="n">
        <v>51.517155</v>
      </c>
      <c r="I146" s="26" t="s">
        <v>931</v>
      </c>
      <c r="J146" s="26" t="s">
        <v>7965</v>
      </c>
      <c r="K146" s="26" t="s">
        <v>340</v>
      </c>
      <c r="L146" s="26" t="s">
        <v>7396</v>
      </c>
      <c r="M146" s="26" t="s">
        <v>1357</v>
      </c>
      <c r="N146" s="25" t="s">
        <v>7435</v>
      </c>
      <c r="O146" s="26" t="s">
        <v>7966</v>
      </c>
      <c r="P146" s="26" t="n">
        <f aca="false">IF(A146=O146, 1, 0)</f>
        <v>0</v>
      </c>
    </row>
    <row r="147" customFormat="false" ht="13.8" hidden="false" customHeight="false" outlineLevel="0" collapsed="false">
      <c r="A147" s="26" t="n">
        <v>636709</v>
      </c>
      <c r="B147" s="26" t="n">
        <v>1913</v>
      </c>
      <c r="C147" s="26" t="s">
        <v>7967</v>
      </c>
      <c r="D147" s="26" t="n">
        <v>2430.724</v>
      </c>
      <c r="E147" s="26" t="s">
        <v>7968</v>
      </c>
      <c r="F147" s="26" t="s">
        <v>7969</v>
      </c>
      <c r="G147" s="26" t="n">
        <v>-0.1385248</v>
      </c>
      <c r="H147" s="26" t="n">
        <v>51.506909</v>
      </c>
      <c r="I147" s="26" t="s">
        <v>110</v>
      </c>
      <c r="J147" s="26" t="s">
        <v>7467</v>
      </c>
      <c r="K147" s="26" t="s">
        <v>340</v>
      </c>
      <c r="L147" s="26" t="s">
        <v>7396</v>
      </c>
      <c r="M147" s="26" t="s">
        <v>152</v>
      </c>
      <c r="N147" s="25" t="s">
        <v>7445</v>
      </c>
      <c r="O147" s="26" t="s">
        <v>7468</v>
      </c>
      <c r="P147" s="26" t="n">
        <f aca="false">IF(A147=O147, 1, 0)</f>
        <v>0</v>
      </c>
    </row>
    <row r="148" customFormat="false" ht="13.8" hidden="false" customHeight="false" outlineLevel="0" collapsed="false">
      <c r="A148" s="26" t="n">
        <v>653274</v>
      </c>
      <c r="B148" s="26" t="n">
        <v>1914</v>
      </c>
      <c r="C148" s="26" t="s">
        <v>7970</v>
      </c>
      <c r="D148" s="26" t="n">
        <v>2958580</v>
      </c>
      <c r="E148" s="26" t="s">
        <v>7971</v>
      </c>
      <c r="F148" s="26" t="s">
        <v>137</v>
      </c>
      <c r="G148" s="26" t="n">
        <v>28.0473051</v>
      </c>
      <c r="H148" s="26" t="n">
        <v>-26.2041028</v>
      </c>
      <c r="I148" s="26" t="s">
        <v>214</v>
      </c>
      <c r="J148" s="26" t="s">
        <v>7972</v>
      </c>
      <c r="K148" s="26" t="s">
        <v>7480</v>
      </c>
      <c r="L148" s="26" t="s">
        <v>7396</v>
      </c>
      <c r="M148" s="26" t="s">
        <v>3298</v>
      </c>
      <c r="N148" s="25" t="s">
        <v>7445</v>
      </c>
      <c r="O148" s="26" t="s">
        <v>7973</v>
      </c>
      <c r="P148" s="26" t="n">
        <f aca="false">IF(A148=O148, 1, 0)</f>
        <v>0</v>
      </c>
    </row>
    <row r="149" customFormat="false" ht="13.8" hidden="false" customHeight="false" outlineLevel="0" collapsed="false">
      <c r="A149" s="26" t="n">
        <v>655194</v>
      </c>
      <c r="B149" s="26" t="n">
        <v>1914</v>
      </c>
      <c r="C149" s="26" t="s">
        <v>7974</v>
      </c>
      <c r="D149" s="26" t="n">
        <v>110947239</v>
      </c>
      <c r="E149" s="26" t="s">
        <v>7975</v>
      </c>
      <c r="F149" s="26" t="s">
        <v>32</v>
      </c>
      <c r="G149" s="26" t="n">
        <v>-0.1277583</v>
      </c>
      <c r="H149" s="26" t="n">
        <v>51.5073509</v>
      </c>
      <c r="I149" s="26" t="s">
        <v>110</v>
      </c>
      <c r="J149" s="26" t="s">
        <v>7976</v>
      </c>
      <c r="K149" s="26" t="s">
        <v>340</v>
      </c>
      <c r="L149" s="26" t="s">
        <v>7396</v>
      </c>
      <c r="M149" s="26" t="s">
        <v>1357</v>
      </c>
      <c r="N149" s="25" t="s">
        <v>7396</v>
      </c>
      <c r="O149" s="26" t="n">
        <v>402715</v>
      </c>
      <c r="P149" s="26" t="n">
        <f aca="false">IF(A149=O149, 1, 0)</f>
        <v>0</v>
      </c>
    </row>
    <row r="150" customFormat="false" ht="13.8" hidden="false" customHeight="false" outlineLevel="0" collapsed="false">
      <c r="A150" s="26" t="n">
        <v>661814</v>
      </c>
      <c r="B150" s="26" t="n">
        <v>1914</v>
      </c>
      <c r="C150" s="26" t="s">
        <v>7977</v>
      </c>
      <c r="D150" s="26" t="n">
        <v>1109467</v>
      </c>
      <c r="E150" s="26" t="s">
        <v>7978</v>
      </c>
      <c r="F150" s="26" t="s">
        <v>32</v>
      </c>
      <c r="G150" s="26" t="n">
        <v>-0.1277583</v>
      </c>
      <c r="H150" s="26" t="n">
        <v>51.5073509</v>
      </c>
      <c r="I150" s="26" t="s">
        <v>110</v>
      </c>
      <c r="J150" s="26" t="s">
        <v>7979</v>
      </c>
      <c r="K150" s="26" t="s">
        <v>340</v>
      </c>
      <c r="L150" s="26" t="s">
        <v>7396</v>
      </c>
      <c r="M150" s="26" t="s">
        <v>1357</v>
      </c>
      <c r="N150" s="26" t="s">
        <v>7450</v>
      </c>
      <c r="O150" s="26" t="s">
        <v>7980</v>
      </c>
      <c r="P150" s="26" t="n">
        <f aca="false">IF(A150=O150, 1, 0)</f>
        <v>0</v>
      </c>
    </row>
    <row r="151" customFormat="false" ht="13.8" hidden="false" customHeight="false" outlineLevel="0" collapsed="false">
      <c r="A151" s="26" t="n">
        <v>666512</v>
      </c>
      <c r="B151" s="26" t="n">
        <v>1914</v>
      </c>
      <c r="C151" s="26" t="s">
        <v>6839</v>
      </c>
      <c r="D151" s="26" t="n">
        <v>295858</v>
      </c>
      <c r="E151" s="26" t="s">
        <v>7981</v>
      </c>
      <c r="F151" s="26" t="s">
        <v>549</v>
      </c>
      <c r="G151" s="26" t="n">
        <v>-75.5993692</v>
      </c>
      <c r="H151" s="26" t="n">
        <v>38.3606736</v>
      </c>
      <c r="I151" s="26" t="s">
        <v>110</v>
      </c>
      <c r="J151" s="26" t="s">
        <v>7558</v>
      </c>
      <c r="K151" s="26" t="s">
        <v>7430</v>
      </c>
      <c r="L151" s="26" t="s">
        <v>7396</v>
      </c>
      <c r="M151" s="26" t="s">
        <v>152</v>
      </c>
      <c r="N151" s="26" t="s">
        <v>7445</v>
      </c>
      <c r="O151" s="26" t="s">
        <v>7559</v>
      </c>
      <c r="P151" s="26" t="n">
        <f aca="false">IF(A151=O151, 1, 0)</f>
        <v>0</v>
      </c>
    </row>
    <row r="152" customFormat="false" ht="13.8" hidden="false" customHeight="false" outlineLevel="0" collapsed="false">
      <c r="A152" s="26" t="n">
        <v>671711</v>
      </c>
      <c r="B152" s="26" t="n">
        <v>1914</v>
      </c>
      <c r="C152" s="26" t="s">
        <v>7982</v>
      </c>
      <c r="D152" s="26" t="n">
        <v>5901834</v>
      </c>
      <c r="E152" s="26" t="s">
        <v>7983</v>
      </c>
      <c r="F152" s="26" t="s">
        <v>32</v>
      </c>
      <c r="G152" s="26" t="n">
        <v>-0.1277583</v>
      </c>
      <c r="H152" s="26" t="n">
        <v>51.5073509</v>
      </c>
      <c r="I152" s="26" t="s">
        <v>882</v>
      </c>
      <c r="J152" s="26" t="s">
        <v>7984</v>
      </c>
      <c r="K152" s="26" t="s">
        <v>340</v>
      </c>
      <c r="L152" s="26" t="s">
        <v>7396</v>
      </c>
      <c r="M152" s="26" t="s">
        <v>1357</v>
      </c>
      <c r="N152" s="25" t="s">
        <v>7435</v>
      </c>
      <c r="O152" s="26" t="s">
        <v>7985</v>
      </c>
      <c r="P152" s="26" t="n">
        <f aca="false">IF(A152=O152, 1, 0)</f>
        <v>0</v>
      </c>
    </row>
    <row r="153" customFormat="false" ht="13.8" hidden="false" customHeight="false" outlineLevel="0" collapsed="false">
      <c r="A153" s="26" t="n">
        <v>672178</v>
      </c>
      <c r="B153" s="26" t="n">
        <v>1914</v>
      </c>
      <c r="C153" s="26" t="s">
        <v>6856</v>
      </c>
      <c r="D153" s="26" t="n">
        <v>1478797</v>
      </c>
      <c r="E153" s="26" t="s">
        <v>7986</v>
      </c>
      <c r="F153" s="26" t="s">
        <v>137</v>
      </c>
      <c r="G153" s="26" t="n">
        <v>28.0473051</v>
      </c>
      <c r="H153" s="26" t="n">
        <v>-26.2041028</v>
      </c>
      <c r="I153" s="26" t="s">
        <v>110</v>
      </c>
      <c r="J153" s="26" t="s">
        <v>7987</v>
      </c>
      <c r="K153" s="26" t="s">
        <v>7480</v>
      </c>
      <c r="L153" s="26" t="s">
        <v>7396</v>
      </c>
      <c r="M153" s="26" t="s">
        <v>1357</v>
      </c>
      <c r="N153" s="25" t="s">
        <v>7435</v>
      </c>
      <c r="O153" s="26" t="s">
        <v>7988</v>
      </c>
      <c r="P153" s="26" t="n">
        <f aca="false">IF(A153=O153, 1, 0)</f>
        <v>0</v>
      </c>
    </row>
    <row r="154" customFormat="false" ht="13.8" hidden="false" customHeight="false" outlineLevel="0" collapsed="false">
      <c r="A154" s="26" t="n">
        <v>680655</v>
      </c>
      <c r="B154" s="26" t="n">
        <v>1914</v>
      </c>
      <c r="C154" s="26" t="s">
        <v>7319</v>
      </c>
      <c r="D154" s="26" t="n">
        <v>875912.4</v>
      </c>
      <c r="E154" s="26" t="s">
        <v>7989</v>
      </c>
      <c r="F154" s="26" t="s">
        <v>32</v>
      </c>
      <c r="G154" s="26" t="n">
        <v>-0.1277583</v>
      </c>
      <c r="H154" s="26" t="n">
        <v>51.5073509</v>
      </c>
      <c r="I154" s="26" t="s">
        <v>1357</v>
      </c>
      <c r="J154" s="26" t="s">
        <v>7990</v>
      </c>
      <c r="K154" s="26" t="s">
        <v>340</v>
      </c>
      <c r="L154" s="26" t="s">
        <v>7396</v>
      </c>
      <c r="M154" s="26" t="s">
        <v>1357</v>
      </c>
      <c r="N154" s="25" t="s">
        <v>7435</v>
      </c>
      <c r="O154" s="26" t="s">
        <v>7991</v>
      </c>
      <c r="P154" s="26" t="n">
        <f aca="false">IF(A154=O154, 1, 0)</f>
        <v>0</v>
      </c>
    </row>
    <row r="155" customFormat="false" ht="13.8" hidden="false" customHeight="false" outlineLevel="0" collapsed="false">
      <c r="A155" s="26" t="n">
        <v>687641</v>
      </c>
      <c r="B155" s="26" t="n">
        <v>1914</v>
      </c>
      <c r="C155" s="26" t="s">
        <v>6811</v>
      </c>
      <c r="D155" s="26" t="n">
        <v>805670.6</v>
      </c>
      <c r="E155" s="26" t="s">
        <v>7992</v>
      </c>
      <c r="F155" s="26" t="s">
        <v>32</v>
      </c>
      <c r="G155" s="26" t="n">
        <v>-0.1277583</v>
      </c>
      <c r="H155" s="26" t="n">
        <v>51.5073509</v>
      </c>
      <c r="I155" s="26" t="s">
        <v>110</v>
      </c>
      <c r="J155" s="26" t="s">
        <v>7993</v>
      </c>
      <c r="K155" s="26" t="s">
        <v>340</v>
      </c>
      <c r="L155" s="26" t="s">
        <v>7396</v>
      </c>
      <c r="M155" s="26" t="s">
        <v>7440</v>
      </c>
      <c r="N155" s="26" t="s">
        <v>4306</v>
      </c>
      <c r="O155" s="26" t="s">
        <v>7994</v>
      </c>
      <c r="P155" s="26" t="n">
        <f aca="false">IF(A155=O155, 1, 0)</f>
        <v>0</v>
      </c>
    </row>
    <row r="156" customFormat="false" ht="13.8" hidden="false" customHeight="false" outlineLevel="0" collapsed="false">
      <c r="A156" s="26" t="n">
        <v>687805</v>
      </c>
      <c r="B156" s="26" t="n">
        <v>1914</v>
      </c>
      <c r="C156" s="26" t="s">
        <v>7995</v>
      </c>
      <c r="D156" s="26" t="n">
        <v>486854.9</v>
      </c>
      <c r="E156" s="26" t="s">
        <v>7996</v>
      </c>
      <c r="F156" s="26" t="s">
        <v>164</v>
      </c>
      <c r="G156" s="26" t="n">
        <v>-3.943646</v>
      </c>
      <c r="H156" s="26" t="n">
        <v>51.62144</v>
      </c>
      <c r="I156" s="26" t="s">
        <v>110</v>
      </c>
      <c r="J156" s="25" t="s">
        <v>7997</v>
      </c>
      <c r="K156" s="26" t="s">
        <v>340</v>
      </c>
      <c r="L156" s="26" t="s">
        <v>7396</v>
      </c>
      <c r="M156" s="26" t="s">
        <v>1357</v>
      </c>
      <c r="N156" s="25" t="s">
        <v>7435</v>
      </c>
      <c r="O156" s="26" t="s">
        <v>7998</v>
      </c>
      <c r="P156" s="26" t="n">
        <f aca="false">IF(A156=O156, 1, 0)</f>
        <v>0</v>
      </c>
    </row>
    <row r="157" customFormat="false" ht="13.8" hidden="false" customHeight="false" outlineLevel="0" collapsed="false">
      <c r="A157" s="26" t="n">
        <v>691075</v>
      </c>
      <c r="B157" s="26" t="n">
        <v>1914</v>
      </c>
      <c r="C157" s="26" t="s">
        <v>7999</v>
      </c>
      <c r="D157" s="26" t="n">
        <v>123274.2</v>
      </c>
      <c r="E157" s="26" t="s">
        <v>8000</v>
      </c>
      <c r="F157" s="26" t="s">
        <v>32</v>
      </c>
      <c r="G157" s="26" t="n">
        <v>-0.1277583</v>
      </c>
      <c r="H157" s="26" t="n">
        <v>51.5073509</v>
      </c>
      <c r="I157" s="26" t="s">
        <v>1357</v>
      </c>
      <c r="J157" s="26" t="s">
        <v>8001</v>
      </c>
      <c r="K157" s="26" t="s">
        <v>340</v>
      </c>
      <c r="L157" s="26" t="s">
        <v>7396</v>
      </c>
      <c r="M157" s="26" t="s">
        <v>1357</v>
      </c>
      <c r="N157" s="25" t="s">
        <v>7396</v>
      </c>
      <c r="O157" s="26" t="n">
        <v>421555</v>
      </c>
      <c r="P157" s="26" t="n">
        <f aca="false">IF(A157=O157, 1, 0)</f>
        <v>0</v>
      </c>
    </row>
    <row r="158" customFormat="false" ht="13.8" hidden="false" customHeight="false" outlineLevel="0" collapsed="false">
      <c r="A158" s="26" t="n">
        <v>693546</v>
      </c>
      <c r="B158" s="26" t="n">
        <v>1914</v>
      </c>
      <c r="C158" s="26" t="s">
        <v>8002</v>
      </c>
      <c r="D158" s="26" t="n">
        <v>246548.3</v>
      </c>
      <c r="E158" s="26" t="s">
        <v>8003</v>
      </c>
      <c r="F158" s="26" t="s">
        <v>32</v>
      </c>
      <c r="G158" s="26" t="n">
        <v>-0.1277583</v>
      </c>
      <c r="H158" s="26" t="n">
        <v>51.5073509</v>
      </c>
      <c r="I158" s="26" t="s">
        <v>110</v>
      </c>
      <c r="J158" s="26" t="s">
        <v>8004</v>
      </c>
      <c r="K158" s="26" t="s">
        <v>340</v>
      </c>
      <c r="L158" s="26" t="s">
        <v>7396</v>
      </c>
      <c r="M158" s="26" t="s">
        <v>3298</v>
      </c>
      <c r="N158" s="25" t="s">
        <v>4701</v>
      </c>
      <c r="O158" s="26" t="s">
        <v>8005</v>
      </c>
      <c r="P158" s="26" t="n">
        <f aca="false">IF(A158=O158, 1, 0)</f>
        <v>0</v>
      </c>
    </row>
    <row r="159" customFormat="false" ht="13.8" hidden="false" customHeight="false" outlineLevel="0" collapsed="false">
      <c r="A159" s="26" t="n">
        <v>694819</v>
      </c>
      <c r="B159" s="26" t="n">
        <v>1914</v>
      </c>
      <c r="C159" s="26" t="s">
        <v>8006</v>
      </c>
      <c r="D159" s="26" t="n">
        <v>4235638</v>
      </c>
      <c r="E159" s="26" t="s">
        <v>8007</v>
      </c>
      <c r="F159" s="26" t="s">
        <v>32</v>
      </c>
      <c r="G159" s="26" t="n">
        <v>-0.1277583</v>
      </c>
      <c r="H159" s="26" t="n">
        <v>51.5073509</v>
      </c>
      <c r="I159" s="26" t="s">
        <v>882</v>
      </c>
      <c r="J159" s="26" t="s">
        <v>8008</v>
      </c>
      <c r="K159" s="26" t="s">
        <v>340</v>
      </c>
      <c r="L159" s="26" t="s">
        <v>7396</v>
      </c>
      <c r="M159" s="26" t="s">
        <v>1357</v>
      </c>
      <c r="N159" s="25" t="s">
        <v>7435</v>
      </c>
      <c r="O159" s="26" t="s">
        <v>8009</v>
      </c>
      <c r="P159" s="26" t="n">
        <f aca="false">IF(A159=O159, 1, 0)</f>
        <v>0</v>
      </c>
    </row>
    <row r="160" customFormat="false" ht="13.8" hidden="false" customHeight="false" outlineLevel="0" collapsed="false">
      <c r="A160" s="26" t="n">
        <v>699336</v>
      </c>
      <c r="B160" s="26" t="n">
        <v>1914</v>
      </c>
      <c r="C160" s="26" t="s">
        <v>8010</v>
      </c>
      <c r="D160" s="26" t="n">
        <v>369640</v>
      </c>
      <c r="E160" s="26" t="s">
        <v>8011</v>
      </c>
      <c r="F160" s="26" t="s">
        <v>32</v>
      </c>
      <c r="G160" s="26" t="n">
        <v>-0.1277583</v>
      </c>
      <c r="H160" s="26" t="n">
        <v>51.5073509</v>
      </c>
      <c r="I160" s="26" t="s">
        <v>214</v>
      </c>
      <c r="J160" s="26" t="s">
        <v>7583</v>
      </c>
      <c r="K160" s="26" t="s">
        <v>340</v>
      </c>
      <c r="L160" s="26" t="s">
        <v>7396</v>
      </c>
      <c r="M160" s="26" t="s">
        <v>152</v>
      </c>
      <c r="N160" s="25" t="s">
        <v>7445</v>
      </c>
      <c r="O160" s="26" t="s">
        <v>7584</v>
      </c>
      <c r="P160" s="26" t="n">
        <f aca="false">IF(A160=O160, 1, 0)</f>
        <v>0</v>
      </c>
    </row>
    <row r="161" customFormat="false" ht="13.8" hidden="false" customHeight="false" outlineLevel="0" collapsed="false">
      <c r="A161" s="26" t="n">
        <v>703223</v>
      </c>
      <c r="B161" s="26" t="n">
        <v>1914</v>
      </c>
      <c r="C161" s="26" t="s">
        <v>8012</v>
      </c>
      <c r="D161" s="26" t="n">
        <v>59171.59763</v>
      </c>
      <c r="E161" s="26" t="s">
        <v>8013</v>
      </c>
      <c r="F161" s="26" t="s">
        <v>40</v>
      </c>
      <c r="G161" s="26" t="n">
        <v>142.7027956</v>
      </c>
      <c r="H161" s="26" t="n">
        <v>-20.9175738</v>
      </c>
      <c r="I161" s="26" t="s">
        <v>110</v>
      </c>
      <c r="J161" s="26" t="s">
        <v>8014</v>
      </c>
      <c r="K161" s="26" t="s">
        <v>145</v>
      </c>
      <c r="L161" s="26" t="s">
        <v>7396</v>
      </c>
      <c r="M161" s="26" t="s">
        <v>152</v>
      </c>
      <c r="N161" s="25" t="s">
        <v>7445</v>
      </c>
      <c r="O161" s="26" t="s">
        <v>8015</v>
      </c>
      <c r="P161" s="26" t="n">
        <f aca="false">IF(A161=O161, 1, 0)</f>
        <v>0</v>
      </c>
    </row>
    <row r="162" customFormat="false" ht="13.8" hidden="false" customHeight="false" outlineLevel="0" collapsed="false">
      <c r="A162" s="26" t="n">
        <v>706473</v>
      </c>
      <c r="B162" s="26" t="n">
        <v>1914</v>
      </c>
      <c r="C162" s="26" t="s">
        <v>8016</v>
      </c>
      <c r="D162" s="26" t="n">
        <v>197238.6588</v>
      </c>
      <c r="E162" s="26" t="s">
        <v>8017</v>
      </c>
      <c r="F162" s="26" t="s">
        <v>8018</v>
      </c>
      <c r="G162" s="26" t="n">
        <v>-107.6645057</v>
      </c>
      <c r="H162" s="26" t="n">
        <v>37.811941</v>
      </c>
      <c r="I162" s="26" t="s">
        <v>110</v>
      </c>
      <c r="J162" s="26" t="s">
        <v>8019</v>
      </c>
      <c r="K162" s="26" t="s">
        <v>7430</v>
      </c>
      <c r="L162" s="26" t="s">
        <v>7396</v>
      </c>
      <c r="M162" s="26" t="s">
        <v>1357</v>
      </c>
      <c r="N162" s="25" t="s">
        <v>7435</v>
      </c>
      <c r="O162" s="26" t="s">
        <v>8020</v>
      </c>
      <c r="P162" s="26" t="n">
        <f aca="false">IF(A162=O162, 1, 0)</f>
        <v>0</v>
      </c>
    </row>
    <row r="163" customFormat="false" ht="13.8" hidden="false" customHeight="false" outlineLevel="0" collapsed="false">
      <c r="A163" s="26" t="n">
        <v>716526</v>
      </c>
      <c r="B163" s="26" t="n">
        <v>1915</v>
      </c>
      <c r="C163" s="26" t="s">
        <v>8021</v>
      </c>
      <c r="D163" s="26" t="n">
        <v>1503330.162</v>
      </c>
      <c r="E163" s="26" t="s">
        <v>8022</v>
      </c>
      <c r="F163" s="26" t="s">
        <v>378</v>
      </c>
      <c r="G163" s="26" t="n">
        <v>-1.61778</v>
      </c>
      <c r="H163" s="26" t="n">
        <v>54.978252</v>
      </c>
      <c r="I163" s="26" t="s">
        <v>882</v>
      </c>
      <c r="J163" s="26" t="s">
        <v>8023</v>
      </c>
      <c r="K163" s="26" t="s">
        <v>340</v>
      </c>
      <c r="L163" s="26" t="s">
        <v>7396</v>
      </c>
      <c r="M163" s="26" t="s">
        <v>3298</v>
      </c>
      <c r="N163" s="26" t="s">
        <v>4306</v>
      </c>
      <c r="O163" s="26" t="s">
        <v>8024</v>
      </c>
      <c r="P163" s="26" t="n">
        <f aca="false">IF(A163=O163, 1, 0)</f>
        <v>0</v>
      </c>
    </row>
    <row r="164" customFormat="false" ht="13.8" hidden="false" customHeight="false" outlineLevel="0" collapsed="false">
      <c r="A164" s="26" t="n">
        <v>719472</v>
      </c>
      <c r="B164" s="26" t="n">
        <v>1915</v>
      </c>
      <c r="C164" s="26" t="s">
        <v>8025</v>
      </c>
      <c r="D164" s="26" t="n">
        <v>2854424.358</v>
      </c>
      <c r="E164" s="26" t="s">
        <v>8026</v>
      </c>
      <c r="F164" s="26" t="s">
        <v>8027</v>
      </c>
      <c r="G164" s="26" t="n">
        <v>-75.1652215</v>
      </c>
      <c r="H164" s="26" t="n">
        <v>39.9525839</v>
      </c>
      <c r="I164" s="26" t="s">
        <v>882</v>
      </c>
      <c r="J164" s="26" t="s">
        <v>8028</v>
      </c>
      <c r="K164" s="26" t="s">
        <v>7430</v>
      </c>
      <c r="L164" s="26" t="s">
        <v>7396</v>
      </c>
      <c r="M164" s="26" t="s">
        <v>1357</v>
      </c>
      <c r="N164" s="26" t="s">
        <v>7396</v>
      </c>
      <c r="O164" s="26" t="n">
        <v>1080201</v>
      </c>
      <c r="P164" s="26" t="n">
        <f aca="false">IF(A164=O164, 1, 0)</f>
        <v>0</v>
      </c>
    </row>
    <row r="165" customFormat="false" ht="13.8" hidden="false" customHeight="false" outlineLevel="0" collapsed="false">
      <c r="A165" s="26" t="n">
        <v>728926</v>
      </c>
      <c r="B165" s="26" t="n">
        <v>1915</v>
      </c>
      <c r="C165" s="26" t="s">
        <v>8029</v>
      </c>
      <c r="D165" s="26" t="n">
        <v>4757373.93</v>
      </c>
      <c r="E165" s="26" t="s">
        <v>8030</v>
      </c>
      <c r="F165" s="26" t="s">
        <v>32</v>
      </c>
      <c r="G165" s="26" t="n">
        <v>-0.1277583</v>
      </c>
      <c r="H165" s="26" t="n">
        <v>51.5073509</v>
      </c>
      <c r="I165" s="26" t="s">
        <v>110</v>
      </c>
      <c r="J165" s="26" t="s">
        <v>7987</v>
      </c>
      <c r="K165" s="26" t="s">
        <v>340</v>
      </c>
      <c r="L165" s="26" t="s">
        <v>7396</v>
      </c>
      <c r="M165" s="26" t="s">
        <v>1357</v>
      </c>
      <c r="N165" s="25" t="s">
        <v>7435</v>
      </c>
      <c r="O165" s="26" t="s">
        <v>7988</v>
      </c>
      <c r="P165" s="26" t="n">
        <f aca="false">IF(A165=O165, 1, 0)</f>
        <v>0</v>
      </c>
    </row>
    <row r="166" customFormat="false" ht="13.8" hidden="false" customHeight="false" outlineLevel="0" collapsed="false">
      <c r="A166" s="26" t="n">
        <v>729417</v>
      </c>
      <c r="B166" s="26" t="n">
        <v>1915</v>
      </c>
      <c r="C166" s="26" t="s">
        <v>8031</v>
      </c>
      <c r="D166" s="26" t="n">
        <v>356803.0448</v>
      </c>
      <c r="E166" s="26" t="s">
        <v>8032</v>
      </c>
      <c r="F166" s="26" t="s">
        <v>145</v>
      </c>
      <c r="G166" s="26" t="n">
        <v>133.775136</v>
      </c>
      <c r="H166" s="26" t="n">
        <v>-25.274398</v>
      </c>
      <c r="I166" s="26" t="s">
        <v>882</v>
      </c>
      <c r="J166" s="26" t="s">
        <v>8033</v>
      </c>
      <c r="K166" s="26" t="s">
        <v>145</v>
      </c>
      <c r="L166" s="26" t="s">
        <v>7396</v>
      </c>
      <c r="M166" s="26" t="s">
        <v>1357</v>
      </c>
      <c r="N166" s="25" t="s">
        <v>7435</v>
      </c>
      <c r="O166" s="26" t="s">
        <v>8034</v>
      </c>
      <c r="P166" s="26" t="n">
        <f aca="false">IF(A166=O166, 1, 0)</f>
        <v>0</v>
      </c>
    </row>
    <row r="167" customFormat="false" ht="13.8" hidden="false" customHeight="false" outlineLevel="0" collapsed="false">
      <c r="A167" s="26" t="n">
        <v>732911</v>
      </c>
      <c r="B167" s="26" t="n">
        <v>1915</v>
      </c>
      <c r="C167" s="26" t="s">
        <v>6814</v>
      </c>
      <c r="D167" s="26" t="n">
        <v>737392.9592</v>
      </c>
      <c r="E167" s="26" t="s">
        <v>8035</v>
      </c>
      <c r="F167" s="26" t="s">
        <v>32</v>
      </c>
      <c r="G167" s="26" t="n">
        <v>-0.1277583</v>
      </c>
      <c r="H167" s="26" t="n">
        <v>51.5073509</v>
      </c>
      <c r="I167" s="26" t="s">
        <v>110</v>
      </c>
      <c r="J167" s="26" t="s">
        <v>8036</v>
      </c>
      <c r="K167" s="26" t="s">
        <v>340</v>
      </c>
      <c r="L167" s="26" t="s">
        <v>7396</v>
      </c>
      <c r="M167" s="26" t="s">
        <v>3298</v>
      </c>
      <c r="N167" s="26" t="s">
        <v>4297</v>
      </c>
      <c r="O167" s="26" t="s">
        <v>8037</v>
      </c>
      <c r="P167" s="26" t="n">
        <f aca="false">IF(A167=O167, 1, 0)</f>
        <v>0</v>
      </c>
    </row>
    <row r="168" customFormat="false" ht="13.8" hidden="false" customHeight="false" outlineLevel="0" collapsed="false">
      <c r="A168" s="26" t="n">
        <v>736062</v>
      </c>
      <c r="B168" s="26" t="n">
        <v>1915</v>
      </c>
      <c r="C168" s="26" t="s">
        <v>8038</v>
      </c>
      <c r="D168" s="26" t="n">
        <v>475737.393</v>
      </c>
      <c r="E168" s="26" t="s">
        <v>8039</v>
      </c>
      <c r="F168" s="26" t="s">
        <v>32</v>
      </c>
      <c r="G168" s="26" t="n">
        <v>-0.1277583</v>
      </c>
      <c r="H168" s="26" t="n">
        <v>51.5073509</v>
      </c>
      <c r="I168" s="26" t="s">
        <v>110</v>
      </c>
      <c r="J168" s="26" t="s">
        <v>7605</v>
      </c>
      <c r="K168" s="26" t="s">
        <v>340</v>
      </c>
      <c r="L168" s="26" t="s">
        <v>7396</v>
      </c>
      <c r="M168" s="26" t="s">
        <v>7606</v>
      </c>
      <c r="N168" s="25" t="s">
        <v>7445</v>
      </c>
      <c r="O168" s="26" t="s">
        <v>7607</v>
      </c>
      <c r="P168" s="26" t="n">
        <f aca="false">IF(A168=O168, 1, 0)</f>
        <v>0</v>
      </c>
    </row>
    <row r="169" customFormat="false" ht="13.8" hidden="false" customHeight="false" outlineLevel="0" collapsed="false">
      <c r="A169" s="26" t="n">
        <v>737341</v>
      </c>
      <c r="B169" s="26" t="n">
        <v>1915</v>
      </c>
      <c r="C169" s="26" t="s">
        <v>8040</v>
      </c>
      <c r="D169" s="26" t="n">
        <v>71360.60895</v>
      </c>
      <c r="E169" s="26" t="s">
        <v>8041</v>
      </c>
      <c r="F169" s="26" t="s">
        <v>117</v>
      </c>
      <c r="G169" s="26" t="n">
        <v>-4.251806</v>
      </c>
      <c r="H169" s="26" t="n">
        <v>55.864237</v>
      </c>
      <c r="I169" s="26" t="s">
        <v>110</v>
      </c>
      <c r="J169" s="26" t="s">
        <v>7583</v>
      </c>
      <c r="K169" s="26" t="s">
        <v>340</v>
      </c>
      <c r="L169" s="26" t="s">
        <v>7396</v>
      </c>
      <c r="M169" s="26" t="s">
        <v>152</v>
      </c>
      <c r="N169" s="25" t="s">
        <v>7445</v>
      </c>
      <c r="O169" s="26" t="s">
        <v>7584</v>
      </c>
      <c r="P169" s="26" t="n">
        <f aca="false">IF(A169=O169, 1, 0)</f>
        <v>0</v>
      </c>
    </row>
    <row r="170" customFormat="false" ht="13.8" hidden="false" customHeight="false" outlineLevel="0" collapsed="false">
      <c r="A170" s="26" t="n">
        <v>737546</v>
      </c>
      <c r="B170" s="26" t="n">
        <v>1915</v>
      </c>
      <c r="C170" s="26" t="s">
        <v>8042</v>
      </c>
      <c r="D170" s="26" t="n">
        <v>6684110.372</v>
      </c>
      <c r="E170" s="26" t="s">
        <v>8043</v>
      </c>
      <c r="F170" s="26" t="s">
        <v>32</v>
      </c>
      <c r="G170" s="26" t="n">
        <v>-0.1277583</v>
      </c>
      <c r="H170" s="26" t="n">
        <v>51.5073509</v>
      </c>
      <c r="I170" s="26" t="s">
        <v>1357</v>
      </c>
      <c r="J170" s="26" t="s">
        <v>8044</v>
      </c>
      <c r="K170" s="26" t="s">
        <v>340</v>
      </c>
      <c r="L170" s="26" t="s">
        <v>7396</v>
      </c>
      <c r="M170" s="26" t="s">
        <v>1357</v>
      </c>
      <c r="N170" s="25" t="s">
        <v>7435</v>
      </c>
      <c r="O170" s="26" t="s">
        <v>8045</v>
      </c>
      <c r="P170" s="26" t="n">
        <f aca="false">IF(A170=O170, 1, 0)</f>
        <v>0</v>
      </c>
    </row>
    <row r="171" customFormat="false" ht="13.8" hidden="false" customHeight="false" outlineLevel="0" collapsed="false">
      <c r="A171" s="26" t="n">
        <v>738859</v>
      </c>
      <c r="B171" s="26" t="n">
        <v>1915</v>
      </c>
      <c r="C171" s="26" t="s">
        <v>8046</v>
      </c>
      <c r="D171" s="26" t="n">
        <v>594671.7413</v>
      </c>
      <c r="E171" s="26" t="s">
        <v>8047</v>
      </c>
      <c r="F171" s="26" t="s">
        <v>32</v>
      </c>
      <c r="G171" s="26" t="n">
        <v>-0.1277583</v>
      </c>
      <c r="H171" s="26" t="n">
        <v>51.5073509</v>
      </c>
      <c r="I171" s="26" t="s">
        <v>110</v>
      </c>
      <c r="J171" s="26" t="s">
        <v>8048</v>
      </c>
      <c r="K171" s="26" t="s">
        <v>340</v>
      </c>
      <c r="L171" s="26" t="s">
        <v>7396</v>
      </c>
      <c r="M171" s="26" t="s">
        <v>152</v>
      </c>
      <c r="N171" s="25" t="s">
        <v>7445</v>
      </c>
      <c r="O171" s="26" t="s">
        <v>8049</v>
      </c>
      <c r="P171" s="26" t="n">
        <f aca="false">IF(A171=O171, 1, 0)</f>
        <v>0</v>
      </c>
    </row>
    <row r="172" customFormat="false" ht="13.8" hidden="false" customHeight="false" outlineLevel="0" collapsed="false">
      <c r="A172" s="26" t="n">
        <v>743611</v>
      </c>
      <c r="B172" s="26" t="n">
        <v>1915</v>
      </c>
      <c r="C172" s="26" t="s">
        <v>8050</v>
      </c>
      <c r="D172" s="26" t="n">
        <v>1189343.483</v>
      </c>
      <c r="E172" s="26" t="s">
        <v>8051</v>
      </c>
      <c r="F172" s="26" t="s">
        <v>137</v>
      </c>
      <c r="G172" s="26" t="n">
        <v>28.0473051</v>
      </c>
      <c r="H172" s="26" t="n">
        <v>-26.2041028</v>
      </c>
      <c r="I172" s="26" t="s">
        <v>1357</v>
      </c>
      <c r="J172" s="26" t="s">
        <v>8052</v>
      </c>
      <c r="K172" s="26" t="s">
        <v>7480</v>
      </c>
      <c r="L172" s="26" t="s">
        <v>7396</v>
      </c>
      <c r="M172" s="26" t="s">
        <v>1357</v>
      </c>
      <c r="N172" s="25" t="s">
        <v>7435</v>
      </c>
      <c r="O172" s="26" t="s">
        <v>8053</v>
      </c>
      <c r="P172" s="26" t="n">
        <f aca="false">IF(A172=O172, 1, 0)</f>
        <v>0</v>
      </c>
    </row>
    <row r="173" customFormat="false" ht="13.8" hidden="false" customHeight="false" outlineLevel="0" collapsed="false">
      <c r="A173" s="26" t="n">
        <v>747423</v>
      </c>
      <c r="B173" s="26" t="n">
        <v>1915</v>
      </c>
      <c r="C173" s="26" t="s">
        <v>6836</v>
      </c>
      <c r="D173" s="26" t="n">
        <v>380589.9144</v>
      </c>
      <c r="E173" s="26" t="s">
        <v>8054</v>
      </c>
      <c r="F173" s="26" t="s">
        <v>32</v>
      </c>
      <c r="G173" s="26" t="n">
        <v>-0.1277583</v>
      </c>
      <c r="H173" s="26" t="n">
        <v>51.5073509</v>
      </c>
      <c r="I173" s="26" t="s">
        <v>882</v>
      </c>
      <c r="J173" s="26" t="s">
        <v>8055</v>
      </c>
      <c r="K173" s="26" t="s">
        <v>340</v>
      </c>
      <c r="L173" s="26" t="s">
        <v>7396</v>
      </c>
      <c r="M173" s="26" t="s">
        <v>1357</v>
      </c>
      <c r="N173" s="25" t="s">
        <v>7435</v>
      </c>
      <c r="O173" s="26" t="s">
        <v>8056</v>
      </c>
      <c r="P173" s="26" t="n">
        <f aca="false">IF(A173=O173, 1, 0)</f>
        <v>0</v>
      </c>
    </row>
    <row r="174" customFormat="false" ht="13.8" hidden="false" customHeight="false" outlineLevel="0" collapsed="false">
      <c r="A174" s="26" t="n">
        <v>748266</v>
      </c>
      <c r="B174" s="26" t="n">
        <v>1915</v>
      </c>
      <c r="C174" s="26" t="s">
        <v>8057</v>
      </c>
      <c r="D174" s="26" t="n">
        <v>1308277.831</v>
      </c>
      <c r="E174" s="26" t="s">
        <v>8058</v>
      </c>
      <c r="F174" s="26" t="s">
        <v>48</v>
      </c>
      <c r="G174" s="26" t="n">
        <v>174.885971</v>
      </c>
      <c r="H174" s="26" t="n">
        <v>-40.900557</v>
      </c>
      <c r="I174" s="26" t="s">
        <v>882</v>
      </c>
      <c r="J174" s="26" t="s">
        <v>8059</v>
      </c>
      <c r="K174" s="26" t="s">
        <v>152</v>
      </c>
      <c r="L174" s="26" t="s">
        <v>7396</v>
      </c>
      <c r="M174" s="26" t="s">
        <v>1357</v>
      </c>
      <c r="N174" s="25" t="s">
        <v>7435</v>
      </c>
      <c r="O174" s="26" t="s">
        <v>8060</v>
      </c>
      <c r="P174" s="26" t="n">
        <f aca="false">IF(A174=O174, 1, 0)</f>
        <v>0</v>
      </c>
    </row>
    <row r="175" customFormat="false" ht="13.8" hidden="false" customHeight="false" outlineLevel="0" collapsed="false">
      <c r="A175" s="26" t="n">
        <v>749550</v>
      </c>
      <c r="B175" s="26" t="n">
        <v>1915</v>
      </c>
      <c r="C175" s="26" t="s">
        <v>6839</v>
      </c>
      <c r="D175" s="26" t="n">
        <v>3330161.751</v>
      </c>
      <c r="E175" s="26" t="s">
        <v>8061</v>
      </c>
      <c r="F175" s="26" t="s">
        <v>549</v>
      </c>
      <c r="G175" s="26" t="n">
        <v>-75.5993692</v>
      </c>
      <c r="H175" s="26" t="n">
        <v>38.3606736</v>
      </c>
      <c r="I175" s="26" t="s">
        <v>110</v>
      </c>
      <c r="J175" s="26" t="s">
        <v>7558</v>
      </c>
      <c r="K175" s="26" t="s">
        <v>7430</v>
      </c>
      <c r="L175" s="26" t="s">
        <v>7396</v>
      </c>
      <c r="M175" s="26" t="s">
        <v>152</v>
      </c>
      <c r="N175" s="26" t="s">
        <v>7445</v>
      </c>
      <c r="O175" s="26" t="s">
        <v>7559</v>
      </c>
      <c r="P175" s="26" t="n">
        <f aca="false">IF(A175=O175, 1, 0)</f>
        <v>0</v>
      </c>
    </row>
    <row r="176" customFormat="false" ht="13.8" hidden="false" customHeight="false" outlineLevel="0" collapsed="false">
      <c r="A176" s="26" t="n">
        <v>750048</v>
      </c>
      <c r="B176" s="26" t="n">
        <v>1915</v>
      </c>
      <c r="C176" s="26" t="s">
        <v>8062</v>
      </c>
      <c r="D176" s="28" t="n">
        <v>2000000</v>
      </c>
      <c r="E176" s="26" t="s">
        <v>8063</v>
      </c>
      <c r="F176" s="26" t="s">
        <v>32</v>
      </c>
      <c r="G176" s="26" t="n">
        <v>-0.1277583</v>
      </c>
      <c r="H176" s="26" t="n">
        <v>51.5073509</v>
      </c>
      <c r="I176" s="26" t="s">
        <v>214</v>
      </c>
      <c r="J176" s="26" t="s">
        <v>7834</v>
      </c>
      <c r="K176" s="26" t="s">
        <v>340</v>
      </c>
      <c r="L176" s="26" t="s">
        <v>7396</v>
      </c>
      <c r="M176" s="26" t="s">
        <v>152</v>
      </c>
      <c r="N176" s="25" t="s">
        <v>7445</v>
      </c>
      <c r="O176" s="26" t="s">
        <v>7835</v>
      </c>
      <c r="P176" s="26" t="n">
        <f aca="false">IF(A176=O176, 1, 0)</f>
        <v>0</v>
      </c>
    </row>
    <row r="177" customFormat="false" ht="13.8" hidden="false" customHeight="false" outlineLevel="0" collapsed="false">
      <c r="A177" s="26" t="n">
        <v>758303</v>
      </c>
      <c r="B177" s="26" t="n">
        <v>1915</v>
      </c>
      <c r="C177" s="26" t="s">
        <v>8064</v>
      </c>
      <c r="D177" s="26" t="n">
        <v>3092293.055</v>
      </c>
      <c r="E177" s="26" t="s">
        <v>8065</v>
      </c>
      <c r="F177" s="26" t="s">
        <v>32</v>
      </c>
      <c r="G177" s="26" t="n">
        <v>-0.1277583</v>
      </c>
      <c r="H177" s="26" t="n">
        <v>51.5073509</v>
      </c>
      <c r="I177" s="26" t="s">
        <v>214</v>
      </c>
      <c r="J177" s="26" t="s">
        <v>8066</v>
      </c>
      <c r="K177" s="26" t="s">
        <v>340</v>
      </c>
      <c r="L177" s="26" t="s">
        <v>7396</v>
      </c>
      <c r="M177" s="26" t="s">
        <v>3298</v>
      </c>
      <c r="N177" s="25" t="s">
        <v>3999</v>
      </c>
      <c r="O177" s="26" t="s">
        <v>8067</v>
      </c>
      <c r="P177" s="26" t="n">
        <f aca="false">IF(A177=O177, 1, 0)</f>
        <v>0</v>
      </c>
    </row>
    <row r="178" customFormat="false" ht="13.8" hidden="false" customHeight="false" outlineLevel="0" collapsed="false">
      <c r="A178" s="26" t="n">
        <v>759098</v>
      </c>
      <c r="B178" s="26" t="n">
        <v>1915</v>
      </c>
      <c r="C178" s="26" t="s">
        <v>8068</v>
      </c>
      <c r="D178" s="26" t="n">
        <v>2378686.965</v>
      </c>
      <c r="E178" s="26" t="s">
        <v>8069</v>
      </c>
      <c r="F178" s="26" t="s">
        <v>32</v>
      </c>
      <c r="G178" s="26" t="n">
        <v>-0.1277583</v>
      </c>
      <c r="H178" s="26" t="n">
        <v>51.5073509</v>
      </c>
      <c r="I178" s="26" t="s">
        <v>110</v>
      </c>
      <c r="J178" s="26" t="s">
        <v>7943</v>
      </c>
      <c r="K178" s="26" t="s">
        <v>340</v>
      </c>
      <c r="L178" s="26" t="s">
        <v>7396</v>
      </c>
      <c r="M178" s="26" t="s">
        <v>152</v>
      </c>
      <c r="N178" s="25" t="s">
        <v>7445</v>
      </c>
      <c r="O178" s="26" t="s">
        <v>7944</v>
      </c>
      <c r="P178" s="26" t="n">
        <f aca="false">IF(A178=O178, 1, 0)</f>
        <v>0</v>
      </c>
    </row>
    <row r="179" customFormat="false" ht="13.8" hidden="false" customHeight="false" outlineLevel="0" collapsed="false">
      <c r="A179" s="26" t="n">
        <v>760549</v>
      </c>
      <c r="B179" s="26" t="n">
        <v>1915</v>
      </c>
      <c r="C179" s="26" t="s">
        <v>8070</v>
      </c>
      <c r="D179" s="26" t="n">
        <v>999048.5253</v>
      </c>
      <c r="E179" s="26" t="s">
        <v>8071</v>
      </c>
      <c r="F179" s="26" t="s">
        <v>32</v>
      </c>
      <c r="G179" s="26" t="n">
        <v>-0.1277583</v>
      </c>
      <c r="H179" s="26" t="n">
        <v>51.5073509</v>
      </c>
      <c r="I179" s="26" t="s">
        <v>110</v>
      </c>
      <c r="J179" s="26" t="s">
        <v>7987</v>
      </c>
      <c r="K179" s="26" t="s">
        <v>340</v>
      </c>
      <c r="L179" s="26" t="s">
        <v>7396</v>
      </c>
      <c r="M179" s="26" t="s">
        <v>1357</v>
      </c>
      <c r="N179" s="25" t="s">
        <v>7435</v>
      </c>
      <c r="O179" s="26" t="s">
        <v>7988</v>
      </c>
      <c r="P179" s="26" t="n">
        <f aca="false">IF(A179=O179, 1, 0)</f>
        <v>0</v>
      </c>
    </row>
    <row r="180" customFormat="false" ht="13.8" hidden="false" customHeight="false" outlineLevel="0" collapsed="false">
      <c r="A180" s="26" t="n">
        <v>761419</v>
      </c>
      <c r="B180" s="26" t="n">
        <v>1915</v>
      </c>
      <c r="C180" s="26" t="s">
        <v>6311</v>
      </c>
      <c r="D180" s="26" t="n">
        <v>4138915.319</v>
      </c>
      <c r="E180" s="26" t="s">
        <v>8072</v>
      </c>
      <c r="F180" s="26" t="s">
        <v>413</v>
      </c>
      <c r="G180" s="26" t="n">
        <v>-97.2134822</v>
      </c>
      <c r="H180" s="26" t="n">
        <v>32.8294337</v>
      </c>
      <c r="I180" s="26" t="s">
        <v>1357</v>
      </c>
      <c r="J180" s="26" t="s">
        <v>8073</v>
      </c>
      <c r="K180" s="26" t="s">
        <v>7430</v>
      </c>
      <c r="L180" s="26" t="s">
        <v>7396</v>
      </c>
      <c r="M180" s="26" t="s">
        <v>1357</v>
      </c>
      <c r="N180" s="25" t="s">
        <v>7435</v>
      </c>
      <c r="O180" s="26" t="s">
        <v>8074</v>
      </c>
      <c r="P180" s="26" t="n">
        <f aca="false">IF(A180=O180, 1, 0)</f>
        <v>0</v>
      </c>
    </row>
    <row r="181" customFormat="false" ht="13.8" hidden="false" customHeight="false" outlineLevel="0" collapsed="false">
      <c r="A181" s="26" t="n">
        <v>761718</v>
      </c>
      <c r="B181" s="26" t="n">
        <v>1915</v>
      </c>
      <c r="C181" s="26" t="s">
        <v>8075</v>
      </c>
      <c r="D181" s="26" t="n">
        <v>285442.4358</v>
      </c>
      <c r="E181" s="26" t="s">
        <v>8076</v>
      </c>
      <c r="F181" s="26" t="s">
        <v>32</v>
      </c>
      <c r="G181" s="26" t="n">
        <v>-0.1277583</v>
      </c>
      <c r="H181" s="26" t="n">
        <v>51.5073509</v>
      </c>
      <c r="I181" s="26" t="s">
        <v>110</v>
      </c>
      <c r="J181" s="26" t="s">
        <v>8004</v>
      </c>
      <c r="K181" s="26" t="s">
        <v>340</v>
      </c>
      <c r="L181" s="26" t="s">
        <v>7396</v>
      </c>
      <c r="M181" s="26" t="s">
        <v>3298</v>
      </c>
      <c r="N181" s="25" t="s">
        <v>4701</v>
      </c>
      <c r="O181" s="26" t="s">
        <v>8005</v>
      </c>
      <c r="P181" s="26" t="n">
        <f aca="false">IF(A181=O181, 1, 0)</f>
        <v>0</v>
      </c>
    </row>
    <row r="182" customFormat="false" ht="13.8" hidden="false" customHeight="false" outlineLevel="0" collapsed="false">
      <c r="A182" s="26" t="n">
        <v>769328</v>
      </c>
      <c r="B182" s="26" t="n">
        <v>1916</v>
      </c>
      <c r="C182" s="26" t="s">
        <v>8077</v>
      </c>
      <c r="D182" s="26" t="n">
        <v>476644.4233</v>
      </c>
      <c r="E182" s="26" t="s">
        <v>8078</v>
      </c>
      <c r="F182" s="26" t="s">
        <v>137</v>
      </c>
      <c r="G182" s="26" t="n">
        <v>28.0473051</v>
      </c>
      <c r="H182" s="26" t="n">
        <v>-26.2041028</v>
      </c>
      <c r="I182" s="26" t="s">
        <v>882</v>
      </c>
      <c r="J182" s="26" t="s">
        <v>8079</v>
      </c>
      <c r="K182" s="26" t="s">
        <v>7480</v>
      </c>
      <c r="L182" s="26" t="s">
        <v>7396</v>
      </c>
      <c r="M182" s="26" t="s">
        <v>1357</v>
      </c>
      <c r="N182" s="25" t="s">
        <v>7435</v>
      </c>
      <c r="O182" s="26" t="s">
        <v>8080</v>
      </c>
      <c r="P182" s="26" t="n">
        <f aca="false">IF(A182=O182, 1, 0)</f>
        <v>0</v>
      </c>
    </row>
    <row r="183" customFormat="false" ht="13.8" hidden="false" customHeight="false" outlineLevel="0" collapsed="false">
      <c r="A183" s="26" t="n">
        <v>778489</v>
      </c>
      <c r="B183" s="26" t="n">
        <v>1916</v>
      </c>
      <c r="C183" s="26" t="s">
        <v>8081</v>
      </c>
      <c r="D183" s="26" t="n">
        <v>4766444.233</v>
      </c>
      <c r="E183" s="26" t="s">
        <v>8082</v>
      </c>
      <c r="F183" s="26" t="s">
        <v>32</v>
      </c>
      <c r="G183" s="26" t="n">
        <v>-0.1277583</v>
      </c>
      <c r="H183" s="26" t="n">
        <v>51.5073509</v>
      </c>
      <c r="I183" s="26" t="s">
        <v>882</v>
      </c>
      <c r="J183" s="26" t="s">
        <v>8083</v>
      </c>
      <c r="K183" s="26" t="s">
        <v>340</v>
      </c>
      <c r="L183" s="26" t="s">
        <v>7396</v>
      </c>
      <c r="M183" s="26" t="s">
        <v>1357</v>
      </c>
      <c r="N183" s="25" t="s">
        <v>7435</v>
      </c>
      <c r="O183" s="26" t="s">
        <v>8084</v>
      </c>
      <c r="P183" s="26" t="n">
        <f aca="false">IF(A183=O183, 1, 0)</f>
        <v>0</v>
      </c>
    </row>
    <row r="184" customFormat="false" ht="13.8" hidden="false" customHeight="false" outlineLevel="0" collapsed="false">
      <c r="A184" s="26" t="n">
        <v>782062</v>
      </c>
      <c r="B184" s="26" t="n">
        <v>1916</v>
      </c>
      <c r="C184" s="26" t="s">
        <v>8085</v>
      </c>
      <c r="D184" s="26" t="n">
        <v>6673021.926</v>
      </c>
      <c r="E184" s="26" t="s">
        <v>8086</v>
      </c>
      <c r="F184" s="26" t="s">
        <v>606</v>
      </c>
      <c r="G184" s="26" t="n">
        <v>-71.3128285</v>
      </c>
      <c r="H184" s="26" t="n">
        <v>41.4901024</v>
      </c>
      <c r="I184" s="26" t="s">
        <v>214</v>
      </c>
      <c r="J184" s="26" t="s">
        <v>7805</v>
      </c>
      <c r="K184" s="26" t="s">
        <v>7430</v>
      </c>
      <c r="L184" s="26" t="s">
        <v>7396</v>
      </c>
      <c r="M184" s="26" t="s">
        <v>4428</v>
      </c>
      <c r="N184" s="25" t="s">
        <v>7445</v>
      </c>
      <c r="O184" s="26" t="s">
        <v>7806</v>
      </c>
      <c r="P184" s="26" t="n">
        <f aca="false">IF(A184=O184, 1, 0)</f>
        <v>0</v>
      </c>
    </row>
    <row r="185" customFormat="false" ht="13.8" hidden="false" customHeight="false" outlineLevel="0" collapsed="false">
      <c r="A185" s="26" t="n">
        <v>783069</v>
      </c>
      <c r="B185" s="26" t="n">
        <v>1916</v>
      </c>
      <c r="C185" s="26" t="s">
        <v>6221</v>
      </c>
      <c r="D185" s="26" t="n">
        <v>1787416.587</v>
      </c>
      <c r="E185" s="26" t="s">
        <v>8087</v>
      </c>
      <c r="F185" s="26" t="s">
        <v>413</v>
      </c>
      <c r="G185" s="26" t="n">
        <v>-97.2134822</v>
      </c>
      <c r="H185" s="26" t="n">
        <v>32.8294337</v>
      </c>
      <c r="I185" s="26" t="s">
        <v>214</v>
      </c>
      <c r="J185" s="26" t="s">
        <v>7721</v>
      </c>
      <c r="K185" s="26" t="s">
        <v>7430</v>
      </c>
      <c r="L185" s="26" t="s">
        <v>7396</v>
      </c>
      <c r="M185" s="26" t="s">
        <v>3298</v>
      </c>
      <c r="N185" s="25" t="s">
        <v>7445</v>
      </c>
      <c r="O185" s="26" t="s">
        <v>7722</v>
      </c>
      <c r="P185" s="26" t="n">
        <f aca="false">IF(A185=O185, 1, 0)</f>
        <v>0</v>
      </c>
    </row>
    <row r="186" customFormat="false" ht="13.8" hidden="false" customHeight="false" outlineLevel="0" collapsed="false">
      <c r="A186" s="26" t="n">
        <v>783167</v>
      </c>
      <c r="B186" s="26" t="n">
        <v>1916</v>
      </c>
      <c r="C186" s="26" t="s">
        <v>8088</v>
      </c>
      <c r="D186" s="26" t="n">
        <v>95328.88466</v>
      </c>
      <c r="E186" s="26" t="s">
        <v>8089</v>
      </c>
      <c r="F186" s="26" t="s">
        <v>32</v>
      </c>
      <c r="G186" s="26" t="n">
        <v>-0.1277583</v>
      </c>
      <c r="H186" s="26" t="n">
        <v>51.5073509</v>
      </c>
      <c r="I186" s="26" t="s">
        <v>110</v>
      </c>
      <c r="J186" s="26" t="s">
        <v>8090</v>
      </c>
      <c r="K186" s="26" t="s">
        <v>340</v>
      </c>
      <c r="L186" s="26" t="s">
        <v>7396</v>
      </c>
      <c r="M186" s="26" t="s">
        <v>1357</v>
      </c>
      <c r="N186" s="26" t="s">
        <v>7396</v>
      </c>
      <c r="O186" s="26" t="n">
        <v>728596</v>
      </c>
      <c r="P186" s="26" t="n">
        <f aca="false">IF(A186=O186, 1, 0)</f>
        <v>0</v>
      </c>
    </row>
    <row r="187" customFormat="false" ht="13.8" hidden="false" customHeight="false" outlineLevel="0" collapsed="false">
      <c r="A187" s="26" t="n">
        <v>787561</v>
      </c>
      <c r="B187" s="26" t="n">
        <v>1916</v>
      </c>
      <c r="C187" s="26" t="s">
        <v>8091</v>
      </c>
      <c r="D187" s="28" t="n">
        <v>20000000</v>
      </c>
      <c r="E187" s="26" t="s">
        <v>8092</v>
      </c>
      <c r="F187" s="26" t="s">
        <v>520</v>
      </c>
      <c r="G187" s="26" t="n">
        <v>-112.0740373</v>
      </c>
      <c r="H187" s="26" t="n">
        <v>33.4483771</v>
      </c>
      <c r="I187" s="26" t="s">
        <v>110</v>
      </c>
      <c r="J187" s="26" t="s">
        <v>8093</v>
      </c>
      <c r="K187" s="26" t="s">
        <v>7430</v>
      </c>
      <c r="L187" s="26" t="s">
        <v>7396</v>
      </c>
      <c r="M187" s="26" t="s">
        <v>1357</v>
      </c>
      <c r="N187" s="26" t="s">
        <v>7450</v>
      </c>
      <c r="O187" s="26" t="s">
        <v>8094</v>
      </c>
      <c r="P187" s="26" t="n">
        <f aca="false">IF(A187=O187, 1, 0)</f>
        <v>0</v>
      </c>
    </row>
    <row r="188" customFormat="false" ht="13.8" hidden="false" customHeight="false" outlineLevel="0" collapsed="false">
      <c r="A188" s="26" t="n">
        <v>809836</v>
      </c>
      <c r="B188" s="26" t="n">
        <v>1916</v>
      </c>
      <c r="C188" s="26" t="s">
        <v>8095</v>
      </c>
      <c r="D188" s="26" t="n">
        <v>2383222.117</v>
      </c>
      <c r="E188" s="26" t="s">
        <v>8096</v>
      </c>
      <c r="F188" s="26" t="s">
        <v>8097</v>
      </c>
      <c r="G188" s="26" t="n">
        <v>-70.3975022</v>
      </c>
      <c r="H188" s="26" t="n">
        <v>-23.6509279</v>
      </c>
      <c r="I188" s="26" t="s">
        <v>1357</v>
      </c>
      <c r="J188" s="26" t="s">
        <v>8098</v>
      </c>
      <c r="K188" s="26" t="s">
        <v>1303</v>
      </c>
      <c r="L188" s="26" t="s">
        <v>7396</v>
      </c>
      <c r="M188" s="26" t="s">
        <v>1357</v>
      </c>
      <c r="N188" s="25" t="s">
        <v>7435</v>
      </c>
      <c r="O188" s="26" t="s">
        <v>8099</v>
      </c>
      <c r="P188" s="26" t="n">
        <f aca="false">IF(A188=O188, 1, 0)</f>
        <v>0</v>
      </c>
    </row>
    <row r="189" customFormat="false" ht="13.8" hidden="false" customHeight="false" outlineLevel="0" collapsed="false">
      <c r="A189" s="26" t="n">
        <v>819678</v>
      </c>
      <c r="B189" s="26" t="n">
        <v>1916</v>
      </c>
      <c r="C189" s="26" t="s">
        <v>8100</v>
      </c>
      <c r="D189" s="26" t="n">
        <v>71496.6635</v>
      </c>
      <c r="E189" s="26" t="s">
        <v>8101</v>
      </c>
      <c r="F189" s="26" t="s">
        <v>177</v>
      </c>
      <c r="G189" s="26" t="n">
        <v>-81.1830974</v>
      </c>
      <c r="H189" s="26" t="n">
        <v>43.2325617</v>
      </c>
      <c r="I189" s="26" t="s">
        <v>882</v>
      </c>
      <c r="J189" s="26" t="s">
        <v>8102</v>
      </c>
      <c r="K189" s="26" t="s">
        <v>361</v>
      </c>
      <c r="L189" s="26" t="s">
        <v>7396</v>
      </c>
      <c r="M189" s="26" t="s">
        <v>1357</v>
      </c>
      <c r="N189" s="25" t="s">
        <v>7435</v>
      </c>
      <c r="O189" s="26" t="s">
        <v>8103</v>
      </c>
      <c r="P189" s="26" t="n">
        <f aca="false">IF(A189=O189, 1, 0)</f>
        <v>0</v>
      </c>
    </row>
    <row r="190" customFormat="false" ht="13.8" hidden="false" customHeight="false" outlineLevel="0" collapsed="false">
      <c r="A190" s="26" t="n">
        <v>824045</v>
      </c>
      <c r="B190" s="26" t="n">
        <v>1916</v>
      </c>
      <c r="C190" s="26" t="s">
        <v>8104</v>
      </c>
      <c r="D190" s="26" t="n">
        <v>953288.8466</v>
      </c>
      <c r="E190" s="26" t="s">
        <v>8105</v>
      </c>
      <c r="F190" s="26" t="s">
        <v>177</v>
      </c>
      <c r="G190" s="26" t="n">
        <v>-81.1830974</v>
      </c>
      <c r="H190" s="26" t="n">
        <v>43.2325617</v>
      </c>
      <c r="I190" s="26" t="s">
        <v>110</v>
      </c>
      <c r="J190" s="26" t="s">
        <v>8106</v>
      </c>
      <c r="K190" s="26" t="s">
        <v>361</v>
      </c>
      <c r="L190" s="26" t="s">
        <v>7396</v>
      </c>
      <c r="M190" s="26" t="s">
        <v>3298</v>
      </c>
      <c r="N190" s="25" t="s">
        <v>99</v>
      </c>
      <c r="O190" s="26" t="s">
        <v>8107</v>
      </c>
      <c r="P190" s="26" t="n">
        <f aca="false">IF(A190=O190, 1, 0)</f>
        <v>0</v>
      </c>
    </row>
    <row r="191" customFormat="false" ht="13.8" hidden="false" customHeight="false" outlineLevel="0" collapsed="false">
      <c r="A191" s="26" t="n">
        <v>863645</v>
      </c>
      <c r="B191" s="26" t="n">
        <v>1917</v>
      </c>
      <c r="C191" s="26" t="s">
        <v>8108</v>
      </c>
      <c r="D191" s="26" t="n">
        <v>476644.4233</v>
      </c>
      <c r="E191" s="26" t="s">
        <v>8109</v>
      </c>
      <c r="F191" s="26" t="s">
        <v>8110</v>
      </c>
      <c r="G191" s="26" t="n">
        <v>-97.3461849</v>
      </c>
      <c r="H191" s="26" t="n">
        <v>37.6797278</v>
      </c>
      <c r="I191" s="26" t="s">
        <v>882</v>
      </c>
      <c r="J191" s="26" t="s">
        <v>8111</v>
      </c>
      <c r="K191" s="26" t="s">
        <v>7430</v>
      </c>
      <c r="L191" s="26" t="s">
        <v>7396</v>
      </c>
      <c r="M191" s="26" t="s">
        <v>1357</v>
      </c>
      <c r="N191" s="25" t="s">
        <v>7435</v>
      </c>
      <c r="O191" s="26" t="s">
        <v>8112</v>
      </c>
      <c r="P191" s="26" t="n">
        <f aca="false">IF(A191=O191, 1, 0)</f>
        <v>0</v>
      </c>
    </row>
    <row r="192" customFormat="false" ht="13.8" hidden="false" customHeight="false" outlineLevel="0" collapsed="false">
      <c r="A192" s="26" t="n">
        <v>877335</v>
      </c>
      <c r="B192" s="26" t="n">
        <v>1917</v>
      </c>
      <c r="C192" s="26" t="s">
        <v>8113</v>
      </c>
      <c r="D192" s="26" t="n">
        <v>1071939</v>
      </c>
      <c r="E192" s="26" t="s">
        <v>8114</v>
      </c>
      <c r="F192" s="26" t="s">
        <v>32</v>
      </c>
      <c r="G192" s="26" t="n">
        <v>-0.1277583</v>
      </c>
      <c r="H192" s="26" t="n">
        <v>51.50735</v>
      </c>
      <c r="I192" s="26" t="s">
        <v>882</v>
      </c>
      <c r="J192" s="26" t="s">
        <v>8115</v>
      </c>
      <c r="K192" s="26" t="s">
        <v>340</v>
      </c>
      <c r="L192" s="26" t="s">
        <v>7396</v>
      </c>
      <c r="M192" s="26" t="s">
        <v>1357</v>
      </c>
      <c r="N192" s="25" t="s">
        <v>7435</v>
      </c>
      <c r="O192" s="26" t="s">
        <v>8116</v>
      </c>
      <c r="P192" s="26" t="n">
        <f aca="false">IF(A192=O192, 1, 0)</f>
        <v>0</v>
      </c>
    </row>
    <row r="193" customFormat="false" ht="13.8" hidden="false" customHeight="false" outlineLevel="0" collapsed="false">
      <c r="A193" s="26" t="n">
        <v>886451</v>
      </c>
      <c r="B193" s="26" t="n">
        <v>1917</v>
      </c>
      <c r="C193" s="26" t="s">
        <v>8117</v>
      </c>
      <c r="D193" s="26" t="n">
        <v>1429252</v>
      </c>
      <c r="E193" s="26" t="s">
        <v>8118</v>
      </c>
      <c r="F193" s="26" t="s">
        <v>32</v>
      </c>
      <c r="G193" s="26" t="n">
        <v>-0.1277583</v>
      </c>
      <c r="H193" s="26" t="n">
        <v>51.50735</v>
      </c>
      <c r="I193" s="26" t="s">
        <v>214</v>
      </c>
      <c r="J193" s="26" t="s">
        <v>8119</v>
      </c>
      <c r="K193" s="26" t="s">
        <v>340</v>
      </c>
      <c r="L193" s="26" t="s">
        <v>7396</v>
      </c>
      <c r="M193" s="26" t="s">
        <v>1357</v>
      </c>
      <c r="N193" s="26" t="s">
        <v>7450</v>
      </c>
      <c r="O193" s="26" t="s">
        <v>8120</v>
      </c>
      <c r="P193" s="26" t="n">
        <f aca="false">IF(A193=O193, 1, 0)</f>
        <v>0</v>
      </c>
    </row>
    <row r="194" customFormat="false" ht="13.8" hidden="false" customHeight="false" outlineLevel="0" collapsed="false">
      <c r="A194" s="26" t="n">
        <v>897634</v>
      </c>
      <c r="B194" s="26" t="n">
        <v>1917</v>
      </c>
      <c r="C194" s="26" t="s">
        <v>8121</v>
      </c>
      <c r="D194" s="26" t="n">
        <v>238208.7</v>
      </c>
      <c r="E194" s="26" t="s">
        <v>8122</v>
      </c>
      <c r="F194" s="26" t="s">
        <v>32</v>
      </c>
      <c r="G194" s="26" t="n">
        <v>-0.1277583</v>
      </c>
      <c r="H194" s="26" t="n">
        <v>51.50735</v>
      </c>
      <c r="I194" s="26" t="s">
        <v>882</v>
      </c>
      <c r="J194" s="26" t="s">
        <v>8123</v>
      </c>
      <c r="K194" s="26" t="s">
        <v>340</v>
      </c>
      <c r="L194" s="26" t="s">
        <v>7396</v>
      </c>
      <c r="M194" s="26" t="s">
        <v>1357</v>
      </c>
      <c r="N194" s="25" t="s">
        <v>7435</v>
      </c>
      <c r="O194" s="26" t="s">
        <v>8124</v>
      </c>
      <c r="P194" s="26" t="n">
        <f aca="false">IF(A194=O194, 1, 0)</f>
        <v>0</v>
      </c>
    </row>
    <row r="195" customFormat="false" ht="13.8" hidden="false" customHeight="false" outlineLevel="0" collapsed="false">
      <c r="A195" s="26" t="n">
        <v>897712</v>
      </c>
      <c r="B195" s="26" t="n">
        <v>1917</v>
      </c>
      <c r="C195" s="26" t="s">
        <v>8125</v>
      </c>
      <c r="D195" s="26" t="n">
        <v>5053221</v>
      </c>
      <c r="E195" s="26" t="s">
        <v>8126</v>
      </c>
      <c r="F195" s="26" t="s">
        <v>32</v>
      </c>
      <c r="G195" s="26" t="n">
        <v>-0.1277583</v>
      </c>
      <c r="H195" s="26" t="n">
        <v>51.50735</v>
      </c>
      <c r="I195" s="26" t="s">
        <v>1357</v>
      </c>
      <c r="J195" s="26" t="s">
        <v>8127</v>
      </c>
      <c r="K195" s="26" t="s">
        <v>340</v>
      </c>
      <c r="L195" s="26" t="s">
        <v>7396</v>
      </c>
      <c r="M195" s="26" t="s">
        <v>1357</v>
      </c>
      <c r="N195" s="25" t="s">
        <v>7435</v>
      </c>
      <c r="O195" s="26" t="s">
        <v>8128</v>
      </c>
      <c r="P195" s="26" t="n">
        <f aca="false">IF(A195=O195, 1, 0)</f>
        <v>0</v>
      </c>
    </row>
    <row r="196" customFormat="false" ht="13.8" hidden="false" customHeight="false" outlineLevel="0" collapsed="false">
      <c r="A196" s="26" t="n">
        <v>903556</v>
      </c>
      <c r="B196" s="26" t="n">
        <v>1918</v>
      </c>
      <c r="C196" s="26" t="s">
        <v>8129</v>
      </c>
      <c r="D196" s="26" t="n">
        <v>426869.9381</v>
      </c>
      <c r="E196" s="26" t="s">
        <v>8130</v>
      </c>
      <c r="F196" s="26" t="s">
        <v>32</v>
      </c>
      <c r="G196" s="26" t="n">
        <v>-0.1277583</v>
      </c>
      <c r="H196" s="26" t="n">
        <v>51.5073509</v>
      </c>
      <c r="I196" s="26" t="s">
        <v>110</v>
      </c>
      <c r="J196" s="26" t="s">
        <v>8131</v>
      </c>
      <c r="K196" s="26" t="s">
        <v>340</v>
      </c>
      <c r="L196" s="26" t="s">
        <v>7396</v>
      </c>
      <c r="M196" s="26" t="s">
        <v>1357</v>
      </c>
      <c r="N196" s="25" t="s">
        <v>7435</v>
      </c>
      <c r="O196" s="26" t="s">
        <v>8132</v>
      </c>
      <c r="P196" s="26" t="n">
        <f aca="false">IF(A196=O196, 1, 0)</f>
        <v>0</v>
      </c>
    </row>
    <row r="197" customFormat="false" ht="13.8" hidden="false" customHeight="false" outlineLevel="0" collapsed="false">
      <c r="A197" s="26" t="n">
        <v>904602</v>
      </c>
      <c r="B197" s="26" t="n">
        <v>1918</v>
      </c>
      <c r="C197" s="26" t="s">
        <v>7113</v>
      </c>
      <c r="D197" s="26" t="n">
        <v>3573130.062</v>
      </c>
      <c r="E197" s="26" t="s">
        <v>8133</v>
      </c>
      <c r="F197" s="26" t="s">
        <v>248</v>
      </c>
      <c r="G197" s="26" t="n">
        <v>-95.774913</v>
      </c>
      <c r="H197" s="26" t="n">
        <v>36.0674332</v>
      </c>
      <c r="I197" s="26" t="s">
        <v>110</v>
      </c>
      <c r="J197" s="26" t="s">
        <v>8134</v>
      </c>
      <c r="K197" s="26" t="s">
        <v>7430</v>
      </c>
      <c r="L197" s="26" t="s">
        <v>7396</v>
      </c>
      <c r="M197" s="26" t="s">
        <v>1357</v>
      </c>
      <c r="N197" s="25" t="s">
        <v>7435</v>
      </c>
      <c r="O197" s="26" t="s">
        <v>8135</v>
      </c>
      <c r="P197" s="26" t="n">
        <f aca="false">IF(A197=O197, 1, 0)</f>
        <v>0</v>
      </c>
    </row>
    <row r="198" customFormat="false" ht="13.8" hidden="false" customHeight="false" outlineLevel="0" collapsed="false">
      <c r="A198" s="26" t="n">
        <v>912568</v>
      </c>
      <c r="B198" s="26" t="n">
        <v>1918</v>
      </c>
      <c r="C198" s="26" t="s">
        <v>8136</v>
      </c>
      <c r="D198" s="26" t="n">
        <v>285850.405</v>
      </c>
      <c r="E198" s="26" t="s">
        <v>8137</v>
      </c>
      <c r="F198" s="26" t="s">
        <v>32</v>
      </c>
      <c r="G198" s="26" t="n">
        <v>-0.1277583</v>
      </c>
      <c r="H198" s="26" t="n">
        <v>51.5073509</v>
      </c>
      <c r="I198" s="26" t="s">
        <v>110</v>
      </c>
      <c r="J198" s="26" t="s">
        <v>8138</v>
      </c>
      <c r="K198" s="26" t="s">
        <v>340</v>
      </c>
      <c r="L198" s="26" t="s">
        <v>7396</v>
      </c>
      <c r="M198" s="26" t="s">
        <v>1357</v>
      </c>
      <c r="N198" s="25" t="s">
        <v>7396</v>
      </c>
      <c r="O198" s="26" t="n">
        <v>525604</v>
      </c>
      <c r="P198" s="26" t="n">
        <f aca="false">IF(A198=O198, 1, 0)</f>
        <v>0</v>
      </c>
    </row>
    <row r="199" customFormat="false" ht="13.8" hidden="false" customHeight="false" outlineLevel="0" collapsed="false">
      <c r="A199" s="26" t="n">
        <v>916387</v>
      </c>
      <c r="B199" s="26" t="n">
        <v>1918</v>
      </c>
      <c r="C199" s="26" t="s">
        <v>8139</v>
      </c>
      <c r="D199" s="26" t="n">
        <v>1667460.696</v>
      </c>
      <c r="E199" s="26" t="s">
        <v>8140</v>
      </c>
      <c r="F199" s="26" t="s">
        <v>44</v>
      </c>
      <c r="G199" s="26" t="n">
        <v>-5.0527125</v>
      </c>
      <c r="H199" s="26" t="n">
        <v>50.2660471</v>
      </c>
      <c r="I199" s="26" t="s">
        <v>110</v>
      </c>
      <c r="J199" s="26" t="s">
        <v>8141</v>
      </c>
      <c r="K199" s="26" t="s">
        <v>340</v>
      </c>
      <c r="L199" s="26" t="s">
        <v>7396</v>
      </c>
      <c r="M199" s="26" t="s">
        <v>7552</v>
      </c>
      <c r="N199" s="26" t="s">
        <v>4306</v>
      </c>
      <c r="O199" s="26" t="s">
        <v>8142</v>
      </c>
      <c r="P199" s="26" t="n">
        <f aca="false">IF(A199=O199, 1, 0)</f>
        <v>0</v>
      </c>
    </row>
    <row r="200" customFormat="false" ht="13.8" hidden="false" customHeight="false" outlineLevel="0" collapsed="false">
      <c r="A200" s="26" t="n">
        <v>925933</v>
      </c>
      <c r="B200" s="26" t="n">
        <v>1918</v>
      </c>
      <c r="C200" s="26" t="s">
        <v>8143</v>
      </c>
      <c r="D200" s="26" t="n">
        <v>714626.0124</v>
      </c>
      <c r="E200" s="26" t="s">
        <v>8144</v>
      </c>
      <c r="F200" s="26" t="s">
        <v>4745</v>
      </c>
      <c r="G200" s="26" t="n">
        <v>151.2092955</v>
      </c>
      <c r="H200" s="26" t="n">
        <v>-33.8688197</v>
      </c>
      <c r="I200" s="26" t="s">
        <v>110</v>
      </c>
      <c r="J200" s="26" t="s">
        <v>8145</v>
      </c>
      <c r="K200" s="26" t="s">
        <v>145</v>
      </c>
      <c r="L200" s="26" t="s">
        <v>7396</v>
      </c>
      <c r="M200" s="26" t="s">
        <v>1357</v>
      </c>
      <c r="N200" s="26" t="s">
        <v>7396</v>
      </c>
      <c r="O200" s="26" t="n">
        <v>955900</v>
      </c>
      <c r="P200" s="26" t="n">
        <f aca="false">IF(A200=O200, 1, 0)</f>
        <v>0</v>
      </c>
    </row>
    <row r="201" customFormat="false" ht="13.8" hidden="false" customHeight="false" outlineLevel="0" collapsed="false">
      <c r="A201" s="26" t="n">
        <v>927089</v>
      </c>
      <c r="B201" s="26" t="n">
        <v>1918</v>
      </c>
      <c r="C201" s="26" t="s">
        <v>8146</v>
      </c>
      <c r="D201" s="26" t="n">
        <v>547879.9428</v>
      </c>
      <c r="E201" s="26" t="s">
        <v>8147</v>
      </c>
      <c r="F201" s="26" t="s">
        <v>32</v>
      </c>
      <c r="G201" s="26" t="n">
        <v>-0.1277583</v>
      </c>
      <c r="H201" s="26" t="n">
        <v>51.5073509</v>
      </c>
      <c r="I201" s="26" t="s">
        <v>1357</v>
      </c>
      <c r="J201" s="26" t="s">
        <v>8148</v>
      </c>
      <c r="K201" s="26" t="s">
        <v>340</v>
      </c>
      <c r="L201" s="26" t="s">
        <v>7396</v>
      </c>
      <c r="M201" s="26" t="s">
        <v>1357</v>
      </c>
      <c r="N201" s="25" t="s">
        <v>7396</v>
      </c>
      <c r="O201" s="26" t="n">
        <v>496079</v>
      </c>
      <c r="P201" s="26" t="n">
        <f aca="false">IF(A201=O201, 1, 0)</f>
        <v>0</v>
      </c>
    </row>
    <row r="202" customFormat="false" ht="13.8" hidden="false" customHeight="false" outlineLevel="0" collapsed="false">
      <c r="A202" s="26" t="n">
        <v>927529</v>
      </c>
      <c r="B202" s="26" t="n">
        <v>1918</v>
      </c>
      <c r="C202" s="26" t="s">
        <v>8149</v>
      </c>
      <c r="D202" s="26" t="n">
        <v>1429252.025</v>
      </c>
      <c r="E202" s="26" t="s">
        <v>8150</v>
      </c>
      <c r="F202" s="26" t="s">
        <v>32</v>
      </c>
      <c r="G202" s="26" t="n">
        <v>-0.1277583</v>
      </c>
      <c r="H202" s="26" t="n">
        <v>51.5073509</v>
      </c>
      <c r="I202" s="26" t="s">
        <v>1357</v>
      </c>
      <c r="J202" s="26" t="s">
        <v>8151</v>
      </c>
      <c r="K202" s="26" t="s">
        <v>340</v>
      </c>
      <c r="L202" s="26" t="s">
        <v>7396</v>
      </c>
      <c r="M202" s="26" t="s">
        <v>1357</v>
      </c>
      <c r="N202" s="25" t="s">
        <v>7435</v>
      </c>
      <c r="O202" s="26" t="s">
        <v>8152</v>
      </c>
      <c r="P202" s="26" t="n">
        <f aca="false">IF(A202=O202, 1, 0)</f>
        <v>0</v>
      </c>
    </row>
    <row r="203" customFormat="false" ht="13.8" hidden="false" customHeight="false" outlineLevel="0" collapsed="false">
      <c r="A203" s="26" t="n">
        <v>931552</v>
      </c>
      <c r="B203" s="26" t="n">
        <v>1918</v>
      </c>
      <c r="C203" s="26" t="s">
        <v>8153</v>
      </c>
      <c r="D203" s="26" t="n">
        <v>476417.3416</v>
      </c>
      <c r="E203" s="26" t="s">
        <v>8154</v>
      </c>
      <c r="F203" s="26" t="s">
        <v>32</v>
      </c>
      <c r="G203" s="26" t="n">
        <v>-0.1277583</v>
      </c>
      <c r="H203" s="26" t="n">
        <v>51.5073509</v>
      </c>
      <c r="I203" s="26" t="s">
        <v>1357</v>
      </c>
      <c r="J203" s="26" t="s">
        <v>8155</v>
      </c>
      <c r="K203" s="26" t="s">
        <v>340</v>
      </c>
      <c r="L203" s="26" t="s">
        <v>7396</v>
      </c>
      <c r="M203" s="26" t="s">
        <v>1357</v>
      </c>
      <c r="N203" s="25" t="s">
        <v>7435</v>
      </c>
      <c r="O203" s="26" t="s">
        <v>8156</v>
      </c>
      <c r="P203" s="26" t="n">
        <f aca="false">IF(A203=O203, 1, 0)</f>
        <v>0</v>
      </c>
    </row>
    <row r="204" customFormat="false" ht="13.8" hidden="false" customHeight="false" outlineLevel="0" collapsed="false">
      <c r="A204" s="26" t="n">
        <v>935185</v>
      </c>
      <c r="B204" s="26" t="n">
        <v>1918</v>
      </c>
      <c r="C204" s="26" t="s">
        <v>8050</v>
      </c>
      <c r="D204" s="26" t="n">
        <v>1429252.025</v>
      </c>
      <c r="E204" s="26" t="s">
        <v>8157</v>
      </c>
      <c r="F204" s="26" t="s">
        <v>137</v>
      </c>
      <c r="G204" s="26" t="n">
        <v>28.0473051</v>
      </c>
      <c r="H204" s="26" t="n">
        <v>-26.2041028</v>
      </c>
      <c r="I204" s="26" t="s">
        <v>1357</v>
      </c>
      <c r="J204" s="26" t="s">
        <v>8052</v>
      </c>
      <c r="K204" s="26" t="s">
        <v>7480</v>
      </c>
      <c r="L204" s="26" t="s">
        <v>7396</v>
      </c>
      <c r="M204" s="26" t="s">
        <v>1357</v>
      </c>
      <c r="N204" s="25" t="s">
        <v>7435</v>
      </c>
      <c r="O204" s="26" t="s">
        <v>8053</v>
      </c>
      <c r="P204" s="26" t="n">
        <f aca="false">IF(A204=O204, 1, 0)</f>
        <v>0</v>
      </c>
    </row>
    <row r="205" customFormat="false" ht="13.8" hidden="false" customHeight="false" outlineLevel="0" collapsed="false">
      <c r="A205" s="26" t="n">
        <v>935659</v>
      </c>
      <c r="B205" s="26" t="n">
        <v>1918</v>
      </c>
      <c r="C205" s="26" t="s">
        <v>8158</v>
      </c>
      <c r="D205" s="26" t="n">
        <v>952834.6832</v>
      </c>
      <c r="E205" s="26" t="s">
        <v>8159</v>
      </c>
      <c r="F205" s="26" t="s">
        <v>32</v>
      </c>
      <c r="G205" s="26" t="n">
        <v>-0.1277583</v>
      </c>
      <c r="H205" s="26" t="n">
        <v>51.5073509</v>
      </c>
      <c r="I205" s="26" t="s">
        <v>1357</v>
      </c>
      <c r="J205" s="26" t="s">
        <v>8160</v>
      </c>
      <c r="K205" s="26" t="s">
        <v>340</v>
      </c>
      <c r="L205" s="26" t="s">
        <v>7396</v>
      </c>
      <c r="M205" s="26" t="s">
        <v>1357</v>
      </c>
      <c r="N205" s="25" t="s">
        <v>7435</v>
      </c>
      <c r="O205" s="26" t="s">
        <v>8161</v>
      </c>
      <c r="P205" s="26" t="n">
        <f aca="false">IF(A205=O205, 1, 0)</f>
        <v>0</v>
      </c>
    </row>
    <row r="206" customFormat="false" ht="13.8" hidden="false" customHeight="false" outlineLevel="0" collapsed="false">
      <c r="A206" s="26" t="n">
        <v>944736</v>
      </c>
      <c r="B206" s="26" t="n">
        <v>1918</v>
      </c>
      <c r="C206" s="26" t="s">
        <v>8162</v>
      </c>
      <c r="D206" s="26" t="n">
        <v>1435207.242</v>
      </c>
      <c r="E206" s="26" t="s">
        <v>8163</v>
      </c>
      <c r="F206" s="26" t="s">
        <v>8164</v>
      </c>
      <c r="G206" s="26" t="n">
        <v>1.3126521</v>
      </c>
      <c r="H206" s="26" t="n">
        <v>51.1288631</v>
      </c>
      <c r="I206" s="26" t="s">
        <v>882</v>
      </c>
      <c r="J206" s="26" t="s">
        <v>8165</v>
      </c>
      <c r="K206" s="26" t="s">
        <v>340</v>
      </c>
      <c r="L206" s="26" t="s">
        <v>7396</v>
      </c>
      <c r="M206" s="26" t="s">
        <v>1357</v>
      </c>
      <c r="N206" s="25" t="s">
        <v>7435</v>
      </c>
      <c r="O206" s="26" t="s">
        <v>8166</v>
      </c>
      <c r="P206" s="26" t="n">
        <f aca="false">IF(A206=O206, 1, 0)</f>
        <v>0</v>
      </c>
    </row>
    <row r="207" customFormat="false" ht="13.8" hidden="false" customHeight="false" outlineLevel="0" collapsed="false">
      <c r="A207" s="26" t="n">
        <v>945432</v>
      </c>
      <c r="B207" s="26" t="n">
        <v>1918</v>
      </c>
      <c r="C207" s="26" t="s">
        <v>8167</v>
      </c>
      <c r="D207" s="26" t="n">
        <v>71462.60124</v>
      </c>
      <c r="E207" s="26" t="s">
        <v>8168</v>
      </c>
      <c r="F207" s="26" t="s">
        <v>4740</v>
      </c>
      <c r="G207" s="26" t="n">
        <v>-66.58973</v>
      </c>
      <c r="H207" s="26" t="n">
        <v>6.42375</v>
      </c>
      <c r="I207" s="26" t="s">
        <v>1357</v>
      </c>
      <c r="J207" s="26" t="s">
        <v>8169</v>
      </c>
      <c r="K207" s="26" t="s">
        <v>4740</v>
      </c>
      <c r="L207" s="26" t="s">
        <v>7396</v>
      </c>
      <c r="M207" s="26" t="s">
        <v>1357</v>
      </c>
      <c r="N207" s="25" t="s">
        <v>7435</v>
      </c>
      <c r="O207" s="26" t="s">
        <v>8170</v>
      </c>
      <c r="P207" s="26" t="n">
        <f aca="false">IF(A207=O207, 1, 0)</f>
        <v>0</v>
      </c>
    </row>
    <row r="208" customFormat="false" ht="13.8" hidden="false" customHeight="false" outlineLevel="0" collapsed="false">
      <c r="A208" s="26" t="n">
        <v>948654</v>
      </c>
      <c r="B208" s="26" t="n">
        <v>1918</v>
      </c>
      <c r="C208" s="26" t="s">
        <v>8171</v>
      </c>
      <c r="D208" s="26" t="n">
        <v>714626.0124</v>
      </c>
      <c r="E208" s="26" t="s">
        <v>8172</v>
      </c>
      <c r="F208" s="26" t="s">
        <v>32</v>
      </c>
      <c r="G208" s="26" t="n">
        <v>-0.1277583</v>
      </c>
      <c r="H208" s="26" t="n">
        <v>51.5073509</v>
      </c>
      <c r="I208" s="26" t="s">
        <v>214</v>
      </c>
      <c r="J208" s="26" t="s">
        <v>7671</v>
      </c>
      <c r="K208" s="26" t="s">
        <v>340</v>
      </c>
      <c r="L208" s="26" t="s">
        <v>7396</v>
      </c>
      <c r="M208" s="26" t="s">
        <v>1357</v>
      </c>
      <c r="N208" s="25" t="s">
        <v>7435</v>
      </c>
      <c r="O208" s="26" t="s">
        <v>7672</v>
      </c>
      <c r="P208" s="26" t="n">
        <f aca="false">IF(A208=O208, 1, 0)</f>
        <v>0</v>
      </c>
    </row>
    <row r="209" customFormat="false" ht="13.8" hidden="false" customHeight="false" outlineLevel="0" collapsed="false">
      <c r="A209" s="26" t="n">
        <v>953249</v>
      </c>
      <c r="B209" s="26" t="n">
        <v>1918</v>
      </c>
      <c r="C209" s="26" t="s">
        <v>8173</v>
      </c>
      <c r="D209" s="26" t="n">
        <v>1429252.025</v>
      </c>
      <c r="E209" s="26" t="s">
        <v>8174</v>
      </c>
      <c r="F209" s="26" t="s">
        <v>32</v>
      </c>
      <c r="G209" s="26" t="n">
        <v>-0.1277583</v>
      </c>
      <c r="H209" s="26" t="n">
        <v>51.5073509</v>
      </c>
      <c r="I209" s="26" t="s">
        <v>214</v>
      </c>
      <c r="J209" s="26" t="s">
        <v>8175</v>
      </c>
      <c r="K209" s="26" t="s">
        <v>340</v>
      </c>
      <c r="L209" s="26" t="s">
        <v>7396</v>
      </c>
      <c r="M209" s="26" t="s">
        <v>152</v>
      </c>
      <c r="N209" s="26" t="s">
        <v>7445</v>
      </c>
      <c r="O209" s="26" t="s">
        <v>8176</v>
      </c>
      <c r="P209" s="26" t="n">
        <f aca="false">IF(A209=O209, 1, 0)</f>
        <v>0</v>
      </c>
    </row>
    <row r="210" customFormat="false" ht="13.8" hidden="false" customHeight="false" outlineLevel="0" collapsed="false">
      <c r="A210" s="26" t="n">
        <v>953286</v>
      </c>
      <c r="B210" s="26" t="n">
        <v>1918</v>
      </c>
      <c r="C210" s="26" t="s">
        <v>8177</v>
      </c>
      <c r="D210" s="26" t="n">
        <v>1667460.696</v>
      </c>
      <c r="E210" s="26" t="s">
        <v>8178</v>
      </c>
      <c r="F210" s="26" t="s">
        <v>32</v>
      </c>
      <c r="G210" s="26" t="n">
        <v>-0.1277583</v>
      </c>
      <c r="H210" s="26" t="n">
        <v>51.5073509</v>
      </c>
      <c r="I210" s="26" t="s">
        <v>882</v>
      </c>
      <c r="J210" s="26" t="s">
        <v>8179</v>
      </c>
      <c r="K210" s="26" t="s">
        <v>340</v>
      </c>
      <c r="L210" s="26" t="s">
        <v>7396</v>
      </c>
      <c r="M210" s="26" t="s">
        <v>1357</v>
      </c>
      <c r="N210" s="25" t="s">
        <v>7435</v>
      </c>
      <c r="O210" s="26" t="s">
        <v>8180</v>
      </c>
      <c r="P210" s="26" t="n">
        <f aca="false">IF(A210=O210, 1, 0)</f>
        <v>0</v>
      </c>
    </row>
    <row r="211" customFormat="false" ht="13.8" hidden="false" customHeight="false" outlineLevel="0" collapsed="false">
      <c r="A211" s="26" t="n">
        <v>955948</v>
      </c>
      <c r="B211" s="26" t="n">
        <v>1919</v>
      </c>
      <c r="C211" s="26" t="s">
        <v>6578</v>
      </c>
      <c r="D211" s="26" t="n">
        <v>44267.37494</v>
      </c>
      <c r="E211" s="26" t="s">
        <v>8181</v>
      </c>
      <c r="F211" s="26" t="s">
        <v>549</v>
      </c>
      <c r="G211" s="26" t="n">
        <v>-75.5993692</v>
      </c>
      <c r="H211" s="26" t="n">
        <v>38.3606736</v>
      </c>
      <c r="I211" s="26" t="s">
        <v>1357</v>
      </c>
      <c r="J211" s="26" t="s">
        <v>8182</v>
      </c>
      <c r="K211" s="26" t="s">
        <v>7430</v>
      </c>
      <c r="L211" s="26" t="s">
        <v>7396</v>
      </c>
      <c r="M211" s="26" t="s">
        <v>1357</v>
      </c>
      <c r="N211" s="25" t="s">
        <v>7435</v>
      </c>
      <c r="O211" s="26" t="s">
        <v>8183</v>
      </c>
      <c r="P211" s="26" t="n">
        <f aca="false">IF(A211=O211, 1, 0)</f>
        <v>0</v>
      </c>
    </row>
    <row r="212" customFormat="false" ht="13.8" hidden="false" customHeight="false" outlineLevel="0" collapsed="false">
      <c r="A212" s="26" t="n">
        <v>963033</v>
      </c>
      <c r="B212" s="26" t="n">
        <v>1919</v>
      </c>
      <c r="C212" s="26" t="s">
        <v>8184</v>
      </c>
      <c r="D212" s="28" t="n">
        <v>15000000</v>
      </c>
      <c r="E212" s="26" t="s">
        <v>8185</v>
      </c>
      <c r="F212" s="26" t="s">
        <v>361</v>
      </c>
      <c r="G212" s="26" t="n">
        <v>-106.346771</v>
      </c>
      <c r="H212" s="26" t="n">
        <v>56.130366</v>
      </c>
      <c r="I212" s="26" t="s">
        <v>110</v>
      </c>
      <c r="J212" s="26" t="s">
        <v>8186</v>
      </c>
      <c r="K212" s="26" t="s">
        <v>361</v>
      </c>
      <c r="L212" s="26" t="s">
        <v>7396</v>
      </c>
      <c r="M212" s="26" t="s">
        <v>3298</v>
      </c>
      <c r="N212" s="25" t="s">
        <v>99</v>
      </c>
      <c r="O212" s="26" t="s">
        <v>8187</v>
      </c>
      <c r="P212" s="26" t="n">
        <f aca="false">IF(A212=O212, 1, 0)</f>
        <v>0</v>
      </c>
    </row>
    <row r="213" customFormat="false" ht="13.8" hidden="false" customHeight="false" outlineLevel="0" collapsed="false">
      <c r="A213" s="26" t="n">
        <v>966227</v>
      </c>
      <c r="B213" s="26" t="n">
        <v>1919</v>
      </c>
      <c r="C213" s="26" t="s">
        <v>6383</v>
      </c>
      <c r="D213" s="26" t="n">
        <v>2656042.496</v>
      </c>
      <c r="E213" s="26" t="s">
        <v>8188</v>
      </c>
      <c r="F213" s="26" t="s">
        <v>32</v>
      </c>
      <c r="G213" s="26" t="n">
        <v>-0.1277583</v>
      </c>
      <c r="H213" s="26" t="n">
        <v>51.5073509</v>
      </c>
      <c r="I213" s="26" t="s">
        <v>1357</v>
      </c>
      <c r="J213" s="26" t="s">
        <v>8189</v>
      </c>
      <c r="K213" s="26" t="s">
        <v>340</v>
      </c>
      <c r="L213" s="26" t="s">
        <v>7396</v>
      </c>
      <c r="M213" s="26" t="s">
        <v>1357</v>
      </c>
      <c r="N213" s="25" t="s">
        <v>7435</v>
      </c>
      <c r="O213" s="26" t="s">
        <v>8190</v>
      </c>
      <c r="P213" s="26" t="n">
        <f aca="false">IF(A213=O213, 1, 0)</f>
        <v>0</v>
      </c>
    </row>
    <row r="214" customFormat="false" ht="13.8" hidden="false" customHeight="false" outlineLevel="0" collapsed="false">
      <c r="A214" s="26" t="n">
        <v>967279</v>
      </c>
      <c r="B214" s="26" t="n">
        <v>1919</v>
      </c>
      <c r="C214" s="26" t="s">
        <v>6389</v>
      </c>
      <c r="D214" s="26" t="n">
        <v>2620295.379</v>
      </c>
      <c r="E214" s="26" t="s">
        <v>8191</v>
      </c>
      <c r="F214" s="26" t="s">
        <v>137</v>
      </c>
      <c r="G214" s="26" t="n">
        <v>28.0473051</v>
      </c>
      <c r="H214" s="26" t="n">
        <v>-26.2041028</v>
      </c>
      <c r="I214" s="26" t="s">
        <v>110</v>
      </c>
      <c r="J214" s="26" t="s">
        <v>8192</v>
      </c>
      <c r="K214" s="26" t="s">
        <v>7480</v>
      </c>
      <c r="L214" s="26" t="s">
        <v>7396</v>
      </c>
      <c r="M214" s="26" t="s">
        <v>1357</v>
      </c>
      <c r="N214" s="25" t="s">
        <v>7435</v>
      </c>
      <c r="O214" s="26" t="s">
        <v>8193</v>
      </c>
      <c r="P214" s="26" t="n">
        <f aca="false">IF(A214=O214, 1, 0)</f>
        <v>0</v>
      </c>
    </row>
    <row r="215" customFormat="false" ht="13.8" hidden="false" customHeight="false" outlineLevel="0" collapsed="false">
      <c r="A215" s="26" t="n">
        <v>983222</v>
      </c>
      <c r="B215" s="26" t="n">
        <v>1919</v>
      </c>
      <c r="C215" s="26" t="s">
        <v>7245</v>
      </c>
      <c r="D215" s="26" t="n">
        <v>1106684.374</v>
      </c>
      <c r="E215" s="26" t="s">
        <v>8194</v>
      </c>
      <c r="F215" s="26" t="s">
        <v>145</v>
      </c>
      <c r="G215" s="26" t="n">
        <v>133.775136</v>
      </c>
      <c r="H215" s="26" t="n">
        <v>-25.274398</v>
      </c>
      <c r="I215" s="26" t="s">
        <v>882</v>
      </c>
      <c r="J215" s="26" t="s">
        <v>8195</v>
      </c>
      <c r="K215" s="26" t="s">
        <v>145</v>
      </c>
      <c r="L215" s="26" t="s">
        <v>7396</v>
      </c>
      <c r="M215" s="26" t="s">
        <v>1357</v>
      </c>
      <c r="N215" s="25" t="s">
        <v>7435</v>
      </c>
      <c r="O215" s="26" t="s">
        <v>8196</v>
      </c>
      <c r="P215" s="26" t="n">
        <f aca="false">IF(A215=O215, 1, 0)</f>
        <v>0</v>
      </c>
    </row>
    <row r="216" customFormat="false" ht="13.8" hidden="false" customHeight="false" outlineLevel="0" collapsed="false">
      <c r="A216" s="26" t="n">
        <v>983731</v>
      </c>
      <c r="B216" s="26" t="n">
        <v>1919</v>
      </c>
      <c r="C216" s="26" t="s">
        <v>7161</v>
      </c>
      <c r="D216" s="26" t="n">
        <v>1048118.152</v>
      </c>
      <c r="E216" s="26" t="s">
        <v>8197</v>
      </c>
      <c r="F216" s="26" t="s">
        <v>8198</v>
      </c>
      <c r="G216" s="26" t="n">
        <v>-3.2031369</v>
      </c>
      <c r="H216" s="26" t="n">
        <v>55.9517499</v>
      </c>
      <c r="I216" s="26" t="s">
        <v>110</v>
      </c>
      <c r="J216" s="26" t="s">
        <v>8199</v>
      </c>
      <c r="K216" s="26" t="s">
        <v>340</v>
      </c>
      <c r="L216" s="26" t="s">
        <v>7396</v>
      </c>
      <c r="M216" s="26" t="s">
        <v>1357</v>
      </c>
      <c r="N216" s="26" t="s">
        <v>7450</v>
      </c>
      <c r="O216" s="26" t="s">
        <v>8200</v>
      </c>
      <c r="P216" s="26" t="n">
        <f aca="false">IF(A216=O216, 1, 0)</f>
        <v>0</v>
      </c>
    </row>
    <row r="217" customFormat="false" ht="13.8" hidden="false" customHeight="false" outlineLevel="0" collapsed="false">
      <c r="A217" s="26" t="n">
        <v>985333</v>
      </c>
      <c r="B217" s="26" t="n">
        <v>1919</v>
      </c>
      <c r="C217" s="26" t="s">
        <v>8201</v>
      </c>
      <c r="D217" s="26" t="n">
        <v>2788844.621</v>
      </c>
      <c r="E217" s="26" t="s">
        <v>8202</v>
      </c>
      <c r="F217" s="26" t="s">
        <v>177</v>
      </c>
      <c r="G217" s="26" t="n">
        <v>-81.1830974</v>
      </c>
      <c r="H217" s="26" t="n">
        <v>43.2325617</v>
      </c>
      <c r="I217" s="26" t="s">
        <v>882</v>
      </c>
      <c r="J217" s="26" t="s">
        <v>8102</v>
      </c>
      <c r="K217" s="26" t="s">
        <v>361</v>
      </c>
      <c r="L217" s="26" t="s">
        <v>7396</v>
      </c>
      <c r="M217" s="26" t="s">
        <v>1357</v>
      </c>
      <c r="N217" s="25" t="s">
        <v>7435</v>
      </c>
      <c r="O217" s="26" t="s">
        <v>8103</v>
      </c>
      <c r="P217" s="26" t="n">
        <f aca="false">IF(A217=O217, 1, 0)</f>
        <v>0</v>
      </c>
    </row>
    <row r="218" customFormat="false" ht="13.8" hidden="false" customHeight="false" outlineLevel="0" collapsed="false">
      <c r="A218" s="26" t="n">
        <v>989720</v>
      </c>
      <c r="B218" s="26" t="n">
        <v>1919</v>
      </c>
      <c r="C218" s="26" t="s">
        <v>8203</v>
      </c>
      <c r="D218" s="26" t="n">
        <v>10838494.52</v>
      </c>
      <c r="E218" s="26" t="s">
        <v>8204</v>
      </c>
      <c r="F218" s="26" t="s">
        <v>137</v>
      </c>
      <c r="G218" s="26" t="n">
        <v>28.0473051</v>
      </c>
      <c r="H218" s="26" t="n">
        <v>-26.2041028</v>
      </c>
      <c r="I218" s="26" t="s">
        <v>110</v>
      </c>
      <c r="J218" s="26" t="s">
        <v>8205</v>
      </c>
      <c r="K218" s="26" t="s">
        <v>7480</v>
      </c>
      <c r="L218" s="26" t="s">
        <v>7396</v>
      </c>
      <c r="M218" s="26" t="s">
        <v>1357</v>
      </c>
      <c r="N218" s="25" t="s">
        <v>7396</v>
      </c>
      <c r="O218" s="26" t="n">
        <v>402680</v>
      </c>
      <c r="P218" s="26" t="n">
        <f aca="false">IF(A218=O218, 1, 0)</f>
        <v>0</v>
      </c>
    </row>
    <row r="219" customFormat="false" ht="13.8" hidden="false" customHeight="false" outlineLevel="0" collapsed="false">
      <c r="A219" s="26" t="n">
        <v>991964</v>
      </c>
      <c r="B219" s="26" t="n">
        <v>1920</v>
      </c>
      <c r="C219" s="26" t="s">
        <v>8206</v>
      </c>
      <c r="D219" s="28" t="n">
        <v>1000000</v>
      </c>
      <c r="E219" s="26" t="s">
        <v>8207</v>
      </c>
      <c r="F219" s="26" t="s">
        <v>8208</v>
      </c>
      <c r="G219" s="26" t="n">
        <v>-149.4936733</v>
      </c>
      <c r="H219" s="26" t="n">
        <v>64.2008413</v>
      </c>
      <c r="I219" s="26" t="s">
        <v>110</v>
      </c>
      <c r="J219" s="26" t="s">
        <v>7689</v>
      </c>
      <c r="K219" s="26" t="s">
        <v>7430</v>
      </c>
      <c r="L219" s="26" t="s">
        <v>7396</v>
      </c>
      <c r="M219" s="26" t="s">
        <v>1357</v>
      </c>
      <c r="N219" s="25" t="s">
        <v>7435</v>
      </c>
      <c r="O219" s="26" t="s">
        <v>7690</v>
      </c>
      <c r="P219" s="26" t="n">
        <f aca="false">IF(A219=O219, 1, 0)</f>
        <v>0</v>
      </c>
    </row>
    <row r="220" customFormat="false" ht="13.8" hidden="false" customHeight="false" outlineLevel="0" collapsed="false">
      <c r="A220" s="26" t="n">
        <v>991964</v>
      </c>
      <c r="B220" s="26" t="n">
        <v>1920</v>
      </c>
      <c r="C220" s="26" t="s">
        <v>8206</v>
      </c>
      <c r="D220" s="28" t="n">
        <v>1000000</v>
      </c>
      <c r="E220" s="26" t="s">
        <v>8207</v>
      </c>
      <c r="F220" s="26" t="s">
        <v>8208</v>
      </c>
      <c r="G220" s="26" t="n">
        <v>-149.4936733</v>
      </c>
      <c r="H220" s="26" t="n">
        <v>64.2008413</v>
      </c>
      <c r="I220" s="26" t="s">
        <v>110</v>
      </c>
      <c r="J220" s="25" t="s">
        <v>8209</v>
      </c>
      <c r="K220" s="26" t="s">
        <v>7430</v>
      </c>
      <c r="L220" s="26" t="s">
        <v>7396</v>
      </c>
      <c r="M220" s="26" t="s">
        <v>1357</v>
      </c>
      <c r="N220" s="25" t="s">
        <v>7435</v>
      </c>
      <c r="O220" s="26" t="s">
        <v>8210</v>
      </c>
      <c r="P220" s="26" t="n">
        <f aca="false">IF(A220=O220, 1, 0)</f>
        <v>0</v>
      </c>
    </row>
    <row r="221" customFormat="false" ht="13.8" hidden="false" customHeight="false" outlineLevel="0" collapsed="false">
      <c r="A221" s="26" t="n">
        <v>996918</v>
      </c>
      <c r="B221" s="26" t="n">
        <v>1920</v>
      </c>
      <c r="C221" s="26" t="s">
        <v>8211</v>
      </c>
      <c r="D221" s="26" t="n">
        <v>2931477</v>
      </c>
      <c r="E221" s="26" t="s">
        <v>8212</v>
      </c>
      <c r="F221" s="26" t="s">
        <v>264</v>
      </c>
      <c r="G221" s="26" t="n">
        <v>2.213749</v>
      </c>
      <c r="H221" s="26" t="n">
        <v>46.22764</v>
      </c>
      <c r="I221" s="26" t="s">
        <v>214</v>
      </c>
      <c r="J221" s="26" t="s">
        <v>8213</v>
      </c>
      <c r="K221" s="26" t="s">
        <v>264</v>
      </c>
      <c r="L221" s="26" t="s">
        <v>7396</v>
      </c>
      <c r="M221" s="26" t="s">
        <v>152</v>
      </c>
      <c r="N221" s="26" t="s">
        <v>7445</v>
      </c>
      <c r="O221" s="26" t="s">
        <v>8214</v>
      </c>
      <c r="P221" s="26" t="n">
        <f aca="false">IF(A221=O221, 1, 0)</f>
        <v>0</v>
      </c>
    </row>
    <row r="222" customFormat="false" ht="13.8" hidden="false" customHeight="false" outlineLevel="0" collapsed="false">
      <c r="A222" s="26" t="n">
        <v>997065</v>
      </c>
      <c r="B222" s="26" t="n">
        <v>1920</v>
      </c>
      <c r="C222" s="26" t="s">
        <v>8215</v>
      </c>
      <c r="D222" s="28" t="n">
        <v>500000</v>
      </c>
      <c r="E222" s="26" t="s">
        <v>8216</v>
      </c>
      <c r="F222" s="26" t="s">
        <v>8217</v>
      </c>
      <c r="G222" s="26" t="n">
        <v>-78.87837</v>
      </c>
      <c r="H222" s="26" t="n">
        <v>42.88645</v>
      </c>
      <c r="I222" s="26" t="s">
        <v>110</v>
      </c>
      <c r="J222" s="26" t="s">
        <v>8218</v>
      </c>
      <c r="K222" s="26" t="s">
        <v>7430</v>
      </c>
      <c r="L222" s="26" t="s">
        <v>7396</v>
      </c>
      <c r="M222" s="26" t="s">
        <v>7528</v>
      </c>
      <c r="N222" s="26" t="s">
        <v>4306</v>
      </c>
      <c r="O222" s="26" t="s">
        <v>8219</v>
      </c>
      <c r="P222" s="26" t="n">
        <f aca="false">IF(A222=O222, 1, 0)</f>
        <v>0</v>
      </c>
    </row>
    <row r="223" customFormat="false" ht="13.8" hidden="false" customHeight="false" outlineLevel="0" collapsed="false">
      <c r="A223" s="26" t="n">
        <v>1001615</v>
      </c>
      <c r="B223" s="26" t="n">
        <v>1920</v>
      </c>
      <c r="C223" s="26" t="s">
        <v>8220</v>
      </c>
      <c r="D223" s="26" t="n">
        <v>549651.9</v>
      </c>
      <c r="E223" s="26" t="s">
        <v>8221</v>
      </c>
      <c r="F223" s="26" t="s">
        <v>582</v>
      </c>
      <c r="G223" s="26" t="n">
        <v>-3.17909</v>
      </c>
      <c r="H223" s="26" t="n">
        <v>51.48158</v>
      </c>
      <c r="I223" s="26" t="s">
        <v>110</v>
      </c>
      <c r="J223" s="26" t="s">
        <v>8222</v>
      </c>
      <c r="K223" s="26" t="s">
        <v>340</v>
      </c>
      <c r="L223" s="26" t="s">
        <v>7396</v>
      </c>
      <c r="M223" s="26" t="s">
        <v>152</v>
      </c>
      <c r="N223" s="26" t="s">
        <v>7445</v>
      </c>
      <c r="O223" s="26" t="s">
        <v>8223</v>
      </c>
      <c r="P223" s="26" t="n">
        <v>0</v>
      </c>
    </row>
    <row r="224" customFormat="false" ht="13.8" hidden="false" customHeight="false" outlineLevel="0" collapsed="false">
      <c r="A224" s="26" t="n">
        <v>1002327</v>
      </c>
      <c r="B224" s="26" t="n">
        <v>1920</v>
      </c>
      <c r="C224" s="26" t="s">
        <v>8224</v>
      </c>
      <c r="D224" s="26" t="n">
        <v>366434.6</v>
      </c>
      <c r="E224" s="26" t="s">
        <v>8225</v>
      </c>
      <c r="F224" s="26" t="s">
        <v>1383</v>
      </c>
      <c r="G224" s="26" t="n">
        <v>-111.7909</v>
      </c>
      <c r="H224" s="26" t="n">
        <v>40.61895</v>
      </c>
      <c r="I224" s="26" t="s">
        <v>882</v>
      </c>
      <c r="J224" s="26" t="s">
        <v>8226</v>
      </c>
      <c r="K224" s="26" t="s">
        <v>7430</v>
      </c>
      <c r="L224" s="26" t="s">
        <v>7396</v>
      </c>
      <c r="M224" s="26" t="s">
        <v>1357</v>
      </c>
      <c r="N224" s="26" t="s">
        <v>7435</v>
      </c>
      <c r="O224" s="26" t="s">
        <v>8227</v>
      </c>
      <c r="P224" s="26" t="n">
        <v>0</v>
      </c>
    </row>
    <row r="225" customFormat="false" ht="13.8" hidden="false" customHeight="false" outlineLevel="0" collapsed="false">
      <c r="A225" s="26" t="n">
        <v>1002813</v>
      </c>
      <c r="B225" s="26" t="n">
        <v>1920</v>
      </c>
      <c r="C225" s="26" t="s">
        <v>8228</v>
      </c>
      <c r="D225" s="26" t="n">
        <v>549651.9</v>
      </c>
      <c r="E225" s="26" t="s">
        <v>8229</v>
      </c>
      <c r="F225" s="26" t="s">
        <v>8230</v>
      </c>
      <c r="G225" s="26" t="n">
        <v>87.85498</v>
      </c>
      <c r="H225" s="26" t="n">
        <v>22.98676</v>
      </c>
      <c r="I225" s="26" t="s">
        <v>110</v>
      </c>
      <c r="J225" s="26" t="s">
        <v>8231</v>
      </c>
      <c r="K225" s="26" t="s">
        <v>8232</v>
      </c>
      <c r="L225" s="26" t="s">
        <v>7396</v>
      </c>
      <c r="M225" s="26" t="s">
        <v>1357</v>
      </c>
      <c r="N225" s="25" t="s">
        <v>7435</v>
      </c>
      <c r="O225" s="26" t="s">
        <v>8233</v>
      </c>
      <c r="P225" s="26" t="n">
        <f aca="false">IF(A225=O225, 1, 0)</f>
        <v>0</v>
      </c>
    </row>
    <row r="226" customFormat="false" ht="13.8" hidden="false" customHeight="false" outlineLevel="0" collapsed="false">
      <c r="A226" s="26" t="n">
        <v>1004587</v>
      </c>
      <c r="B226" s="26" t="n">
        <v>1920</v>
      </c>
      <c r="C226" s="26" t="s">
        <v>8234</v>
      </c>
      <c r="D226" s="26" t="n">
        <v>3664346</v>
      </c>
      <c r="E226" s="26" t="s">
        <v>8235</v>
      </c>
      <c r="F226" s="26" t="s">
        <v>32</v>
      </c>
      <c r="G226" s="26" t="n">
        <v>-0.1277583</v>
      </c>
      <c r="H226" s="26" t="n">
        <v>51.50735</v>
      </c>
      <c r="I226" s="26" t="s">
        <v>110</v>
      </c>
      <c r="J226" s="26" t="s">
        <v>7987</v>
      </c>
      <c r="K226" s="26" t="s">
        <v>340</v>
      </c>
      <c r="L226" s="26" t="s">
        <v>7396</v>
      </c>
      <c r="M226" s="26" t="s">
        <v>1357</v>
      </c>
      <c r="N226" s="25" t="s">
        <v>7435</v>
      </c>
      <c r="O226" s="26" t="s">
        <v>7988</v>
      </c>
      <c r="P226" s="26" t="n">
        <f aca="false">IF(A226=O226, 1, 0)</f>
        <v>0</v>
      </c>
    </row>
    <row r="227" customFormat="false" ht="13.8" hidden="false" customHeight="false" outlineLevel="0" collapsed="false">
      <c r="A227" s="26" t="n">
        <v>1004660</v>
      </c>
      <c r="B227" s="26" t="n">
        <v>1920</v>
      </c>
      <c r="C227" s="26" t="s">
        <v>8236</v>
      </c>
      <c r="D227" s="26" t="n">
        <v>4522078</v>
      </c>
      <c r="E227" s="26" t="s">
        <v>8237</v>
      </c>
      <c r="F227" s="26" t="s">
        <v>117</v>
      </c>
      <c r="G227" s="26" t="n">
        <v>-4.251806</v>
      </c>
      <c r="H227" s="26" t="n">
        <v>55.86424</v>
      </c>
      <c r="I227" s="26" t="s">
        <v>110</v>
      </c>
      <c r="J227" s="26" t="s">
        <v>8238</v>
      </c>
      <c r="K227" s="26" t="s">
        <v>340</v>
      </c>
      <c r="L227" s="26" t="s">
        <v>7396</v>
      </c>
      <c r="M227" s="26" t="s">
        <v>1357</v>
      </c>
      <c r="N227" s="25" t="s">
        <v>7435</v>
      </c>
      <c r="O227" s="26" t="s">
        <v>8239</v>
      </c>
      <c r="P227" s="26" t="n">
        <f aca="false">IF(A227=O227, 1, 0)</f>
        <v>0</v>
      </c>
    </row>
    <row r="228" customFormat="false" ht="13.8" hidden="false" customHeight="false" outlineLevel="0" collapsed="false">
      <c r="A228" s="26" t="n">
        <v>1005534</v>
      </c>
      <c r="B228" s="26" t="n">
        <v>1920</v>
      </c>
      <c r="C228" s="26" t="s">
        <v>6389</v>
      </c>
      <c r="D228" s="26" t="n">
        <v>2015390</v>
      </c>
      <c r="E228" s="26" t="s">
        <v>8240</v>
      </c>
      <c r="F228" s="26" t="s">
        <v>137</v>
      </c>
      <c r="G228" s="26" t="n">
        <v>28.04731</v>
      </c>
      <c r="H228" s="26" t="n">
        <v>-26.2041</v>
      </c>
      <c r="I228" s="26" t="s">
        <v>1357</v>
      </c>
      <c r="J228" s="26" t="s">
        <v>8241</v>
      </c>
      <c r="K228" s="26" t="s">
        <v>7480</v>
      </c>
      <c r="L228" s="26" t="s">
        <v>7396</v>
      </c>
      <c r="M228" s="26" t="s">
        <v>1357</v>
      </c>
      <c r="N228" s="25" t="s">
        <v>7435</v>
      </c>
      <c r="O228" s="26" t="s">
        <v>8242</v>
      </c>
      <c r="P228" s="26" t="n">
        <f aca="false">IF(A228=O228, 1, 0)</f>
        <v>0</v>
      </c>
    </row>
    <row r="229" customFormat="false" ht="13.8" hidden="false" customHeight="false" outlineLevel="0" collapsed="false">
      <c r="A229" s="26" t="n">
        <v>1006017</v>
      </c>
      <c r="B229" s="26" t="n">
        <v>1920</v>
      </c>
      <c r="C229" s="26" t="s">
        <v>8243</v>
      </c>
      <c r="D229" s="26" t="n">
        <v>9160865</v>
      </c>
      <c r="E229" s="26" t="s">
        <v>8244</v>
      </c>
      <c r="F229" s="26" t="s">
        <v>2864</v>
      </c>
      <c r="G229" s="26" t="n">
        <v>-74.00597</v>
      </c>
      <c r="H229" s="26" t="n">
        <v>40.71278</v>
      </c>
      <c r="I229" s="26" t="s">
        <v>1357</v>
      </c>
      <c r="J229" s="26" t="s">
        <v>8245</v>
      </c>
      <c r="K229" s="26" t="s">
        <v>152</v>
      </c>
      <c r="L229" s="26" t="s">
        <v>7396</v>
      </c>
      <c r="M229" s="26" t="s">
        <v>3298</v>
      </c>
      <c r="N229" s="26" t="s">
        <v>8246</v>
      </c>
      <c r="O229" s="26" t="s">
        <v>8247</v>
      </c>
      <c r="P229" s="26" t="n">
        <v>0</v>
      </c>
    </row>
    <row r="230" customFormat="false" ht="13.8" hidden="false" customHeight="false" outlineLevel="0" collapsed="false">
      <c r="A230" s="26" t="n">
        <v>1006920</v>
      </c>
      <c r="B230" s="26" t="n">
        <v>1920</v>
      </c>
      <c r="C230" s="26" t="s">
        <v>8248</v>
      </c>
      <c r="D230" s="26" t="n">
        <v>5496519</v>
      </c>
      <c r="E230" s="26" t="s">
        <v>8249</v>
      </c>
      <c r="F230" s="26" t="s">
        <v>7890</v>
      </c>
      <c r="G230" s="26" t="n">
        <v>-73.99736</v>
      </c>
      <c r="H230" s="26" t="n">
        <v>41.92704</v>
      </c>
      <c r="I230" s="26" t="s">
        <v>1357</v>
      </c>
      <c r="J230" s="26" t="s">
        <v>7891</v>
      </c>
      <c r="K230" s="26" t="s">
        <v>7430</v>
      </c>
      <c r="L230" s="26" t="s">
        <v>7396</v>
      </c>
      <c r="M230" s="26" t="s">
        <v>1357</v>
      </c>
      <c r="N230" s="25" t="s">
        <v>7435</v>
      </c>
      <c r="O230" s="26" t="s">
        <v>7892</v>
      </c>
      <c r="P230" s="26" t="n">
        <f aca="false">IF(A230=O230, 1, 0)</f>
        <v>0</v>
      </c>
    </row>
    <row r="231" customFormat="false" ht="13.8" hidden="false" customHeight="false" outlineLevel="0" collapsed="false">
      <c r="A231" s="26" t="n">
        <v>1010015</v>
      </c>
      <c r="B231" s="26" t="n">
        <v>1920</v>
      </c>
      <c r="C231" s="26" t="s">
        <v>8250</v>
      </c>
      <c r="D231" s="26" t="n">
        <v>1099304</v>
      </c>
      <c r="E231" s="26" t="s">
        <v>8251</v>
      </c>
      <c r="F231" s="26" t="s">
        <v>32</v>
      </c>
      <c r="G231" s="26" t="n">
        <v>-0.1277583</v>
      </c>
      <c r="H231" s="26" t="n">
        <v>51.50735</v>
      </c>
      <c r="I231" s="26" t="s">
        <v>882</v>
      </c>
      <c r="J231" s="26" t="s">
        <v>8252</v>
      </c>
      <c r="K231" s="26" t="s">
        <v>340</v>
      </c>
      <c r="L231" s="26" t="s">
        <v>7396</v>
      </c>
      <c r="M231" s="26" t="s">
        <v>1357</v>
      </c>
      <c r="N231" s="26" t="s">
        <v>7435</v>
      </c>
      <c r="O231" s="26" t="s">
        <v>8253</v>
      </c>
      <c r="P231" s="26" t="n">
        <f aca="false">IF(A231=O231, 1, 0)</f>
        <v>0</v>
      </c>
    </row>
    <row r="232" customFormat="false" ht="13.8" hidden="false" customHeight="false" outlineLevel="0" collapsed="false">
      <c r="A232" s="26" t="n">
        <v>1010597</v>
      </c>
      <c r="B232" s="26" t="n">
        <v>1920</v>
      </c>
      <c r="C232" s="26" t="s">
        <v>8254</v>
      </c>
      <c r="D232" s="26" t="n">
        <v>3664346</v>
      </c>
      <c r="E232" s="26" t="s">
        <v>8255</v>
      </c>
      <c r="F232" s="26" t="s">
        <v>8256</v>
      </c>
      <c r="G232" s="26" t="n">
        <v>-122.206</v>
      </c>
      <c r="H232" s="26" t="n">
        <v>47.67689</v>
      </c>
      <c r="I232" s="26" t="s">
        <v>110</v>
      </c>
      <c r="J232" s="26" t="s">
        <v>8257</v>
      </c>
      <c r="K232" s="26" t="s">
        <v>7430</v>
      </c>
      <c r="L232" s="26" t="s">
        <v>7396</v>
      </c>
      <c r="M232" s="26" t="s">
        <v>8258</v>
      </c>
      <c r="N232" s="26" t="s">
        <v>7445</v>
      </c>
      <c r="O232" s="26" t="s">
        <v>8259</v>
      </c>
      <c r="P232" s="26" t="n">
        <f aca="false">IF(A232=O232, 1, 0)</f>
        <v>0</v>
      </c>
    </row>
    <row r="233" customFormat="false" ht="13.8" hidden="false" customHeight="false" outlineLevel="0" collapsed="false">
      <c r="A233" s="26" t="n">
        <v>1013636</v>
      </c>
      <c r="B233" s="26" t="n">
        <v>1920</v>
      </c>
      <c r="C233" s="26" t="s">
        <v>8260</v>
      </c>
      <c r="D233" s="26" t="n">
        <v>7328692</v>
      </c>
      <c r="E233" s="26" t="s">
        <v>8261</v>
      </c>
      <c r="F233" s="26" t="s">
        <v>612</v>
      </c>
      <c r="G233" s="26" t="n">
        <v>-78.76252</v>
      </c>
      <c r="H233" s="26" t="n">
        <v>39.65287</v>
      </c>
      <c r="I233" s="26" t="s">
        <v>214</v>
      </c>
      <c r="J233" s="26" t="s">
        <v>8262</v>
      </c>
      <c r="K233" s="26" t="s">
        <v>7430</v>
      </c>
      <c r="L233" s="26" t="s">
        <v>7396</v>
      </c>
      <c r="M233" s="26" t="s">
        <v>1357</v>
      </c>
      <c r="N233" s="26" t="s">
        <v>7396</v>
      </c>
      <c r="O233" s="26" t="n">
        <v>1084701</v>
      </c>
      <c r="P233" s="26" t="n">
        <f aca="false">IF(A233=O233, 1, 0)</f>
        <v>0</v>
      </c>
    </row>
    <row r="234" customFormat="false" ht="13.8" hidden="false" customHeight="false" outlineLevel="0" collapsed="false">
      <c r="A234" s="26" t="n">
        <v>1014002</v>
      </c>
      <c r="B234" s="26" t="n">
        <v>1920</v>
      </c>
      <c r="C234" s="26" t="s">
        <v>7194</v>
      </c>
      <c r="D234" s="26" t="n">
        <v>1832173</v>
      </c>
      <c r="E234" s="26" t="s">
        <v>8263</v>
      </c>
      <c r="F234" s="26" t="s">
        <v>32</v>
      </c>
      <c r="G234" s="26" t="n">
        <v>-0.1277583</v>
      </c>
      <c r="H234" s="26" t="n">
        <v>51.50735</v>
      </c>
      <c r="I234" s="26" t="s">
        <v>1357</v>
      </c>
      <c r="J234" s="26" t="s">
        <v>8264</v>
      </c>
      <c r="K234" s="26" t="s">
        <v>340</v>
      </c>
      <c r="L234" s="26" t="s">
        <v>7396</v>
      </c>
      <c r="M234" s="26" t="s">
        <v>1357</v>
      </c>
      <c r="N234" s="26" t="s">
        <v>7435</v>
      </c>
      <c r="O234" s="26" t="s">
        <v>8265</v>
      </c>
      <c r="P234" s="26" t="n">
        <f aca="false">IF(A234=O234, 1, 0)</f>
        <v>0</v>
      </c>
    </row>
    <row r="235" customFormat="false" ht="13.8" hidden="false" customHeight="false" outlineLevel="0" collapsed="false">
      <c r="A235" s="26" t="n">
        <v>1014654</v>
      </c>
      <c r="B235" s="26" t="n">
        <v>1920</v>
      </c>
      <c r="C235" s="26" t="s">
        <v>8266</v>
      </c>
      <c r="D235" s="26" t="n">
        <v>4580432</v>
      </c>
      <c r="E235" s="26" t="s">
        <v>8267</v>
      </c>
      <c r="F235" s="26" t="s">
        <v>40</v>
      </c>
      <c r="G235" s="26" t="n">
        <v>142.7028</v>
      </c>
      <c r="H235" s="26" t="n">
        <v>-20.91757</v>
      </c>
      <c r="I235" s="26" t="s">
        <v>1357</v>
      </c>
      <c r="J235" s="26" t="s">
        <v>8268</v>
      </c>
      <c r="K235" s="26" t="s">
        <v>145</v>
      </c>
      <c r="L235" s="26" t="s">
        <v>7396</v>
      </c>
      <c r="M235" s="26" t="s">
        <v>1357</v>
      </c>
      <c r="N235" s="26" t="s">
        <v>7435</v>
      </c>
      <c r="O235" s="26" t="s">
        <v>8269</v>
      </c>
      <c r="P235" s="26" t="n">
        <f aca="false">IF(A235=O235, 1, 0)</f>
        <v>0</v>
      </c>
    </row>
    <row r="236" customFormat="false" ht="13.8" hidden="false" customHeight="false" outlineLevel="0" collapsed="false">
      <c r="A236" s="26" t="n">
        <v>1015870</v>
      </c>
      <c r="B236" s="26" t="n">
        <v>1920</v>
      </c>
      <c r="C236" s="26" t="s">
        <v>7940</v>
      </c>
      <c r="D236" s="26" t="n">
        <v>2070355</v>
      </c>
      <c r="E236" s="26" t="s">
        <v>8270</v>
      </c>
      <c r="F236" s="26" t="s">
        <v>32</v>
      </c>
      <c r="G236" s="26" t="n">
        <v>-0.1277583</v>
      </c>
      <c r="H236" s="26" t="n">
        <v>51.50735</v>
      </c>
      <c r="I236" s="26" t="s">
        <v>110</v>
      </c>
      <c r="J236" s="26" t="s">
        <v>7605</v>
      </c>
      <c r="K236" s="26" t="s">
        <v>340</v>
      </c>
      <c r="L236" s="26" t="s">
        <v>7396</v>
      </c>
      <c r="M236" s="26" t="s">
        <v>7606</v>
      </c>
      <c r="N236" s="25" t="s">
        <v>7445</v>
      </c>
      <c r="O236" s="26" t="s">
        <v>7607</v>
      </c>
      <c r="P236" s="26" t="n">
        <f aca="false">IF(A236=O236, 1, 0)</f>
        <v>0</v>
      </c>
    </row>
    <row r="237" customFormat="false" ht="13.8" hidden="false" customHeight="false" outlineLevel="0" collapsed="false">
      <c r="A237" s="26" t="n">
        <v>1018580</v>
      </c>
      <c r="B237" s="26" t="n">
        <v>1920</v>
      </c>
      <c r="C237" s="26" t="s">
        <v>7276</v>
      </c>
      <c r="D237" s="26" t="n">
        <v>1099304</v>
      </c>
      <c r="E237" s="26" t="s">
        <v>8271</v>
      </c>
      <c r="F237" s="26" t="s">
        <v>32</v>
      </c>
      <c r="G237" s="26" t="n">
        <v>-0.1277583</v>
      </c>
      <c r="H237" s="26" t="n">
        <v>51.50735</v>
      </c>
      <c r="I237" s="26" t="s">
        <v>110</v>
      </c>
      <c r="J237" s="26" t="s">
        <v>8272</v>
      </c>
      <c r="K237" s="26" t="s">
        <v>340</v>
      </c>
      <c r="L237" s="26" t="s">
        <v>7396</v>
      </c>
      <c r="M237" s="26" t="s">
        <v>7528</v>
      </c>
      <c r="N237" s="26" t="s">
        <v>4306</v>
      </c>
      <c r="O237" s="26" t="s">
        <v>8273</v>
      </c>
      <c r="P237" s="26" t="n">
        <f aca="false">IF(A237=O237, 1, 0)</f>
        <v>0</v>
      </c>
    </row>
    <row r="238" customFormat="false" ht="13.8" hidden="false" customHeight="false" outlineLevel="0" collapsed="false">
      <c r="A238" s="26" t="n">
        <v>1020441</v>
      </c>
      <c r="B238" s="26" t="n">
        <v>1920</v>
      </c>
      <c r="C238" s="26" t="s">
        <v>6308</v>
      </c>
      <c r="D238" s="26" t="n">
        <v>1648956</v>
      </c>
      <c r="E238" s="26" t="s">
        <v>8274</v>
      </c>
      <c r="F238" s="26" t="s">
        <v>32</v>
      </c>
      <c r="G238" s="26" t="n">
        <v>-0.1277583</v>
      </c>
      <c r="H238" s="26" t="n">
        <v>51.50735</v>
      </c>
      <c r="I238" s="26" t="s">
        <v>110</v>
      </c>
      <c r="J238" s="26" t="s">
        <v>8275</v>
      </c>
      <c r="K238" s="26" t="s">
        <v>340</v>
      </c>
      <c r="L238" s="26" t="s">
        <v>7396</v>
      </c>
      <c r="M238" s="26" t="s">
        <v>1357</v>
      </c>
      <c r="N238" s="26" t="s">
        <v>7435</v>
      </c>
      <c r="O238" s="26" t="s">
        <v>8276</v>
      </c>
      <c r="P238" s="26" t="n">
        <f aca="false">IF(A238=O238, 1, 0)</f>
        <v>0</v>
      </c>
    </row>
    <row r="239" customFormat="false" ht="13.8" hidden="false" customHeight="false" outlineLevel="0" collapsed="false">
      <c r="A239" s="26" t="n">
        <v>1020940</v>
      </c>
      <c r="B239" s="26" t="n">
        <v>1920</v>
      </c>
      <c r="C239" s="26" t="s">
        <v>8277</v>
      </c>
      <c r="D239" s="26" t="n">
        <v>2015390</v>
      </c>
      <c r="E239" s="26" t="s">
        <v>8278</v>
      </c>
      <c r="F239" s="26" t="s">
        <v>32</v>
      </c>
      <c r="G239" s="26" t="n">
        <v>-0.1277583</v>
      </c>
      <c r="H239" s="26" t="n">
        <v>51.50735</v>
      </c>
      <c r="I239" s="26" t="s">
        <v>110</v>
      </c>
      <c r="J239" s="26" t="s">
        <v>8279</v>
      </c>
      <c r="K239" s="26" t="s">
        <v>340</v>
      </c>
      <c r="L239" s="26" t="s">
        <v>7396</v>
      </c>
      <c r="M239" s="26" t="s">
        <v>1357</v>
      </c>
      <c r="N239" s="25" t="s">
        <v>7435</v>
      </c>
      <c r="O239" s="26" t="s">
        <v>8280</v>
      </c>
      <c r="P239" s="26" t="n">
        <f aca="false">IF(A239=O239, 1, 0)</f>
        <v>0</v>
      </c>
    </row>
    <row r="240" customFormat="false" ht="13.8" hidden="false" customHeight="false" outlineLevel="0" collapsed="false">
      <c r="A240" s="26" t="n">
        <v>1021647</v>
      </c>
      <c r="B240" s="26" t="n">
        <v>1920</v>
      </c>
      <c r="C240" s="26" t="s">
        <v>6959</v>
      </c>
      <c r="D240" s="26" t="n">
        <v>439721.5</v>
      </c>
      <c r="E240" s="26" t="s">
        <v>8281</v>
      </c>
      <c r="F240" s="26" t="s">
        <v>32</v>
      </c>
      <c r="G240" s="26" t="n">
        <v>-0.1277583</v>
      </c>
      <c r="H240" s="26" t="n">
        <v>51.50735</v>
      </c>
      <c r="I240" s="26" t="s">
        <v>110</v>
      </c>
      <c r="J240" s="26" t="s">
        <v>8282</v>
      </c>
      <c r="K240" s="26" t="s">
        <v>340</v>
      </c>
      <c r="L240" s="26" t="s">
        <v>7396</v>
      </c>
      <c r="M240" s="26" t="s">
        <v>1357</v>
      </c>
      <c r="N240" s="26" t="s">
        <v>7435</v>
      </c>
      <c r="O240" s="26" t="s">
        <v>8283</v>
      </c>
      <c r="P240" s="26" t="n">
        <f aca="false">IF(A240=O240, 1, 0)</f>
        <v>0</v>
      </c>
    </row>
    <row r="241" customFormat="false" ht="13.8" hidden="false" customHeight="false" outlineLevel="0" collapsed="false">
      <c r="A241" s="26" t="n">
        <v>1024645</v>
      </c>
      <c r="B241" s="26" t="n">
        <v>1920</v>
      </c>
      <c r="C241" s="26" t="s">
        <v>8284</v>
      </c>
      <c r="D241" s="26" t="n">
        <v>6412605</v>
      </c>
      <c r="E241" s="26" t="s">
        <v>8285</v>
      </c>
      <c r="F241" s="26" t="s">
        <v>32</v>
      </c>
      <c r="G241" s="26" t="n">
        <v>-0.1277583</v>
      </c>
      <c r="H241" s="26" t="n">
        <v>51.50735</v>
      </c>
      <c r="I241" s="26" t="s">
        <v>110</v>
      </c>
      <c r="J241" s="26" t="s">
        <v>8286</v>
      </c>
      <c r="K241" s="26" t="s">
        <v>340</v>
      </c>
      <c r="L241" s="26" t="s">
        <v>7396</v>
      </c>
      <c r="M241" s="26" t="s">
        <v>1357</v>
      </c>
      <c r="N241" s="26" t="s">
        <v>7435</v>
      </c>
      <c r="O241" s="26" t="s">
        <v>8287</v>
      </c>
      <c r="P241" s="26" t="n">
        <f aca="false">IF(A241=O241, 1, 0)</f>
        <v>0</v>
      </c>
    </row>
    <row r="242" customFormat="false" ht="13.8" hidden="false" customHeight="false" outlineLevel="0" collapsed="false">
      <c r="A242" s="26" t="n">
        <v>1025014</v>
      </c>
      <c r="B242" s="26" t="n">
        <v>1920</v>
      </c>
      <c r="C242" s="26" t="s">
        <v>8288</v>
      </c>
      <c r="D242" s="26" t="n">
        <v>1282521</v>
      </c>
      <c r="E242" s="26" t="s">
        <v>8289</v>
      </c>
      <c r="F242" s="26" t="s">
        <v>32</v>
      </c>
      <c r="G242" s="26" t="n">
        <v>-0.1277583</v>
      </c>
      <c r="H242" s="26" t="n">
        <v>51.50735</v>
      </c>
      <c r="I242" s="26" t="s">
        <v>110</v>
      </c>
      <c r="J242" s="26" t="s">
        <v>8290</v>
      </c>
      <c r="K242" s="26" t="s">
        <v>340</v>
      </c>
      <c r="L242" s="26" t="s">
        <v>7396</v>
      </c>
      <c r="M242" s="26" t="s">
        <v>1357</v>
      </c>
      <c r="N242" s="26" t="s">
        <v>7435</v>
      </c>
      <c r="O242" s="26" t="s">
        <v>8291</v>
      </c>
      <c r="P242" s="26" t="n">
        <f aca="false">IF(A242=O242, 1, 0)</f>
        <v>0</v>
      </c>
    </row>
    <row r="243" customFormat="false" ht="13.8" hidden="false" customHeight="false" outlineLevel="0" collapsed="false">
      <c r="A243" s="26" t="n">
        <v>1029390</v>
      </c>
      <c r="B243" s="26" t="n">
        <v>1920</v>
      </c>
      <c r="C243" s="26" t="s">
        <v>8292</v>
      </c>
      <c r="D243" s="26" t="n">
        <v>1500000</v>
      </c>
      <c r="E243" s="26" t="s">
        <v>8293</v>
      </c>
      <c r="F243" s="26" t="s">
        <v>66</v>
      </c>
      <c r="G243" s="26" t="n">
        <v>-94.7053</v>
      </c>
      <c r="H243" s="26" t="n">
        <v>37.39616</v>
      </c>
      <c r="I243" s="26" t="s">
        <v>110</v>
      </c>
      <c r="J243" s="26" t="s">
        <v>8294</v>
      </c>
      <c r="K243" s="26" t="s">
        <v>7430</v>
      </c>
      <c r="L243" s="26" t="s">
        <v>7396</v>
      </c>
      <c r="M243" s="26" t="s">
        <v>7528</v>
      </c>
      <c r="N243" s="26" t="s">
        <v>4306</v>
      </c>
      <c r="O243" s="26" t="s">
        <v>8295</v>
      </c>
      <c r="P243" s="26" t="n">
        <f aca="false">IF(A243=O243, 1, 0)</f>
        <v>0</v>
      </c>
    </row>
    <row r="244" customFormat="false" ht="13.8" hidden="false" customHeight="false" outlineLevel="0" collapsed="false">
      <c r="A244" s="26" t="n">
        <v>1030336</v>
      </c>
      <c r="B244" s="26" t="n">
        <v>1920</v>
      </c>
      <c r="C244" s="26" t="s">
        <v>8296</v>
      </c>
      <c r="D244" s="26" t="n">
        <v>2106999</v>
      </c>
      <c r="E244" s="26" t="s">
        <v>8297</v>
      </c>
      <c r="F244" s="26" t="s">
        <v>378</v>
      </c>
      <c r="G244" s="26" t="n">
        <v>-1.61778</v>
      </c>
      <c r="H244" s="26" t="n">
        <v>54.97825</v>
      </c>
      <c r="I244" s="26" t="s">
        <v>110</v>
      </c>
      <c r="J244" s="26" t="s">
        <v>8298</v>
      </c>
      <c r="K244" s="26" t="s">
        <v>340</v>
      </c>
      <c r="L244" s="26" t="s">
        <v>7396</v>
      </c>
      <c r="M244" s="26" t="s">
        <v>3298</v>
      </c>
      <c r="N244" s="25" t="s">
        <v>99</v>
      </c>
      <c r="O244" s="26" t="s">
        <v>8299</v>
      </c>
      <c r="P244" s="26" t="n">
        <f aca="false">IF(A244=O244, 1, 0)</f>
        <v>0</v>
      </c>
    </row>
    <row r="245" customFormat="false" ht="13.8" hidden="false" customHeight="false" outlineLevel="0" collapsed="false">
      <c r="A245" s="26" t="n">
        <v>1031028</v>
      </c>
      <c r="B245" s="26" t="n">
        <v>1920</v>
      </c>
      <c r="C245" s="26" t="s">
        <v>8300</v>
      </c>
      <c r="D245" s="26" t="n">
        <v>5130084</v>
      </c>
      <c r="E245" s="26" t="s">
        <v>8301</v>
      </c>
      <c r="F245" s="26" t="s">
        <v>137</v>
      </c>
      <c r="G245" s="26" t="n">
        <v>28.04731</v>
      </c>
      <c r="H245" s="26" t="n">
        <v>-26.2041</v>
      </c>
      <c r="I245" s="26" t="s">
        <v>110</v>
      </c>
      <c r="J245" s="26" t="s">
        <v>8302</v>
      </c>
      <c r="K245" s="26" t="s">
        <v>7480</v>
      </c>
      <c r="L245" s="26" t="s">
        <v>7396</v>
      </c>
      <c r="M245" s="26" t="s">
        <v>1357</v>
      </c>
      <c r="N245" s="25" t="s">
        <v>7435</v>
      </c>
      <c r="O245" s="26" t="s">
        <v>8303</v>
      </c>
      <c r="P245" s="26" t="n">
        <f aca="false">IF(A245=O245, 1, 0)</f>
        <v>0</v>
      </c>
    </row>
    <row r="246" customFormat="false" ht="13.8" hidden="false" customHeight="false" outlineLevel="0" collapsed="false">
      <c r="A246" s="26" t="n">
        <v>1031896</v>
      </c>
      <c r="B246" s="26" t="n">
        <v>1920</v>
      </c>
      <c r="C246" s="26" t="s">
        <v>8173</v>
      </c>
      <c r="D246" s="26" t="n">
        <v>1099304</v>
      </c>
      <c r="E246" s="26" t="s">
        <v>8304</v>
      </c>
      <c r="F246" s="26" t="s">
        <v>32</v>
      </c>
      <c r="G246" s="26" t="n">
        <v>-0.1277583</v>
      </c>
      <c r="H246" s="26" t="n">
        <v>51.50735</v>
      </c>
      <c r="I246" s="26" t="s">
        <v>214</v>
      </c>
      <c r="J246" s="26" t="s">
        <v>8262</v>
      </c>
      <c r="K246" s="26" t="s">
        <v>340</v>
      </c>
      <c r="L246" s="26" t="s">
        <v>7396</v>
      </c>
      <c r="M246" s="26" t="s">
        <v>1357</v>
      </c>
      <c r="N246" s="26" t="s">
        <v>7396</v>
      </c>
      <c r="O246" s="26" t="n">
        <v>1084701</v>
      </c>
      <c r="P246" s="26" t="n">
        <f aca="false">IF(A246=O246, 1, 0)</f>
        <v>0</v>
      </c>
    </row>
    <row r="247" customFormat="false" ht="13.8" hidden="false" customHeight="false" outlineLevel="0" collapsed="false">
      <c r="A247" s="26" t="n">
        <v>1033717</v>
      </c>
      <c r="B247" s="26" t="n">
        <v>1921</v>
      </c>
      <c r="C247" s="26" t="s">
        <v>8305</v>
      </c>
      <c r="D247" s="26" t="n">
        <v>12500000</v>
      </c>
      <c r="E247" s="26" t="s">
        <v>8306</v>
      </c>
      <c r="F247" s="26" t="s">
        <v>66</v>
      </c>
      <c r="G247" s="26" t="n">
        <v>-94.7053</v>
      </c>
      <c r="H247" s="26" t="n">
        <v>37.39616</v>
      </c>
      <c r="I247" s="26" t="s">
        <v>1357</v>
      </c>
      <c r="J247" s="26" t="s">
        <v>8307</v>
      </c>
      <c r="K247" s="26" t="s">
        <v>7430</v>
      </c>
      <c r="L247" s="26" t="s">
        <v>7396</v>
      </c>
      <c r="M247" s="26" t="s">
        <v>1357</v>
      </c>
      <c r="N247" s="26" t="s">
        <v>7396</v>
      </c>
      <c r="O247" s="26" t="n">
        <v>992371</v>
      </c>
      <c r="P247" s="26" t="n">
        <f aca="false">IF(A247=O247, 1, 0)</f>
        <v>0</v>
      </c>
    </row>
    <row r="248" customFormat="false" ht="13.8" hidden="false" customHeight="false" outlineLevel="0" collapsed="false">
      <c r="A248" s="26" t="n">
        <v>1041235</v>
      </c>
      <c r="B248" s="26" t="n">
        <v>1921</v>
      </c>
      <c r="C248" s="26" t="s">
        <v>8308</v>
      </c>
      <c r="D248" s="26" t="n">
        <v>1732102</v>
      </c>
      <c r="E248" s="26" t="s">
        <v>8309</v>
      </c>
      <c r="F248" s="26" t="s">
        <v>32</v>
      </c>
      <c r="G248" s="26" t="n">
        <v>-0.1277583</v>
      </c>
      <c r="H248" s="26" t="n">
        <v>51.50735</v>
      </c>
      <c r="I248" s="26" t="s">
        <v>882</v>
      </c>
      <c r="J248" s="26" t="s">
        <v>8310</v>
      </c>
      <c r="K248" s="26" t="s">
        <v>340</v>
      </c>
      <c r="L248" s="26" t="s">
        <v>7396</v>
      </c>
      <c r="M248" s="26" t="s">
        <v>1357</v>
      </c>
      <c r="N248" s="26" t="s">
        <v>7435</v>
      </c>
      <c r="O248" s="26" t="s">
        <v>8311</v>
      </c>
      <c r="P248" s="26" t="n">
        <v>0</v>
      </c>
    </row>
    <row r="249" customFormat="false" ht="13.8" hidden="false" customHeight="false" outlineLevel="0" collapsed="false">
      <c r="A249" s="26" t="n">
        <v>1043246</v>
      </c>
      <c r="B249" s="26" t="n">
        <v>1921</v>
      </c>
      <c r="C249" s="26" t="s">
        <v>8312</v>
      </c>
      <c r="D249" s="26" t="n">
        <v>577367.2</v>
      </c>
      <c r="E249" s="26" t="s">
        <v>8313</v>
      </c>
      <c r="F249" s="26" t="s">
        <v>32</v>
      </c>
      <c r="G249" s="26" t="n">
        <v>-0.1277583</v>
      </c>
      <c r="H249" s="26" t="n">
        <v>51.50735</v>
      </c>
      <c r="I249" s="26" t="s">
        <v>110</v>
      </c>
      <c r="J249" s="26" t="s">
        <v>8314</v>
      </c>
      <c r="K249" s="26" t="s">
        <v>340</v>
      </c>
      <c r="L249" s="26" t="s">
        <v>7396</v>
      </c>
      <c r="M249" s="26" t="s">
        <v>1357</v>
      </c>
      <c r="N249" s="26" t="s">
        <v>7435</v>
      </c>
      <c r="O249" s="26" t="s">
        <v>8315</v>
      </c>
      <c r="P249" s="26" t="n">
        <v>0</v>
      </c>
    </row>
    <row r="250" customFormat="false" ht="13.8" hidden="false" customHeight="false" outlineLevel="0" collapsed="false">
      <c r="A250" s="26" t="n">
        <v>1046599</v>
      </c>
      <c r="B250" s="26" t="n">
        <v>1921</v>
      </c>
      <c r="C250" s="26" t="s">
        <v>8316</v>
      </c>
      <c r="D250" s="26" t="n">
        <v>250192.5</v>
      </c>
      <c r="E250" s="26" t="s">
        <v>8317</v>
      </c>
      <c r="F250" s="26" t="s">
        <v>8318</v>
      </c>
      <c r="G250" s="26" t="n">
        <v>-76.13516</v>
      </c>
      <c r="H250" s="26" t="n">
        <v>43.03987</v>
      </c>
      <c r="I250" s="26" t="s">
        <v>110</v>
      </c>
      <c r="J250" s="26" t="s">
        <v>8302</v>
      </c>
      <c r="K250" s="26" t="s">
        <v>7430</v>
      </c>
      <c r="L250" s="26" t="s">
        <v>7396</v>
      </c>
      <c r="M250" s="26" t="s">
        <v>1357</v>
      </c>
      <c r="N250" s="26" t="s">
        <v>7435</v>
      </c>
      <c r="O250" s="26" t="s">
        <v>8303</v>
      </c>
      <c r="P250" s="26" t="n">
        <v>0</v>
      </c>
    </row>
    <row r="251" customFormat="false" ht="13.8" hidden="false" customHeight="false" outlineLevel="0" collapsed="false">
      <c r="A251" s="26" t="n">
        <v>1052640</v>
      </c>
      <c r="B251" s="26" t="n">
        <v>1921</v>
      </c>
      <c r="C251" s="26" t="s">
        <v>8319</v>
      </c>
      <c r="D251" s="26" t="n">
        <v>3849115</v>
      </c>
      <c r="E251" s="26" t="s">
        <v>8320</v>
      </c>
      <c r="F251" s="26" t="s">
        <v>32</v>
      </c>
      <c r="G251" s="26" t="n">
        <v>-0.1277583</v>
      </c>
      <c r="H251" s="26" t="n">
        <v>51.50735</v>
      </c>
      <c r="I251" s="26" t="s">
        <v>882</v>
      </c>
      <c r="J251" s="26" t="s">
        <v>8321</v>
      </c>
      <c r="K251" s="26" t="s">
        <v>340</v>
      </c>
      <c r="L251" s="26" t="s">
        <v>7396</v>
      </c>
      <c r="M251" s="26" t="s">
        <v>1357</v>
      </c>
      <c r="N251" s="25" t="s">
        <v>7435</v>
      </c>
      <c r="O251" s="26" t="s">
        <v>8322</v>
      </c>
      <c r="P251" s="26" t="n">
        <f aca="false">IF(A251=O251, 1, 0)</f>
        <v>0</v>
      </c>
    </row>
    <row r="252" customFormat="false" ht="13.8" hidden="false" customHeight="false" outlineLevel="0" collapsed="false">
      <c r="A252" s="26" t="n">
        <v>1053742</v>
      </c>
      <c r="B252" s="26" t="n">
        <v>1921</v>
      </c>
      <c r="C252" s="26" t="s">
        <v>8323</v>
      </c>
      <c r="D252" s="28" t="n">
        <v>8000000</v>
      </c>
      <c r="E252" s="26" t="s">
        <v>8324</v>
      </c>
      <c r="F252" s="26" t="s">
        <v>1227</v>
      </c>
      <c r="G252" s="26" t="n">
        <v>-111.0937</v>
      </c>
      <c r="H252" s="26" t="n">
        <v>34.04893</v>
      </c>
      <c r="I252" s="26" t="s">
        <v>882</v>
      </c>
      <c r="J252" s="26" t="s">
        <v>8325</v>
      </c>
      <c r="K252" s="26" t="s">
        <v>7430</v>
      </c>
      <c r="L252" s="26" t="s">
        <v>7396</v>
      </c>
      <c r="M252" s="26" t="s">
        <v>1357</v>
      </c>
      <c r="N252" s="25" t="s">
        <v>7435</v>
      </c>
      <c r="O252" s="26" t="s">
        <v>8326</v>
      </c>
      <c r="P252" s="26" t="n">
        <f aca="false">IF(A252=O252, 1, 0)</f>
        <v>0</v>
      </c>
    </row>
    <row r="253" customFormat="false" ht="13.8" hidden="false" customHeight="false" outlineLevel="0" collapsed="false">
      <c r="A253" s="26" t="n">
        <v>1054089</v>
      </c>
      <c r="B253" s="26" t="n">
        <v>1921</v>
      </c>
      <c r="C253" s="26" t="s">
        <v>8046</v>
      </c>
      <c r="D253" s="26" t="n">
        <v>962278.7</v>
      </c>
      <c r="E253" s="26" t="s">
        <v>8327</v>
      </c>
      <c r="F253" s="26" t="s">
        <v>32</v>
      </c>
      <c r="G253" s="26" t="n">
        <v>-0.1277583</v>
      </c>
      <c r="H253" s="26" t="n">
        <v>51.50735</v>
      </c>
      <c r="I253" s="26" t="s">
        <v>110</v>
      </c>
      <c r="J253" s="26" t="s">
        <v>8328</v>
      </c>
      <c r="K253" s="26" t="s">
        <v>340</v>
      </c>
      <c r="L253" s="26" t="s">
        <v>7396</v>
      </c>
      <c r="M253" s="26" t="s">
        <v>7488</v>
      </c>
      <c r="N253" s="26" t="s">
        <v>7445</v>
      </c>
      <c r="O253" s="26" t="s">
        <v>8329</v>
      </c>
      <c r="P253" s="26" t="n">
        <v>0</v>
      </c>
    </row>
    <row r="254" customFormat="false" ht="13.8" hidden="false" customHeight="false" outlineLevel="0" collapsed="false">
      <c r="A254" s="26" t="n">
        <v>1055006</v>
      </c>
      <c r="B254" s="26" t="n">
        <v>1921</v>
      </c>
      <c r="C254" s="26" t="s">
        <v>7013</v>
      </c>
      <c r="D254" s="26" t="n">
        <v>7698229</v>
      </c>
      <c r="E254" s="26" t="s">
        <v>8330</v>
      </c>
      <c r="F254" s="26" t="s">
        <v>113</v>
      </c>
      <c r="G254" s="26" t="n">
        <v>-102.5528</v>
      </c>
      <c r="H254" s="26" t="n">
        <v>23.6345</v>
      </c>
      <c r="I254" s="26" t="s">
        <v>1357</v>
      </c>
      <c r="J254" s="26" t="s">
        <v>8331</v>
      </c>
      <c r="K254" s="26" t="s">
        <v>113</v>
      </c>
      <c r="L254" s="26" t="s">
        <v>7396</v>
      </c>
      <c r="M254" s="26" t="s">
        <v>1357</v>
      </c>
      <c r="N254" s="25" t="s">
        <v>7435</v>
      </c>
      <c r="O254" s="26" t="s">
        <v>8332</v>
      </c>
      <c r="P254" s="26" t="n">
        <f aca="false">IF(A254=O254, 1, 0)</f>
        <v>0</v>
      </c>
    </row>
    <row r="255" customFormat="false" ht="13.8" hidden="false" customHeight="false" outlineLevel="0" collapsed="false">
      <c r="A255" s="26" t="n">
        <v>1056197</v>
      </c>
      <c r="B255" s="26" t="n">
        <v>1921</v>
      </c>
      <c r="C255" s="26" t="s">
        <v>8333</v>
      </c>
      <c r="D255" s="26" t="n">
        <v>173210.2</v>
      </c>
      <c r="E255" s="26" t="s">
        <v>8334</v>
      </c>
      <c r="F255" s="26" t="s">
        <v>32</v>
      </c>
      <c r="G255" s="26" t="n">
        <v>-0.1277583</v>
      </c>
      <c r="H255" s="26" t="n">
        <v>51.50735</v>
      </c>
      <c r="I255" s="26" t="s">
        <v>1357</v>
      </c>
      <c r="J255" s="26" t="s">
        <v>8335</v>
      </c>
      <c r="K255" s="26" t="s">
        <v>340</v>
      </c>
      <c r="L255" s="26" t="s">
        <v>7396</v>
      </c>
      <c r="M255" s="26" t="s">
        <v>1357</v>
      </c>
      <c r="N255" s="25" t="s">
        <v>7435</v>
      </c>
      <c r="O255" s="26" t="s">
        <v>8336</v>
      </c>
      <c r="P255" s="26" t="n">
        <f aca="false">IF(A255=O255, 1, 0)</f>
        <v>0</v>
      </c>
    </row>
    <row r="256" customFormat="false" ht="13.8" hidden="false" customHeight="false" outlineLevel="0" collapsed="false">
      <c r="A256" s="26" t="n">
        <v>1062593</v>
      </c>
      <c r="B256" s="26" t="n">
        <v>1921</v>
      </c>
      <c r="C256" s="26" t="s">
        <v>8337</v>
      </c>
      <c r="D256" s="26" t="n">
        <v>1250962</v>
      </c>
      <c r="E256" s="26" t="s">
        <v>8338</v>
      </c>
      <c r="F256" s="26" t="s">
        <v>32</v>
      </c>
      <c r="G256" s="26" t="n">
        <v>-0.1277583</v>
      </c>
      <c r="H256" s="26" t="n">
        <v>51.50735</v>
      </c>
      <c r="I256" s="26" t="s">
        <v>5480</v>
      </c>
      <c r="J256" s="26" t="s">
        <v>8339</v>
      </c>
      <c r="K256" s="26" t="s">
        <v>340</v>
      </c>
      <c r="L256" s="26" t="s">
        <v>7396</v>
      </c>
      <c r="M256" s="26" t="s">
        <v>1357</v>
      </c>
      <c r="N256" s="26" t="s">
        <v>7435</v>
      </c>
      <c r="O256" s="26" t="s">
        <v>8340</v>
      </c>
      <c r="P256" s="26" t="n">
        <v>0</v>
      </c>
    </row>
    <row r="257" customFormat="false" ht="13.8" hidden="false" customHeight="false" outlineLevel="0" collapsed="false">
      <c r="A257" s="26" t="n">
        <v>1064567</v>
      </c>
      <c r="B257" s="26" t="n">
        <v>1921</v>
      </c>
      <c r="C257" s="26" t="s">
        <v>8341</v>
      </c>
      <c r="D257" s="26" t="n">
        <v>10585065</v>
      </c>
      <c r="E257" s="26" t="s">
        <v>8342</v>
      </c>
      <c r="F257" s="26" t="s">
        <v>137</v>
      </c>
      <c r="G257" s="26" t="n">
        <v>28.04731</v>
      </c>
      <c r="H257" s="26" t="n">
        <v>-26.2041</v>
      </c>
      <c r="I257" s="26" t="s">
        <v>882</v>
      </c>
      <c r="J257" s="26" t="s">
        <v>8343</v>
      </c>
      <c r="K257" s="26" t="s">
        <v>7480</v>
      </c>
      <c r="L257" s="26" t="s">
        <v>7396</v>
      </c>
      <c r="M257" s="26" t="s">
        <v>1357</v>
      </c>
      <c r="N257" s="26" t="s">
        <v>7435</v>
      </c>
      <c r="O257" s="26" t="s">
        <v>8344</v>
      </c>
      <c r="P257" s="26" t="n">
        <v>0</v>
      </c>
    </row>
    <row r="258" customFormat="false" ht="13.8" hidden="false" customHeight="false" outlineLevel="0" collapsed="false">
      <c r="A258" s="26" t="n">
        <v>1069324</v>
      </c>
      <c r="B258" s="26" t="n">
        <v>1921</v>
      </c>
      <c r="C258" s="26" t="s">
        <v>7108</v>
      </c>
      <c r="D258" s="26" t="n">
        <v>1347190</v>
      </c>
      <c r="E258" s="26" t="s">
        <v>8345</v>
      </c>
      <c r="F258" s="26" t="s">
        <v>99</v>
      </c>
      <c r="G258" s="26" t="n">
        <v>-105.7821</v>
      </c>
      <c r="H258" s="26" t="n">
        <v>39.55005</v>
      </c>
      <c r="I258" s="26" t="s">
        <v>882</v>
      </c>
      <c r="J258" s="26" t="s">
        <v>8346</v>
      </c>
      <c r="K258" s="26" t="s">
        <v>7430</v>
      </c>
      <c r="L258" s="26" t="s">
        <v>7396</v>
      </c>
      <c r="M258" s="26" t="s">
        <v>1357</v>
      </c>
      <c r="N258" s="26" t="s">
        <v>7435</v>
      </c>
      <c r="O258" s="26" t="s">
        <v>8347</v>
      </c>
      <c r="P258" s="26" t="n">
        <v>0</v>
      </c>
    </row>
    <row r="259" customFormat="false" ht="13.8" hidden="false" customHeight="false" outlineLevel="0" collapsed="false">
      <c r="A259" s="26" t="n">
        <v>1070763</v>
      </c>
      <c r="B259" s="26" t="n">
        <v>1921</v>
      </c>
      <c r="C259" s="26" t="s">
        <v>8348</v>
      </c>
      <c r="D259" s="26" t="n">
        <v>75000000</v>
      </c>
      <c r="E259" s="26" t="s">
        <v>8349</v>
      </c>
      <c r="F259" s="26" t="s">
        <v>4969</v>
      </c>
      <c r="G259" s="26" t="n">
        <v>-110.6974</v>
      </c>
      <c r="H259" s="26" t="n">
        <v>35.02419</v>
      </c>
      <c r="I259" s="26" t="s">
        <v>110</v>
      </c>
      <c r="J259" s="26" t="s">
        <v>8350</v>
      </c>
      <c r="K259" s="26" t="s">
        <v>7430</v>
      </c>
      <c r="L259" s="26" t="s">
        <v>7396</v>
      </c>
      <c r="M259" s="26" t="s">
        <v>1357</v>
      </c>
      <c r="N259" s="26" t="s">
        <v>7396</v>
      </c>
      <c r="O259" s="26" t="n">
        <v>287173</v>
      </c>
      <c r="P259" s="26" t="n">
        <v>0</v>
      </c>
    </row>
    <row r="260" customFormat="false" ht="13.8" hidden="false" customHeight="false" outlineLevel="0" collapsed="false">
      <c r="A260" s="26" t="n">
        <v>1072842</v>
      </c>
      <c r="B260" s="26" t="n">
        <v>1921</v>
      </c>
      <c r="C260" s="26" t="s">
        <v>6791</v>
      </c>
      <c r="D260" s="26" t="n">
        <v>1924557</v>
      </c>
      <c r="E260" s="26" t="s">
        <v>8351</v>
      </c>
      <c r="F260" s="26" t="s">
        <v>48</v>
      </c>
      <c r="G260" s="26" t="n">
        <v>174.886</v>
      </c>
      <c r="H260" s="26" t="n">
        <v>-40.90056</v>
      </c>
      <c r="I260" s="26" t="s">
        <v>882</v>
      </c>
      <c r="J260" s="26" t="s">
        <v>8352</v>
      </c>
      <c r="K260" s="26" t="s">
        <v>152</v>
      </c>
      <c r="L260" s="26" t="s">
        <v>7396</v>
      </c>
      <c r="M260" s="26" t="s">
        <v>1357</v>
      </c>
      <c r="N260" s="25" t="s">
        <v>7435</v>
      </c>
      <c r="O260" s="26" t="s">
        <v>8353</v>
      </c>
      <c r="P260" s="26" t="n">
        <f aca="false">IF(A260=O260, 1, 0)</f>
        <v>0</v>
      </c>
    </row>
    <row r="261" customFormat="false" ht="13.8" hidden="false" customHeight="false" outlineLevel="0" collapsed="false">
      <c r="A261" s="26" t="n">
        <v>1073657</v>
      </c>
      <c r="B261" s="26" t="n">
        <v>1921</v>
      </c>
      <c r="C261" s="26" t="s">
        <v>8354</v>
      </c>
      <c r="D261" s="26" t="n">
        <v>577367.2</v>
      </c>
      <c r="E261" s="26" t="s">
        <v>8355</v>
      </c>
      <c r="F261" s="26" t="s">
        <v>8356</v>
      </c>
      <c r="G261" s="26" t="n">
        <v>-94.8779</v>
      </c>
      <c r="H261" s="26" t="n">
        <v>36.87651</v>
      </c>
      <c r="I261" s="26" t="s">
        <v>882</v>
      </c>
      <c r="J261" s="26" t="s">
        <v>8357</v>
      </c>
      <c r="K261" s="26" t="s">
        <v>7430</v>
      </c>
      <c r="L261" s="26" t="s">
        <v>7396</v>
      </c>
      <c r="M261" s="26" t="s">
        <v>1357</v>
      </c>
      <c r="N261" s="26" t="s">
        <v>7435</v>
      </c>
      <c r="O261" s="26" t="s">
        <v>8358</v>
      </c>
      <c r="P261" s="26" t="n">
        <v>0</v>
      </c>
    </row>
    <row r="262" customFormat="false" ht="13.8" hidden="false" customHeight="false" outlineLevel="0" collapsed="false">
      <c r="A262" s="26" t="n">
        <v>1073675</v>
      </c>
      <c r="B262" s="26" t="n">
        <v>1921</v>
      </c>
      <c r="C262" s="26" t="s">
        <v>8173</v>
      </c>
      <c r="D262" s="26" t="n">
        <v>1154734</v>
      </c>
      <c r="E262" s="26" t="s">
        <v>8359</v>
      </c>
      <c r="F262" s="26" t="s">
        <v>864</v>
      </c>
      <c r="G262" s="26" t="n">
        <v>-95.92508</v>
      </c>
      <c r="H262" s="26" t="n">
        <v>36.03332</v>
      </c>
      <c r="I262" s="26" t="s">
        <v>110</v>
      </c>
      <c r="J262" s="26" t="s">
        <v>8175</v>
      </c>
      <c r="K262" s="26" t="s">
        <v>7430</v>
      </c>
      <c r="L262" s="26" t="s">
        <v>7396</v>
      </c>
      <c r="M262" s="26" t="s">
        <v>152</v>
      </c>
      <c r="N262" s="26" t="s">
        <v>7445</v>
      </c>
      <c r="O262" s="26" t="s">
        <v>8176</v>
      </c>
      <c r="P262" s="26" t="n">
        <v>0</v>
      </c>
    </row>
    <row r="263" customFormat="false" ht="13.8" hidden="false" customHeight="false" outlineLevel="0" collapsed="false">
      <c r="A263" s="26" t="n">
        <v>1087640</v>
      </c>
      <c r="B263" s="26" t="n">
        <v>1922</v>
      </c>
      <c r="C263" s="26" t="s">
        <v>8360</v>
      </c>
      <c r="D263" s="26" t="n">
        <v>1660762</v>
      </c>
      <c r="E263" s="26" t="s">
        <v>8361</v>
      </c>
      <c r="F263" s="26" t="s">
        <v>66</v>
      </c>
      <c r="G263" s="26" t="n">
        <v>-94.7053</v>
      </c>
      <c r="H263" s="26" t="n">
        <v>37.39616</v>
      </c>
      <c r="I263" s="26" t="s">
        <v>214</v>
      </c>
      <c r="J263" s="26" t="s">
        <v>8362</v>
      </c>
      <c r="K263" s="26" t="s">
        <v>7430</v>
      </c>
      <c r="L263" s="26" t="s">
        <v>7396</v>
      </c>
      <c r="M263" s="26" t="s">
        <v>152</v>
      </c>
      <c r="N263" s="26" t="s">
        <v>7445</v>
      </c>
      <c r="O263" s="26" t="s">
        <v>8363</v>
      </c>
      <c r="P263" s="26" t="n">
        <v>0</v>
      </c>
    </row>
    <row r="264" customFormat="false" ht="13.8" hidden="false" customHeight="false" outlineLevel="0" collapsed="false">
      <c r="A264" s="26" t="n">
        <v>1088312</v>
      </c>
      <c r="B264" s="26" t="n">
        <v>1922</v>
      </c>
      <c r="C264" s="26" t="s">
        <v>8364</v>
      </c>
      <c r="D264" s="26" t="n">
        <v>75.28787</v>
      </c>
      <c r="E264" s="26" t="s">
        <v>8365</v>
      </c>
      <c r="F264" s="26" t="s">
        <v>264</v>
      </c>
      <c r="G264" s="26" t="n">
        <v>2.213749</v>
      </c>
      <c r="H264" s="26" t="n">
        <v>46.22764</v>
      </c>
      <c r="I264" s="26" t="s">
        <v>110</v>
      </c>
      <c r="J264" s="26" t="s">
        <v>8366</v>
      </c>
      <c r="K264" s="26" t="s">
        <v>264</v>
      </c>
      <c r="L264" s="26" t="s">
        <v>7396</v>
      </c>
      <c r="M264" s="26" t="s">
        <v>1357</v>
      </c>
      <c r="N264" s="26" t="s">
        <v>7396</v>
      </c>
      <c r="O264" s="26" t="n">
        <v>969387</v>
      </c>
      <c r="P264" s="26" t="n">
        <f aca="false">IF(A264=O264, 1, 0)</f>
        <v>0</v>
      </c>
    </row>
    <row r="265" customFormat="false" ht="13.8" hidden="false" customHeight="false" outlineLevel="0" collapsed="false">
      <c r="A265" s="26" t="n">
        <v>1089487</v>
      </c>
      <c r="B265" s="26" t="n">
        <v>1922</v>
      </c>
      <c r="C265" s="26" t="s">
        <v>8367</v>
      </c>
      <c r="D265" s="26" t="n">
        <v>7718733</v>
      </c>
      <c r="E265" s="26" t="s">
        <v>8368</v>
      </c>
      <c r="F265" s="26" t="s">
        <v>413</v>
      </c>
      <c r="G265" s="26" t="n">
        <v>-97.21348</v>
      </c>
      <c r="H265" s="26" t="n">
        <v>32.82943</v>
      </c>
      <c r="I265" s="26" t="s">
        <v>1357</v>
      </c>
      <c r="J265" s="26" t="s">
        <v>8369</v>
      </c>
      <c r="K265" s="26" t="s">
        <v>7430</v>
      </c>
      <c r="L265" s="26" t="s">
        <v>7396</v>
      </c>
      <c r="M265" s="26" t="s">
        <v>1357</v>
      </c>
      <c r="N265" s="25" t="s">
        <v>7435</v>
      </c>
      <c r="O265" s="26" t="s">
        <v>8370</v>
      </c>
      <c r="P265" s="26" t="n">
        <f aca="false">IF(A265=O265, 1, 0)</f>
        <v>0</v>
      </c>
    </row>
    <row r="266" customFormat="false" ht="13.8" hidden="false" customHeight="false" outlineLevel="0" collapsed="false">
      <c r="A266" s="26" t="n">
        <v>1092322</v>
      </c>
      <c r="B266" s="26" t="n">
        <v>1922</v>
      </c>
      <c r="C266" s="26" t="s">
        <v>7001</v>
      </c>
      <c r="D266" s="26" t="n">
        <v>19929141</v>
      </c>
      <c r="E266" s="26" t="s">
        <v>8371</v>
      </c>
      <c r="F266" s="26" t="s">
        <v>137</v>
      </c>
      <c r="G266" s="26" t="n">
        <v>28.04731</v>
      </c>
      <c r="H266" s="26" t="n">
        <v>-26.2041</v>
      </c>
      <c r="I266" s="26" t="s">
        <v>110</v>
      </c>
      <c r="J266" s="26" t="s">
        <v>8372</v>
      </c>
      <c r="K266" s="26" t="s">
        <v>7480</v>
      </c>
      <c r="L266" s="26" t="s">
        <v>7396</v>
      </c>
      <c r="M266" s="26" t="s">
        <v>152</v>
      </c>
      <c r="N266" s="25" t="s">
        <v>7445</v>
      </c>
      <c r="O266" s="26" t="s">
        <v>8373</v>
      </c>
      <c r="P266" s="26" t="n">
        <f aca="false">IF(A266=O266, 1, 0)</f>
        <v>0</v>
      </c>
    </row>
    <row r="267" customFormat="false" ht="13.8" hidden="false" customHeight="false" outlineLevel="0" collapsed="false">
      <c r="A267" s="26" t="n">
        <v>1092976</v>
      </c>
      <c r="B267" s="26" t="n">
        <v>1922</v>
      </c>
      <c r="C267" s="26" t="s">
        <v>6767</v>
      </c>
      <c r="D267" s="26" t="n">
        <v>1107174</v>
      </c>
      <c r="E267" s="26" t="s">
        <v>8374</v>
      </c>
      <c r="F267" s="26" t="s">
        <v>32</v>
      </c>
      <c r="G267" s="26" t="n">
        <v>-0.1277583</v>
      </c>
      <c r="H267" s="26" t="n">
        <v>51.50735</v>
      </c>
      <c r="I267" s="26" t="s">
        <v>882</v>
      </c>
      <c r="J267" s="26" t="s">
        <v>8375</v>
      </c>
      <c r="K267" s="26" t="s">
        <v>340</v>
      </c>
      <c r="L267" s="26" t="s">
        <v>7396</v>
      </c>
      <c r="M267" s="26" t="s">
        <v>1357</v>
      </c>
      <c r="N267" s="25" t="s">
        <v>7435</v>
      </c>
      <c r="O267" s="26" t="s">
        <v>8376</v>
      </c>
      <c r="P267" s="26" t="n">
        <f aca="false">IF(A267=O267, 1, 0)</f>
        <v>0</v>
      </c>
    </row>
    <row r="268" customFormat="false" ht="13.8" hidden="false" customHeight="false" outlineLevel="0" collapsed="false">
      <c r="A268" s="26" t="n">
        <v>1094372</v>
      </c>
      <c r="B268" s="26" t="n">
        <v>1922</v>
      </c>
      <c r="C268" s="26" t="s">
        <v>7048</v>
      </c>
      <c r="D268" s="26" t="n">
        <v>4428698</v>
      </c>
      <c r="E268" s="26" t="s">
        <v>8377</v>
      </c>
      <c r="F268" s="26" t="s">
        <v>32</v>
      </c>
      <c r="G268" s="26" t="n">
        <v>-0.1277583</v>
      </c>
      <c r="H268" s="26" t="n">
        <v>51.50735</v>
      </c>
      <c r="I268" s="26" t="s">
        <v>882</v>
      </c>
      <c r="J268" s="26" t="s">
        <v>8321</v>
      </c>
      <c r="K268" s="26" t="s">
        <v>340</v>
      </c>
      <c r="L268" s="26" t="s">
        <v>7396</v>
      </c>
      <c r="M268" s="26" t="s">
        <v>1357</v>
      </c>
      <c r="N268" s="25" t="s">
        <v>7435</v>
      </c>
      <c r="O268" s="26" t="s">
        <v>8322</v>
      </c>
      <c r="P268" s="26" t="n">
        <f aca="false">IF(A268=O268, 1, 0)</f>
        <v>0</v>
      </c>
    </row>
    <row r="269" customFormat="false" ht="13.8" hidden="false" customHeight="false" outlineLevel="0" collapsed="false">
      <c r="A269" s="26" t="n">
        <v>1095113</v>
      </c>
      <c r="B269" s="26" t="n">
        <v>1922</v>
      </c>
      <c r="C269" s="26" t="s">
        <v>8378</v>
      </c>
      <c r="D269" s="26" t="n">
        <v>664304.7</v>
      </c>
      <c r="E269" s="26" t="s">
        <v>8379</v>
      </c>
      <c r="F269" s="26" t="s">
        <v>164</v>
      </c>
      <c r="G269" s="26" t="n">
        <v>-3.943646</v>
      </c>
      <c r="H269" s="26" t="n">
        <v>51.62144</v>
      </c>
      <c r="I269" s="26" t="s">
        <v>110</v>
      </c>
      <c r="J269" s="26" t="s">
        <v>8380</v>
      </c>
      <c r="K269" s="26" t="s">
        <v>340</v>
      </c>
      <c r="L269" s="26" t="s">
        <v>7396</v>
      </c>
      <c r="M269" s="26" t="s">
        <v>1357</v>
      </c>
      <c r="N269" s="25" t="s">
        <v>7435</v>
      </c>
      <c r="O269" s="26" t="s">
        <v>8381</v>
      </c>
      <c r="P269" s="26" t="n">
        <f aca="false">IF(A269=O269, 1, 0)</f>
        <v>0</v>
      </c>
    </row>
    <row r="270" customFormat="false" ht="13.8" hidden="false" customHeight="false" outlineLevel="0" collapsed="false">
      <c r="A270" s="26" t="n">
        <v>1095380</v>
      </c>
      <c r="B270" s="26" t="n">
        <v>1922</v>
      </c>
      <c r="C270" s="26" t="s">
        <v>8382</v>
      </c>
      <c r="D270" s="26" t="n">
        <v>1439327</v>
      </c>
      <c r="E270" s="26" t="s">
        <v>8383</v>
      </c>
      <c r="F270" s="26" t="s">
        <v>397</v>
      </c>
      <c r="G270" s="26" t="n">
        <v>-78.89862</v>
      </c>
      <c r="H270" s="26" t="n">
        <v>35.99403</v>
      </c>
      <c r="I270" s="26" t="s">
        <v>882</v>
      </c>
      <c r="J270" s="26" t="s">
        <v>8384</v>
      </c>
      <c r="K270" s="26" t="s">
        <v>7430</v>
      </c>
      <c r="L270" s="26" t="s">
        <v>7396</v>
      </c>
      <c r="M270" s="26" t="s">
        <v>1357</v>
      </c>
      <c r="N270" s="25" t="s">
        <v>7435</v>
      </c>
      <c r="O270" s="26" t="s">
        <v>8385</v>
      </c>
      <c r="P270" s="26" t="n">
        <f aca="false">IF(A270=O270, 1, 0)</f>
        <v>0</v>
      </c>
    </row>
    <row r="271" customFormat="false" ht="13.8" hidden="false" customHeight="false" outlineLevel="0" collapsed="false">
      <c r="A271" s="26" t="n">
        <v>1095905</v>
      </c>
      <c r="B271" s="26" t="n">
        <v>1922</v>
      </c>
      <c r="C271" s="26" t="s">
        <v>8386</v>
      </c>
      <c r="D271" s="26" t="n">
        <v>1107174</v>
      </c>
      <c r="E271" s="26" t="s">
        <v>8387</v>
      </c>
      <c r="F271" s="26" t="s">
        <v>32</v>
      </c>
      <c r="G271" s="26" t="n">
        <v>-0.1277583</v>
      </c>
      <c r="H271" s="26" t="n">
        <v>51.50735</v>
      </c>
      <c r="I271" s="26" t="s">
        <v>110</v>
      </c>
      <c r="J271" s="26" t="s">
        <v>8048</v>
      </c>
      <c r="K271" s="26" t="s">
        <v>340</v>
      </c>
      <c r="L271" s="26" t="s">
        <v>7396</v>
      </c>
      <c r="M271" s="26" t="s">
        <v>152</v>
      </c>
      <c r="N271" s="26" t="s">
        <v>7445</v>
      </c>
      <c r="O271" s="26" t="s">
        <v>8049</v>
      </c>
      <c r="P271" s="26" t="n">
        <v>0</v>
      </c>
    </row>
    <row r="272" customFormat="false" ht="13.8" hidden="false" customHeight="false" outlineLevel="0" collapsed="false">
      <c r="A272" s="26" t="n">
        <v>1096170</v>
      </c>
      <c r="B272" s="26" t="n">
        <v>1922</v>
      </c>
      <c r="C272" s="26" t="s">
        <v>8388</v>
      </c>
      <c r="D272" s="26" t="n">
        <v>664304.7</v>
      </c>
      <c r="E272" s="26" t="s">
        <v>8389</v>
      </c>
      <c r="F272" s="26" t="s">
        <v>413</v>
      </c>
      <c r="G272" s="26" t="n">
        <v>-97.21348</v>
      </c>
      <c r="H272" s="26" t="n">
        <v>32.82943</v>
      </c>
      <c r="I272" s="26" t="s">
        <v>214</v>
      </c>
      <c r="J272" s="26" t="s">
        <v>7558</v>
      </c>
      <c r="K272" s="26" t="s">
        <v>7430</v>
      </c>
      <c r="L272" s="26" t="s">
        <v>7396</v>
      </c>
      <c r="M272" s="26" t="s">
        <v>152</v>
      </c>
      <c r="N272" s="26" t="s">
        <v>7445</v>
      </c>
      <c r="O272" s="26" t="s">
        <v>7559</v>
      </c>
      <c r="P272" s="26" t="n">
        <v>0</v>
      </c>
    </row>
    <row r="273" customFormat="false" ht="13.8" hidden="false" customHeight="false" outlineLevel="0" collapsed="false">
      <c r="A273" s="26" t="n">
        <v>1101962</v>
      </c>
      <c r="B273" s="26" t="n">
        <v>1922</v>
      </c>
      <c r="C273" s="26" t="s">
        <v>8390</v>
      </c>
      <c r="D273" s="26" t="n">
        <v>1253322</v>
      </c>
      <c r="E273" s="26" t="s">
        <v>8391</v>
      </c>
      <c r="F273" s="26" t="s">
        <v>32</v>
      </c>
      <c r="G273" s="26" t="n">
        <v>-0.1277583</v>
      </c>
      <c r="H273" s="26" t="n">
        <v>51.50735</v>
      </c>
      <c r="I273" s="26" t="s">
        <v>110</v>
      </c>
      <c r="J273" s="26" t="s">
        <v>8392</v>
      </c>
      <c r="K273" s="26" t="s">
        <v>340</v>
      </c>
      <c r="L273" s="26" t="s">
        <v>7396</v>
      </c>
      <c r="M273" s="26" t="s">
        <v>8393</v>
      </c>
      <c r="N273" s="26" t="s">
        <v>4719</v>
      </c>
      <c r="O273" s="26" t="s">
        <v>8394</v>
      </c>
      <c r="P273" s="26" t="n">
        <v>0</v>
      </c>
    </row>
    <row r="274" customFormat="false" ht="13.8" hidden="false" customHeight="false" outlineLevel="0" collapsed="false">
      <c r="A274" s="26" t="n">
        <v>1102411</v>
      </c>
      <c r="B274" s="26" t="n">
        <v>1922</v>
      </c>
      <c r="C274" s="26" t="s">
        <v>8395</v>
      </c>
      <c r="D274" s="26" t="n">
        <v>1578137</v>
      </c>
      <c r="E274" s="26" t="s">
        <v>8396</v>
      </c>
      <c r="F274" s="26" t="s">
        <v>8397</v>
      </c>
      <c r="G274" s="26" t="n">
        <v>-75.70193</v>
      </c>
      <c r="H274" s="26" t="n">
        <v>45.42005</v>
      </c>
      <c r="I274" s="26" t="s">
        <v>931</v>
      </c>
      <c r="J274" s="26" t="s">
        <v>8398</v>
      </c>
      <c r="K274" s="26" t="s">
        <v>361</v>
      </c>
      <c r="L274" s="26" t="s">
        <v>7396</v>
      </c>
      <c r="M274" s="26" t="s">
        <v>1357</v>
      </c>
      <c r="N274" s="25" t="s">
        <v>7435</v>
      </c>
      <c r="O274" s="26" t="s">
        <v>8399</v>
      </c>
      <c r="P274" s="26" t="n">
        <f aca="false">IF(A274=O274, 1, 0)</f>
        <v>0</v>
      </c>
    </row>
    <row r="275" customFormat="false" ht="13.8" hidden="false" customHeight="false" outlineLevel="0" collapsed="false">
      <c r="A275" s="26" t="n">
        <v>1107922</v>
      </c>
      <c r="B275" s="26" t="n">
        <v>1922</v>
      </c>
      <c r="C275" s="26" t="s">
        <v>6665</v>
      </c>
      <c r="D275" s="26" t="n">
        <v>1000000</v>
      </c>
      <c r="E275" s="26" t="s">
        <v>8400</v>
      </c>
      <c r="F275" s="26" t="s">
        <v>3685</v>
      </c>
      <c r="G275" s="26" t="n">
        <v>-94.61742</v>
      </c>
      <c r="H275" s="26" t="n">
        <v>37.07903</v>
      </c>
      <c r="I275" s="26" t="s">
        <v>110</v>
      </c>
      <c r="J275" s="26" t="s">
        <v>8401</v>
      </c>
      <c r="K275" s="26" t="s">
        <v>7430</v>
      </c>
      <c r="L275" s="26" t="s">
        <v>7396</v>
      </c>
      <c r="M275" s="26" t="s">
        <v>3298</v>
      </c>
      <c r="N275" s="26" t="s">
        <v>99</v>
      </c>
      <c r="O275" s="26" t="s">
        <v>8402</v>
      </c>
      <c r="P275" s="26" t="n">
        <v>0</v>
      </c>
    </row>
    <row r="276" customFormat="false" ht="13.8" hidden="false" customHeight="false" outlineLevel="0" collapsed="false">
      <c r="A276" s="26" t="n">
        <v>1112212</v>
      </c>
      <c r="B276" s="26" t="n">
        <v>1922</v>
      </c>
      <c r="C276" s="26" t="s">
        <v>8403</v>
      </c>
      <c r="D276" s="26" t="n">
        <v>885739.6</v>
      </c>
      <c r="E276" s="26" t="s">
        <v>8404</v>
      </c>
      <c r="F276" s="26" t="s">
        <v>8405</v>
      </c>
      <c r="G276" s="26" t="n">
        <v>-0.0911072</v>
      </c>
      <c r="H276" s="26" t="n">
        <v>51.51603</v>
      </c>
      <c r="I276" s="26" t="s">
        <v>110</v>
      </c>
      <c r="J276" s="26" t="s">
        <v>8406</v>
      </c>
      <c r="K276" s="26" t="s">
        <v>340</v>
      </c>
      <c r="L276" s="26" t="s">
        <v>7396</v>
      </c>
      <c r="M276" s="26" t="s">
        <v>1357</v>
      </c>
      <c r="N276" s="25" t="s">
        <v>7435</v>
      </c>
      <c r="O276" s="26" t="s">
        <v>8407</v>
      </c>
      <c r="P276" s="26" t="n">
        <f aca="false">IF(A276=O276, 1, 0)</f>
        <v>0</v>
      </c>
    </row>
    <row r="277" customFormat="false" ht="13.8" hidden="false" customHeight="false" outlineLevel="0" collapsed="false">
      <c r="A277" s="26" t="n">
        <v>1116943</v>
      </c>
      <c r="B277" s="26" t="n">
        <v>1923</v>
      </c>
      <c r="C277" s="26" t="s">
        <v>6530</v>
      </c>
      <c r="D277" s="28" t="n">
        <v>5000000</v>
      </c>
      <c r="E277" s="26" t="s">
        <v>8408</v>
      </c>
      <c r="F277" s="26" t="s">
        <v>8208</v>
      </c>
      <c r="G277" s="26" t="n">
        <v>-149.4937</v>
      </c>
      <c r="H277" s="26" t="n">
        <v>64.20084</v>
      </c>
      <c r="I277" s="26" t="s">
        <v>110</v>
      </c>
      <c r="J277" s="26" t="s">
        <v>7689</v>
      </c>
      <c r="K277" s="26" t="s">
        <v>7430</v>
      </c>
      <c r="L277" s="26" t="s">
        <v>7396</v>
      </c>
      <c r="M277" s="26" t="s">
        <v>1357</v>
      </c>
      <c r="N277" s="25" t="s">
        <v>7435</v>
      </c>
      <c r="O277" s="26" t="s">
        <v>7690</v>
      </c>
      <c r="P277" s="26" t="n">
        <f aca="false">IF(A277=O277, 1, 0)</f>
        <v>0</v>
      </c>
    </row>
    <row r="278" customFormat="false" ht="13.8" hidden="false" customHeight="false" outlineLevel="0" collapsed="false">
      <c r="A278" s="26" t="n">
        <v>1116982</v>
      </c>
      <c r="B278" s="26" t="n">
        <v>1923</v>
      </c>
      <c r="C278" s="26" t="s">
        <v>7305</v>
      </c>
      <c r="D278" s="28" t="n">
        <v>1000000</v>
      </c>
      <c r="E278" s="26" t="s">
        <v>8409</v>
      </c>
      <c r="F278" s="26" t="s">
        <v>8410</v>
      </c>
      <c r="G278" s="26" t="n">
        <v>-73.96084</v>
      </c>
      <c r="H278" s="26" t="n">
        <v>40.76148</v>
      </c>
      <c r="I278" s="26" t="s">
        <v>931</v>
      </c>
      <c r="J278" s="26" t="s">
        <v>8411</v>
      </c>
      <c r="K278" s="26" t="s">
        <v>7430</v>
      </c>
      <c r="L278" s="26" t="s">
        <v>7396</v>
      </c>
      <c r="M278" s="26" t="s">
        <v>1357</v>
      </c>
      <c r="N278" s="25" t="s">
        <v>7435</v>
      </c>
      <c r="O278" s="26" t="s">
        <v>8412</v>
      </c>
      <c r="P278" s="26" t="n">
        <f aca="false">IF(A278=O278, 1, 0)</f>
        <v>0</v>
      </c>
    </row>
    <row r="279" customFormat="false" ht="13.8" hidden="false" customHeight="false" outlineLevel="0" collapsed="false">
      <c r="A279" s="26" t="n">
        <v>1124467</v>
      </c>
      <c r="B279" s="26" t="n">
        <v>1923</v>
      </c>
      <c r="C279" s="26" t="s">
        <v>8308</v>
      </c>
      <c r="D279" s="26" t="n">
        <v>2058554</v>
      </c>
      <c r="E279" s="26" t="s">
        <v>8413</v>
      </c>
      <c r="F279" s="26" t="s">
        <v>32</v>
      </c>
      <c r="G279" s="26" t="n">
        <v>-0.1277583</v>
      </c>
      <c r="H279" s="26" t="n">
        <v>51.50735</v>
      </c>
      <c r="I279" s="26" t="s">
        <v>882</v>
      </c>
      <c r="J279" s="26" t="s">
        <v>8414</v>
      </c>
      <c r="K279" s="26" t="s">
        <v>340</v>
      </c>
      <c r="L279" s="26" t="s">
        <v>7396</v>
      </c>
      <c r="M279" s="26" t="s">
        <v>1357</v>
      </c>
      <c r="N279" s="25" t="s">
        <v>7435</v>
      </c>
      <c r="O279" s="26" t="s">
        <v>8415</v>
      </c>
      <c r="P279" s="26" t="n">
        <f aca="false">IF(A279=O279, 1, 0)</f>
        <v>0</v>
      </c>
    </row>
    <row r="280" customFormat="false" ht="13.8" hidden="false" customHeight="false" outlineLevel="0" collapsed="false">
      <c r="A280" s="26" t="n">
        <v>1128291</v>
      </c>
      <c r="B280" s="26" t="n">
        <v>1923</v>
      </c>
      <c r="C280" s="26" t="s">
        <v>8416</v>
      </c>
      <c r="D280" s="26" t="n">
        <v>228728.3</v>
      </c>
      <c r="E280" s="26" t="s">
        <v>8417</v>
      </c>
      <c r="F280" s="26" t="s">
        <v>141</v>
      </c>
      <c r="G280" s="26" t="n">
        <v>8.672434</v>
      </c>
      <c r="H280" s="26" t="n">
        <v>49.39875</v>
      </c>
      <c r="I280" s="26" t="s">
        <v>882</v>
      </c>
      <c r="J280" s="26" t="s">
        <v>8418</v>
      </c>
      <c r="K280" s="26" t="s">
        <v>8419</v>
      </c>
      <c r="L280" s="26" t="s">
        <v>7396</v>
      </c>
      <c r="M280" s="26" t="s">
        <v>1357</v>
      </c>
      <c r="N280" s="25" t="s">
        <v>7435</v>
      </c>
      <c r="O280" s="26" t="s">
        <v>8420</v>
      </c>
      <c r="P280" s="26" t="n">
        <f aca="false">IF(A280=O280, 1, 0)</f>
        <v>0</v>
      </c>
    </row>
    <row r="281" customFormat="false" ht="13.8" hidden="false" customHeight="false" outlineLevel="0" collapsed="false">
      <c r="A281" s="26" t="n">
        <v>1129273</v>
      </c>
      <c r="B281" s="26" t="n">
        <v>1923</v>
      </c>
      <c r="C281" s="26" t="s">
        <v>8421</v>
      </c>
      <c r="D281" s="26" t="n">
        <v>1715462</v>
      </c>
      <c r="E281" s="26" t="s">
        <v>8422</v>
      </c>
      <c r="F281" s="26" t="s">
        <v>8423</v>
      </c>
      <c r="G281" s="26" t="n">
        <v>-89.40123</v>
      </c>
      <c r="H281" s="26" t="n">
        <v>43.07305</v>
      </c>
      <c r="I281" s="26" t="s">
        <v>110</v>
      </c>
      <c r="J281" s="26" t="s">
        <v>7656</v>
      </c>
      <c r="K281" s="26" t="s">
        <v>7430</v>
      </c>
      <c r="L281" s="26" t="s">
        <v>7396</v>
      </c>
      <c r="M281" s="26" t="s">
        <v>7657</v>
      </c>
      <c r="N281" s="26" t="s">
        <v>4306</v>
      </c>
      <c r="O281" s="26" t="s">
        <v>7658</v>
      </c>
      <c r="P281" s="26" t="n">
        <f aca="false">IF(A281=O281, 1, 0)</f>
        <v>0</v>
      </c>
    </row>
    <row r="282" customFormat="false" ht="13.8" hidden="false" customHeight="false" outlineLevel="0" collapsed="false">
      <c r="A282" s="26" t="n">
        <v>1131235</v>
      </c>
      <c r="B282" s="26" t="n">
        <v>1923</v>
      </c>
      <c r="C282" s="26" t="s">
        <v>8424</v>
      </c>
      <c r="D282" s="26" t="n">
        <v>5763952</v>
      </c>
      <c r="E282" s="26" t="s">
        <v>8425</v>
      </c>
      <c r="F282" s="26" t="s">
        <v>32</v>
      </c>
      <c r="G282" s="26" t="n">
        <v>-0.1277583</v>
      </c>
      <c r="H282" s="26" t="n">
        <v>51.50735</v>
      </c>
      <c r="I282" s="26" t="s">
        <v>882</v>
      </c>
      <c r="J282" s="26" t="s">
        <v>8426</v>
      </c>
      <c r="K282" s="26" t="s">
        <v>340</v>
      </c>
      <c r="L282" s="26" t="s">
        <v>7396</v>
      </c>
      <c r="M282" s="26" t="s">
        <v>1357</v>
      </c>
      <c r="N282" s="25" t="s">
        <v>7435</v>
      </c>
      <c r="O282" s="26" t="s">
        <v>8427</v>
      </c>
      <c r="P282" s="26" t="n">
        <f aca="false">IF(A282=O282, 1, 0)</f>
        <v>0</v>
      </c>
    </row>
    <row r="283" customFormat="false" ht="13.8" hidden="false" customHeight="false" outlineLevel="0" collapsed="false">
      <c r="A283" s="26" t="n">
        <v>1133222</v>
      </c>
      <c r="B283" s="26" t="n">
        <v>1923</v>
      </c>
      <c r="C283" s="26" t="s">
        <v>8428</v>
      </c>
      <c r="D283" s="28" t="n">
        <v>30000000</v>
      </c>
      <c r="E283" s="26" t="s">
        <v>8429</v>
      </c>
      <c r="F283" s="26" t="s">
        <v>1227</v>
      </c>
      <c r="G283" s="26" t="n">
        <v>-111.0937</v>
      </c>
      <c r="H283" s="26" t="n">
        <v>34.04893</v>
      </c>
      <c r="I283" s="26" t="s">
        <v>110</v>
      </c>
      <c r="J283" s="26" t="s">
        <v>8430</v>
      </c>
      <c r="K283" s="26" t="s">
        <v>7430</v>
      </c>
      <c r="L283" s="26" t="s">
        <v>7396</v>
      </c>
      <c r="M283" s="26" t="s">
        <v>152</v>
      </c>
      <c r="N283" s="25" t="s">
        <v>7445</v>
      </c>
      <c r="O283" s="26" t="s">
        <v>8431</v>
      </c>
      <c r="P283" s="26" t="n">
        <f aca="false">IF(A283=O283, 1, 0)</f>
        <v>0</v>
      </c>
    </row>
    <row r="284" customFormat="false" ht="13.8" hidden="false" customHeight="false" outlineLevel="0" collapsed="false">
      <c r="A284" s="26" t="n">
        <v>1133491</v>
      </c>
      <c r="B284" s="26" t="n">
        <v>1923</v>
      </c>
      <c r="C284" s="26" t="s">
        <v>8432</v>
      </c>
      <c r="D284" s="26" t="n">
        <v>9149131</v>
      </c>
      <c r="E284" s="26" t="s">
        <v>8433</v>
      </c>
      <c r="F284" s="26" t="s">
        <v>121</v>
      </c>
      <c r="G284" s="26" t="n">
        <v>-51.92528</v>
      </c>
      <c r="H284" s="26" t="n">
        <v>-14.235</v>
      </c>
      <c r="I284" s="26" t="s">
        <v>110</v>
      </c>
      <c r="J284" s="26" t="s">
        <v>8366</v>
      </c>
      <c r="K284" s="26" t="s">
        <v>121</v>
      </c>
      <c r="L284" s="26" t="s">
        <v>7396</v>
      </c>
      <c r="M284" s="26" t="s">
        <v>1357</v>
      </c>
      <c r="N284" s="26" t="s">
        <v>7396</v>
      </c>
      <c r="O284" s="26" t="n">
        <v>969387</v>
      </c>
      <c r="P284" s="26" t="n">
        <f aca="false">IF(A284=O284, 1, 0)</f>
        <v>0</v>
      </c>
    </row>
    <row r="285" customFormat="false" ht="13.8" hidden="false" customHeight="false" outlineLevel="0" collapsed="false">
      <c r="A285" s="26" t="n">
        <v>1136941</v>
      </c>
      <c r="B285" s="26" t="n">
        <v>1923</v>
      </c>
      <c r="C285" s="26" t="s">
        <v>7323</v>
      </c>
      <c r="D285" s="26" t="n">
        <v>2561757</v>
      </c>
      <c r="E285" s="26" t="s">
        <v>8434</v>
      </c>
      <c r="F285" s="26" t="s">
        <v>177</v>
      </c>
      <c r="G285" s="26" t="n">
        <v>-81.1831</v>
      </c>
      <c r="H285" s="26" t="n">
        <v>43.23256</v>
      </c>
      <c r="I285" s="26" t="s">
        <v>882</v>
      </c>
      <c r="J285" s="26" t="s">
        <v>8435</v>
      </c>
      <c r="K285" s="26" t="s">
        <v>361</v>
      </c>
      <c r="L285" s="26" t="s">
        <v>7396</v>
      </c>
      <c r="M285" s="26" t="s">
        <v>3298</v>
      </c>
      <c r="N285" s="25" t="s">
        <v>99</v>
      </c>
      <c r="O285" s="26" t="s">
        <v>8436</v>
      </c>
      <c r="P285" s="26" t="n">
        <f aca="false">IF(A285=O285, 1, 0)</f>
        <v>0</v>
      </c>
    </row>
    <row r="286" customFormat="false" ht="13.8" hidden="false" customHeight="false" outlineLevel="0" collapsed="false">
      <c r="A286" s="26" t="n">
        <v>1141368</v>
      </c>
      <c r="B286" s="26" t="n">
        <v>1923</v>
      </c>
      <c r="C286" s="26" t="s">
        <v>7194</v>
      </c>
      <c r="D286" s="26" t="n">
        <v>6404392</v>
      </c>
      <c r="E286" s="26" t="s">
        <v>8437</v>
      </c>
      <c r="F286" s="26" t="s">
        <v>32</v>
      </c>
      <c r="G286" s="26" t="n">
        <v>-0.1277583</v>
      </c>
      <c r="H286" s="26" t="n">
        <v>51.50735</v>
      </c>
      <c r="I286" s="26" t="s">
        <v>110</v>
      </c>
      <c r="J286" s="26" t="s">
        <v>8438</v>
      </c>
      <c r="K286" s="26" t="s">
        <v>340</v>
      </c>
      <c r="L286" s="26" t="s">
        <v>7396</v>
      </c>
      <c r="M286" s="26" t="s">
        <v>3298</v>
      </c>
      <c r="N286" s="25" t="s">
        <v>99</v>
      </c>
      <c r="O286" s="26" t="s">
        <v>8439</v>
      </c>
      <c r="P286" s="26" t="n">
        <f aca="false">IF(A286=O286, 1, 0)</f>
        <v>0</v>
      </c>
    </row>
    <row r="287" customFormat="false" ht="13.8" hidden="false" customHeight="false" outlineLevel="0" collapsed="false">
      <c r="A287" s="26" t="n">
        <v>1145438</v>
      </c>
      <c r="B287" s="26" t="n">
        <v>1923</v>
      </c>
      <c r="C287" s="26" t="s">
        <v>8440</v>
      </c>
      <c r="D287" s="26" t="n">
        <v>8397905</v>
      </c>
      <c r="E287" s="26" t="s">
        <v>8441</v>
      </c>
      <c r="F287" s="26" t="s">
        <v>582</v>
      </c>
      <c r="G287" s="26" t="n">
        <v>-3.17909</v>
      </c>
      <c r="H287" s="26" t="n">
        <v>51.48158</v>
      </c>
      <c r="I287" s="26" t="s">
        <v>882</v>
      </c>
      <c r="J287" s="26" t="s">
        <v>8442</v>
      </c>
      <c r="K287" s="26" t="s">
        <v>340</v>
      </c>
      <c r="L287" s="26" t="s">
        <v>7396</v>
      </c>
      <c r="M287" s="26" t="s">
        <v>1357</v>
      </c>
      <c r="N287" s="25" t="s">
        <v>7435</v>
      </c>
      <c r="O287" s="26" t="s">
        <v>8443</v>
      </c>
      <c r="P287" s="26" t="n">
        <f aca="false">IF(A287=O287, 1, 0)</f>
        <v>0</v>
      </c>
    </row>
    <row r="288" customFormat="false" ht="13.8" hidden="false" customHeight="false" outlineLevel="0" collapsed="false">
      <c r="A288" s="26" t="n">
        <v>1146318</v>
      </c>
      <c r="B288" s="26" t="n">
        <v>1923</v>
      </c>
      <c r="C288" s="26" t="s">
        <v>8444</v>
      </c>
      <c r="D288" s="26" t="n">
        <v>21438780</v>
      </c>
      <c r="E288" s="26" t="s">
        <v>8445</v>
      </c>
      <c r="F288" s="26" t="s">
        <v>32</v>
      </c>
      <c r="G288" s="26" t="n">
        <v>-0.1277583</v>
      </c>
      <c r="H288" s="26" t="n">
        <v>51.50735</v>
      </c>
      <c r="I288" s="26" t="s">
        <v>1357</v>
      </c>
      <c r="J288" s="26" t="s">
        <v>7934</v>
      </c>
      <c r="K288" s="26" t="s">
        <v>340</v>
      </c>
      <c r="L288" s="26" t="s">
        <v>7396</v>
      </c>
      <c r="M288" s="26" t="s">
        <v>1357</v>
      </c>
      <c r="N288" s="25" t="s">
        <v>7435</v>
      </c>
      <c r="O288" s="26" t="s">
        <v>7935</v>
      </c>
      <c r="P288" s="26" t="n">
        <f aca="false">IF(A288=O288, 1, 0)</f>
        <v>0</v>
      </c>
    </row>
    <row r="289" customFormat="false" ht="13.8" hidden="false" customHeight="false" outlineLevel="0" collapsed="false">
      <c r="A289" s="26" t="n">
        <v>1154906</v>
      </c>
      <c r="B289" s="26" t="n">
        <v>1923</v>
      </c>
      <c r="C289" s="26" t="s">
        <v>8446</v>
      </c>
      <c r="D289" s="26" t="n">
        <v>1143641</v>
      </c>
      <c r="E289" s="26" t="s">
        <v>8447</v>
      </c>
      <c r="F289" s="26" t="s">
        <v>48</v>
      </c>
      <c r="G289" s="26" t="n">
        <v>174.886</v>
      </c>
      <c r="H289" s="26" t="n">
        <v>-40.90056</v>
      </c>
      <c r="I289" s="26" t="s">
        <v>882</v>
      </c>
      <c r="J289" s="26" t="s">
        <v>8448</v>
      </c>
      <c r="K289" s="26" t="s">
        <v>152</v>
      </c>
      <c r="L289" s="26" t="s">
        <v>7396</v>
      </c>
      <c r="M289" s="26" t="s">
        <v>1357</v>
      </c>
      <c r="N289" s="25" t="s">
        <v>7435</v>
      </c>
      <c r="O289" s="26" t="s">
        <v>8449</v>
      </c>
      <c r="P289" s="26" t="n">
        <f aca="false">IF(A289=O289, 1, 0)</f>
        <v>0</v>
      </c>
    </row>
    <row r="290" customFormat="false" ht="13.8" hidden="false" customHeight="false" outlineLevel="0" collapsed="false">
      <c r="A290" s="26" t="n">
        <v>1156322</v>
      </c>
      <c r="B290" s="26" t="n">
        <v>1923</v>
      </c>
      <c r="C290" s="26" t="s">
        <v>8450</v>
      </c>
      <c r="D290" s="26" t="n">
        <v>4574565</v>
      </c>
      <c r="E290" s="26" t="s">
        <v>8451</v>
      </c>
      <c r="F290" s="26" t="s">
        <v>413</v>
      </c>
      <c r="G290" s="26" t="n">
        <v>-97.21348</v>
      </c>
      <c r="H290" s="26" t="n">
        <v>32.82943</v>
      </c>
      <c r="I290" s="26" t="s">
        <v>1357</v>
      </c>
      <c r="J290" s="26" t="s">
        <v>8452</v>
      </c>
      <c r="K290" s="26" t="s">
        <v>7430</v>
      </c>
      <c r="L290" s="26" t="s">
        <v>7396</v>
      </c>
      <c r="M290" s="26" t="s">
        <v>1357</v>
      </c>
      <c r="N290" s="25" t="s">
        <v>7435</v>
      </c>
      <c r="O290" s="26" t="s">
        <v>8453</v>
      </c>
      <c r="P290" s="26" t="n">
        <f aca="false">IF(A290=O290, 1, 0)</f>
        <v>0</v>
      </c>
    </row>
    <row r="291" customFormat="false" ht="13.8" hidden="false" customHeight="false" outlineLevel="0" collapsed="false">
      <c r="A291" s="26" t="n">
        <v>1156908</v>
      </c>
      <c r="B291" s="26" t="n">
        <v>1923</v>
      </c>
      <c r="C291" s="26" t="s">
        <v>8173</v>
      </c>
      <c r="D291" s="26" t="n">
        <v>1372370</v>
      </c>
      <c r="E291" s="26" t="s">
        <v>8454</v>
      </c>
      <c r="F291" s="26" t="s">
        <v>32</v>
      </c>
      <c r="G291" s="26" t="n">
        <v>-0.1277583</v>
      </c>
      <c r="H291" s="26" t="n">
        <v>51.50735</v>
      </c>
      <c r="I291" s="26" t="s">
        <v>214</v>
      </c>
      <c r="J291" s="26" t="s">
        <v>8262</v>
      </c>
      <c r="K291" s="26" t="s">
        <v>340</v>
      </c>
      <c r="L291" s="26" t="s">
        <v>7396</v>
      </c>
      <c r="M291" s="26" t="s">
        <v>1357</v>
      </c>
      <c r="N291" s="26" t="s">
        <v>7396</v>
      </c>
      <c r="O291" s="26" t="n">
        <v>1084701</v>
      </c>
      <c r="P291" s="26" t="n">
        <f aca="false">IF(A291=O291, 1, 0)</f>
        <v>0</v>
      </c>
    </row>
    <row r="292" customFormat="false" ht="13.8" hidden="false" customHeight="false" outlineLevel="0" collapsed="false">
      <c r="A292" s="26" t="s">
        <v>8455</v>
      </c>
      <c r="B292" s="26" t="n">
        <v>1916</v>
      </c>
      <c r="C292" s="26" t="s">
        <v>8456</v>
      </c>
      <c r="D292" s="28" t="n">
        <v>30000000</v>
      </c>
      <c r="E292" s="26" t="s">
        <v>8457</v>
      </c>
      <c r="F292" s="26" t="s">
        <v>8458</v>
      </c>
      <c r="G292" s="26" t="n">
        <v>-110.3625658</v>
      </c>
      <c r="H292" s="26" t="n">
        <v>46.8796822</v>
      </c>
      <c r="I292" s="26" t="s">
        <v>2159</v>
      </c>
      <c r="J292" s="26" t="s">
        <v>8459</v>
      </c>
      <c r="K292" s="26" t="s">
        <v>7430</v>
      </c>
      <c r="L292" s="26" t="s">
        <v>7398</v>
      </c>
      <c r="M292" s="26" t="s">
        <v>3298</v>
      </c>
      <c r="N292" s="25" t="s">
        <v>99</v>
      </c>
      <c r="O292" s="26" t="s">
        <v>8460</v>
      </c>
      <c r="P292" s="26" t="n">
        <f aca="false">IF(A292=O292, 1, 0)</f>
        <v>0</v>
      </c>
    </row>
    <row r="293" customFormat="false" ht="13.8" hidden="false" customHeight="false" outlineLevel="0" collapsed="false">
      <c r="A293" s="26" t="s">
        <v>8461</v>
      </c>
      <c r="B293" s="26" t="n">
        <v>1916</v>
      </c>
      <c r="C293" s="26" t="s">
        <v>8462</v>
      </c>
      <c r="D293" s="28" t="n">
        <v>15000000</v>
      </c>
      <c r="E293" s="26" t="s">
        <v>8463</v>
      </c>
      <c r="F293" s="26" t="s">
        <v>152</v>
      </c>
      <c r="G293" s="26" t="s">
        <v>152</v>
      </c>
      <c r="H293" s="26" t="s">
        <v>152</v>
      </c>
      <c r="I293" s="26" t="s">
        <v>1802</v>
      </c>
      <c r="J293" s="26" t="s">
        <v>8464</v>
      </c>
      <c r="K293" s="26" t="s">
        <v>152</v>
      </c>
      <c r="L293" s="26" t="s">
        <v>7398</v>
      </c>
      <c r="M293" s="26" t="s">
        <v>3298</v>
      </c>
      <c r="N293" s="25" t="s">
        <v>99</v>
      </c>
      <c r="O293" s="26" t="s">
        <v>8465</v>
      </c>
      <c r="P293" s="26" t="n">
        <f aca="false">IF(A293=O293, 1, 0)</f>
        <v>0</v>
      </c>
    </row>
    <row r="294" customFormat="false" ht="13.8" hidden="false" customHeight="false" outlineLevel="0" collapsed="false">
      <c r="A294" s="26" t="s">
        <v>8466</v>
      </c>
      <c r="B294" s="26" t="n">
        <v>1916</v>
      </c>
      <c r="C294" s="26" t="s">
        <v>8467</v>
      </c>
      <c r="D294" s="28" t="n">
        <v>900000</v>
      </c>
      <c r="E294" s="26" t="s">
        <v>8468</v>
      </c>
      <c r="F294" s="26" t="s">
        <v>1763</v>
      </c>
      <c r="G294" s="26" t="n">
        <v>-74.0059728</v>
      </c>
      <c r="H294" s="26" t="n">
        <v>40.7127753</v>
      </c>
      <c r="I294" s="26" t="s">
        <v>8469</v>
      </c>
      <c r="J294" s="25" t="s">
        <v>8470</v>
      </c>
      <c r="K294" s="26" t="s">
        <v>152</v>
      </c>
      <c r="L294" s="26" t="s">
        <v>7398</v>
      </c>
      <c r="M294" s="26" t="s">
        <v>1357</v>
      </c>
      <c r="N294" s="25" t="s">
        <v>7435</v>
      </c>
      <c r="O294" s="26" t="s">
        <v>8471</v>
      </c>
      <c r="P294" s="26" t="n">
        <f aca="false">IF(A294=O294, 1, 0)</f>
        <v>0</v>
      </c>
    </row>
    <row r="295" customFormat="false" ht="13.8" hidden="false" customHeight="false" outlineLevel="0" collapsed="false">
      <c r="A295" s="26" t="s">
        <v>8472</v>
      </c>
      <c r="B295" s="26" t="n">
        <v>1916</v>
      </c>
      <c r="C295" s="26" t="s">
        <v>8473</v>
      </c>
      <c r="D295" s="28" t="n">
        <v>10000000</v>
      </c>
      <c r="E295" s="26" t="s">
        <v>8474</v>
      </c>
      <c r="F295" s="26" t="s">
        <v>152</v>
      </c>
      <c r="G295" s="26" t="s">
        <v>152</v>
      </c>
      <c r="H295" s="26" t="s">
        <v>152</v>
      </c>
      <c r="I295" s="26" t="s">
        <v>1802</v>
      </c>
      <c r="J295" s="26" t="s">
        <v>8475</v>
      </c>
      <c r="K295" s="26" t="s">
        <v>152</v>
      </c>
      <c r="L295" s="26" t="s">
        <v>7398</v>
      </c>
      <c r="M295" s="26" t="s">
        <v>1357</v>
      </c>
      <c r="N295" s="26" t="s">
        <v>7450</v>
      </c>
      <c r="O295" s="26" t="s">
        <v>8476</v>
      </c>
      <c r="P295" s="26" t="n">
        <f aca="false">IF(A295=O295, 1, 0)</f>
        <v>0</v>
      </c>
    </row>
    <row r="296" customFormat="false" ht="13.8" hidden="false" customHeight="false" outlineLevel="0" collapsed="false">
      <c r="A296" s="26" t="s">
        <v>8477</v>
      </c>
      <c r="B296" s="26" t="n">
        <v>1916</v>
      </c>
      <c r="C296" s="26" t="s">
        <v>8478</v>
      </c>
      <c r="D296" s="28" t="n">
        <v>2000000</v>
      </c>
      <c r="E296" s="26" t="s">
        <v>8479</v>
      </c>
      <c r="F296" s="26" t="s">
        <v>152</v>
      </c>
      <c r="G296" s="26" t="s">
        <v>152</v>
      </c>
      <c r="H296" s="26" t="s">
        <v>152</v>
      </c>
      <c r="I296" s="26" t="s">
        <v>2104</v>
      </c>
      <c r="J296" s="25" t="s">
        <v>8480</v>
      </c>
      <c r="K296" s="26" t="s">
        <v>152</v>
      </c>
      <c r="L296" s="26" t="s">
        <v>7398</v>
      </c>
      <c r="M296" s="26" t="s">
        <v>1357</v>
      </c>
      <c r="N296" s="26" t="s">
        <v>7450</v>
      </c>
      <c r="O296" s="26" t="s">
        <v>8481</v>
      </c>
      <c r="P296" s="26" t="n">
        <f aca="false">IF(A296=O296, 1, 0)</f>
        <v>0</v>
      </c>
    </row>
    <row r="297" customFormat="false" ht="13.8" hidden="false" customHeight="false" outlineLevel="0" collapsed="false">
      <c r="A297" s="26" t="s">
        <v>8482</v>
      </c>
      <c r="B297" s="26" t="n">
        <v>1916</v>
      </c>
      <c r="C297" s="26" t="s">
        <v>8483</v>
      </c>
      <c r="D297" s="28" t="n">
        <v>100000</v>
      </c>
      <c r="E297" s="26" t="s">
        <v>8484</v>
      </c>
      <c r="F297" s="26" t="s">
        <v>152</v>
      </c>
      <c r="G297" s="26" t="s">
        <v>152</v>
      </c>
      <c r="H297" s="26" t="s">
        <v>152</v>
      </c>
      <c r="I297" s="26" t="s">
        <v>1683</v>
      </c>
      <c r="J297" s="26" t="s">
        <v>8485</v>
      </c>
      <c r="K297" s="26" t="s">
        <v>152</v>
      </c>
      <c r="L297" s="26" t="s">
        <v>7398</v>
      </c>
      <c r="M297" s="26" t="s">
        <v>1357</v>
      </c>
      <c r="N297" s="26" t="s">
        <v>7450</v>
      </c>
      <c r="O297" s="26" t="s">
        <v>8486</v>
      </c>
      <c r="P297" s="26" t="n">
        <f aca="false">IF(A297=O297, 1, 0)</f>
        <v>0</v>
      </c>
    </row>
    <row r="298" customFormat="false" ht="13.8" hidden="false" customHeight="false" outlineLevel="0" collapsed="false">
      <c r="A298" s="26" t="s">
        <v>8487</v>
      </c>
      <c r="B298" s="26" t="n">
        <v>1916</v>
      </c>
      <c r="C298" s="26" t="s">
        <v>8488</v>
      </c>
      <c r="D298" s="28" t="n">
        <v>3000000</v>
      </c>
      <c r="E298" s="26" t="s">
        <v>8489</v>
      </c>
      <c r="F298" s="26" t="s">
        <v>1974</v>
      </c>
      <c r="G298" s="26" t="n">
        <v>-79.3831843</v>
      </c>
      <c r="H298" s="26" t="n">
        <v>43.653226</v>
      </c>
      <c r="I298" s="26" t="s">
        <v>1996</v>
      </c>
      <c r="J298" s="26" t="s">
        <v>8490</v>
      </c>
      <c r="K298" s="26" t="s">
        <v>361</v>
      </c>
      <c r="L298" s="26" t="s">
        <v>7398</v>
      </c>
      <c r="M298" s="26" t="s">
        <v>1357</v>
      </c>
      <c r="N298" s="26" t="s">
        <v>7450</v>
      </c>
      <c r="O298" s="26" t="s">
        <v>8491</v>
      </c>
      <c r="P298" s="26" t="n">
        <f aca="false">IF(A298=O298, 1, 0)</f>
        <v>0</v>
      </c>
    </row>
    <row r="299" customFormat="false" ht="13.8" hidden="false" customHeight="false" outlineLevel="0" collapsed="false">
      <c r="A299" s="26" t="s">
        <v>8492</v>
      </c>
      <c r="B299" s="26" t="n">
        <v>1919</v>
      </c>
      <c r="C299" s="26" t="s">
        <v>8493</v>
      </c>
      <c r="D299" s="26" t="n">
        <v>3042300</v>
      </c>
      <c r="E299" s="26" t="s">
        <v>8494</v>
      </c>
      <c r="F299" s="26" t="s">
        <v>8495</v>
      </c>
      <c r="G299" s="26" t="n">
        <v>-122.2020795</v>
      </c>
      <c r="H299" s="26" t="n">
        <v>47.9789848</v>
      </c>
      <c r="I299" s="26" t="s">
        <v>2139</v>
      </c>
      <c r="J299" s="26" t="s">
        <v>8496</v>
      </c>
      <c r="K299" s="26" t="s">
        <v>7430</v>
      </c>
      <c r="L299" s="26" t="s">
        <v>7398</v>
      </c>
      <c r="M299" s="26" t="s">
        <v>1357</v>
      </c>
      <c r="N299" s="26" t="s">
        <v>7450</v>
      </c>
      <c r="O299" s="26" t="s">
        <v>8497</v>
      </c>
      <c r="P299" s="26" t="n">
        <f aca="false">IF(A299=O299, 1, 0)</f>
        <v>0</v>
      </c>
    </row>
    <row r="300" customFormat="false" ht="13.8" hidden="false" customHeight="false" outlineLevel="0" collapsed="false">
      <c r="A300" s="26" t="s">
        <v>8498</v>
      </c>
      <c r="B300" s="26" t="n">
        <v>1919</v>
      </c>
      <c r="C300" s="26" t="s">
        <v>8499</v>
      </c>
      <c r="D300" s="28" t="n">
        <v>1000000</v>
      </c>
      <c r="E300" s="26" t="s">
        <v>8500</v>
      </c>
      <c r="F300" s="26" t="s">
        <v>152</v>
      </c>
      <c r="G300" s="26" t="s">
        <v>152</v>
      </c>
      <c r="H300" s="26" t="s">
        <v>152</v>
      </c>
      <c r="I300" s="26" t="s">
        <v>1802</v>
      </c>
      <c r="J300" s="26" t="s">
        <v>8501</v>
      </c>
      <c r="K300" s="26" t="s">
        <v>152</v>
      </c>
      <c r="L300" s="26" t="s">
        <v>7398</v>
      </c>
      <c r="M300" s="26" t="s">
        <v>7488</v>
      </c>
      <c r="N300" s="26" t="s">
        <v>4900</v>
      </c>
      <c r="O300" s="26" t="s">
        <v>8502</v>
      </c>
      <c r="P300" s="26" t="n">
        <f aca="false">IF(A300=O300, 1, 0)</f>
        <v>0</v>
      </c>
    </row>
    <row r="301" customFormat="false" ht="13.8" hidden="false" customHeight="false" outlineLevel="0" collapsed="false">
      <c r="A301" s="26" t="s">
        <v>8503</v>
      </c>
      <c r="B301" s="26" t="n">
        <v>1919</v>
      </c>
      <c r="C301" s="26" t="s">
        <v>8504</v>
      </c>
      <c r="D301" s="28" t="n">
        <v>40000000</v>
      </c>
      <c r="E301" s="26" t="s">
        <v>8505</v>
      </c>
      <c r="F301" s="26" t="s">
        <v>152</v>
      </c>
      <c r="G301" s="26" t="s">
        <v>152</v>
      </c>
      <c r="H301" s="26" t="s">
        <v>152</v>
      </c>
      <c r="I301" s="26" t="s">
        <v>1683</v>
      </c>
      <c r="J301" s="26" t="s">
        <v>8506</v>
      </c>
      <c r="K301" s="26" t="s">
        <v>152</v>
      </c>
      <c r="L301" s="26" t="s">
        <v>7398</v>
      </c>
      <c r="M301" s="26" t="s">
        <v>1357</v>
      </c>
      <c r="N301" s="26" t="s">
        <v>7450</v>
      </c>
      <c r="O301" s="26" t="s">
        <v>8507</v>
      </c>
      <c r="P301" s="26" t="n">
        <f aca="false">IF(A301=O301, 1, 0)</f>
        <v>0</v>
      </c>
    </row>
    <row r="302" customFormat="false" ht="13.8" hidden="false" customHeight="false" outlineLevel="0" collapsed="false">
      <c r="A302" s="26" t="s">
        <v>8508</v>
      </c>
      <c r="B302" s="26" t="n">
        <v>1919</v>
      </c>
      <c r="C302" s="26" t="s">
        <v>8509</v>
      </c>
      <c r="D302" s="26" t="n">
        <v>150000</v>
      </c>
      <c r="E302" s="26" t="s">
        <v>8510</v>
      </c>
      <c r="F302" s="26" t="s">
        <v>8511</v>
      </c>
      <c r="G302" s="26" t="n">
        <v>-76.6121893</v>
      </c>
      <c r="H302" s="26" t="n">
        <v>39.2903848</v>
      </c>
      <c r="I302" s="26" t="s">
        <v>1683</v>
      </c>
      <c r="J302" s="26" t="s">
        <v>8512</v>
      </c>
      <c r="K302" s="26" t="s">
        <v>7430</v>
      </c>
      <c r="L302" s="26" t="s">
        <v>7398</v>
      </c>
      <c r="M302" s="26" t="s">
        <v>3298</v>
      </c>
      <c r="N302" s="25" t="s">
        <v>7537</v>
      </c>
      <c r="O302" s="26" t="s">
        <v>8513</v>
      </c>
      <c r="P302" s="26" t="n">
        <f aca="false">IF(A302=O302, 1, 0)</f>
        <v>0</v>
      </c>
    </row>
    <row r="303" customFormat="false" ht="13.8" hidden="false" customHeight="false" outlineLevel="0" collapsed="false">
      <c r="A303" s="26" t="s">
        <v>8514</v>
      </c>
      <c r="B303" s="26" t="n">
        <v>1919</v>
      </c>
      <c r="C303" s="26" t="s">
        <v>8509</v>
      </c>
      <c r="D303" s="26" t="n">
        <v>150000</v>
      </c>
      <c r="E303" s="26" t="s">
        <v>8515</v>
      </c>
      <c r="F303" s="26" t="s">
        <v>152</v>
      </c>
      <c r="G303" s="26" t="s">
        <v>152</v>
      </c>
      <c r="H303" s="26" t="s">
        <v>152</v>
      </c>
      <c r="I303" s="26" t="s">
        <v>1595</v>
      </c>
      <c r="J303" s="26" t="s">
        <v>8516</v>
      </c>
      <c r="K303" s="26" t="s">
        <v>152</v>
      </c>
      <c r="L303" s="26" t="s">
        <v>7398</v>
      </c>
      <c r="M303" s="26" t="s">
        <v>3298</v>
      </c>
      <c r="N303" s="25" t="s">
        <v>7537</v>
      </c>
      <c r="O303" s="26" t="s">
        <v>8517</v>
      </c>
      <c r="P303" s="26" t="n">
        <f aca="false">IF(A303=O303, 1, 0)</f>
        <v>0</v>
      </c>
    </row>
    <row r="304" customFormat="false" ht="13.8" hidden="false" customHeight="false" outlineLevel="0" collapsed="false">
      <c r="A304" s="26" t="s">
        <v>8518</v>
      </c>
      <c r="B304" s="26" t="n">
        <v>1919</v>
      </c>
      <c r="C304" s="26" t="s">
        <v>8519</v>
      </c>
      <c r="D304" s="28" t="n">
        <v>3000000</v>
      </c>
      <c r="E304" s="26" t="s">
        <v>8520</v>
      </c>
      <c r="F304" s="26" t="s">
        <v>152</v>
      </c>
      <c r="G304" s="26" t="s">
        <v>152</v>
      </c>
      <c r="H304" s="26" t="s">
        <v>152</v>
      </c>
      <c r="I304" s="26" t="s">
        <v>1683</v>
      </c>
      <c r="J304" s="26" t="s">
        <v>8521</v>
      </c>
      <c r="K304" s="26" t="s">
        <v>152</v>
      </c>
      <c r="L304" s="26" t="s">
        <v>7398</v>
      </c>
      <c r="M304" s="26" t="s">
        <v>3298</v>
      </c>
      <c r="N304" s="25" t="s">
        <v>7445</v>
      </c>
      <c r="O304" s="26" t="s">
        <v>8522</v>
      </c>
      <c r="P304" s="26" t="n">
        <f aca="false">IF(A304=O304, 1, 0)</f>
        <v>0</v>
      </c>
    </row>
    <row r="305" customFormat="false" ht="13.8" hidden="false" customHeight="false" outlineLevel="0" collapsed="false">
      <c r="A305" s="26" t="s">
        <v>8523</v>
      </c>
      <c r="B305" s="26" t="n">
        <v>1919</v>
      </c>
      <c r="C305" s="26" t="s">
        <v>8524</v>
      </c>
      <c r="D305" s="26" t="n">
        <v>25069000</v>
      </c>
      <c r="E305" s="26" t="s">
        <v>8525</v>
      </c>
      <c r="F305" s="26" t="s">
        <v>1763</v>
      </c>
      <c r="G305" s="26" t="n">
        <v>-74.0059728</v>
      </c>
      <c r="H305" s="26" t="n">
        <v>40.7127753</v>
      </c>
      <c r="I305" s="26" t="s">
        <v>2104</v>
      </c>
      <c r="J305" s="26" t="s">
        <v>8526</v>
      </c>
      <c r="K305" s="26" t="s">
        <v>152</v>
      </c>
      <c r="L305" s="26" t="s">
        <v>7398</v>
      </c>
      <c r="M305" s="26" t="s">
        <v>1357</v>
      </c>
      <c r="N305" s="26" t="s">
        <v>7450</v>
      </c>
      <c r="O305" s="26" t="s">
        <v>8527</v>
      </c>
      <c r="P305" s="26" t="n">
        <f aca="false">IF(A305=O305, 1, 0)</f>
        <v>0</v>
      </c>
    </row>
    <row r="306" customFormat="false" ht="13.8" hidden="false" customHeight="false" outlineLevel="0" collapsed="false">
      <c r="A306" s="26" t="s">
        <v>8528</v>
      </c>
      <c r="B306" s="26" t="n">
        <v>1920</v>
      </c>
      <c r="C306" s="26" t="s">
        <v>8529</v>
      </c>
      <c r="D306" s="26" t="n">
        <v>1500000</v>
      </c>
      <c r="E306" s="26" t="s">
        <v>8530</v>
      </c>
      <c r="F306" s="26" t="s">
        <v>1556</v>
      </c>
      <c r="G306" s="26" t="n">
        <v>-111.0937311</v>
      </c>
      <c r="H306" s="26" t="n">
        <v>34.0489281</v>
      </c>
      <c r="I306" s="26" t="s">
        <v>1802</v>
      </c>
      <c r="J306" s="26" t="s">
        <v>8531</v>
      </c>
      <c r="K306" s="26" t="s">
        <v>7430</v>
      </c>
      <c r="L306" s="26" t="s">
        <v>7398</v>
      </c>
      <c r="M306" s="26" t="s">
        <v>3298</v>
      </c>
      <c r="N306" s="26" t="s">
        <v>4306</v>
      </c>
      <c r="O306" s="26" t="s">
        <v>8532</v>
      </c>
      <c r="P306" s="26" t="n">
        <f aca="false">IF(A306=O306, 1, 0)</f>
        <v>0</v>
      </c>
    </row>
    <row r="307" customFormat="false" ht="13.8" hidden="false" customHeight="false" outlineLevel="0" collapsed="false">
      <c r="A307" s="26" t="s">
        <v>8533</v>
      </c>
      <c r="B307" s="26" t="n">
        <v>1920</v>
      </c>
      <c r="C307" s="26" t="s">
        <v>8529</v>
      </c>
      <c r="D307" s="26" t="n">
        <v>1500000</v>
      </c>
      <c r="E307" s="26" t="s">
        <v>8534</v>
      </c>
      <c r="F307" s="26" t="s">
        <v>1556</v>
      </c>
      <c r="G307" s="26" t="n">
        <v>-111.0937311</v>
      </c>
      <c r="H307" s="26" t="n">
        <v>34.0489281</v>
      </c>
      <c r="I307" s="26" t="s">
        <v>1408</v>
      </c>
      <c r="J307" s="26" t="s">
        <v>8535</v>
      </c>
      <c r="K307" s="26" t="s">
        <v>7430</v>
      </c>
      <c r="L307" s="26" t="s">
        <v>7398</v>
      </c>
      <c r="M307" s="26" t="s">
        <v>1357</v>
      </c>
      <c r="N307" s="25" t="s">
        <v>7435</v>
      </c>
      <c r="O307" s="26" t="s">
        <v>8536</v>
      </c>
      <c r="P307" s="26" t="n">
        <f aca="false">IF(A307=O307, 1, 0)</f>
        <v>0</v>
      </c>
    </row>
    <row r="308" customFormat="false" ht="13.8" hidden="false" customHeight="false" outlineLevel="0" collapsed="false">
      <c r="A308" s="26" t="s">
        <v>8537</v>
      </c>
      <c r="B308" s="26" t="n">
        <v>1920</v>
      </c>
      <c r="C308" s="26" t="s">
        <v>8538</v>
      </c>
      <c r="D308" s="28" t="n">
        <v>10000000</v>
      </c>
      <c r="E308" s="26" t="s">
        <v>8539</v>
      </c>
      <c r="F308" s="26" t="s">
        <v>152</v>
      </c>
      <c r="G308" s="26" t="s">
        <v>152</v>
      </c>
      <c r="H308" s="26" t="s">
        <v>152</v>
      </c>
      <c r="I308" s="26" t="s">
        <v>1408</v>
      </c>
      <c r="J308" s="26" t="s">
        <v>8540</v>
      </c>
      <c r="K308" s="26" t="s">
        <v>152</v>
      </c>
      <c r="L308" s="26" t="s">
        <v>7398</v>
      </c>
      <c r="M308" s="26" t="s">
        <v>1357</v>
      </c>
      <c r="N308" s="26" t="s">
        <v>7450</v>
      </c>
      <c r="O308" s="26" t="s">
        <v>8541</v>
      </c>
      <c r="P308" s="26" t="n">
        <f aca="false">IF(A308=O308, 1, 0)</f>
        <v>0</v>
      </c>
    </row>
    <row r="309" customFormat="false" ht="13.8" hidden="false" customHeight="false" outlineLevel="0" collapsed="false">
      <c r="A309" s="26" t="s">
        <v>8542</v>
      </c>
      <c r="B309" s="26" t="n">
        <v>1920</v>
      </c>
      <c r="C309" s="26" t="s">
        <v>8543</v>
      </c>
      <c r="D309" s="28" t="n">
        <v>1000000</v>
      </c>
      <c r="E309" s="26" t="s">
        <v>8544</v>
      </c>
      <c r="F309" s="26" t="s">
        <v>2511</v>
      </c>
      <c r="G309" s="26" t="n">
        <v>-116.419389</v>
      </c>
      <c r="H309" s="26" t="n">
        <v>38.8026097</v>
      </c>
      <c r="I309" s="26" t="s">
        <v>1683</v>
      </c>
      <c r="J309" s="26" t="s">
        <v>8545</v>
      </c>
      <c r="K309" s="26" t="s">
        <v>7430</v>
      </c>
      <c r="L309" s="26" t="s">
        <v>7398</v>
      </c>
      <c r="M309" s="26" t="s">
        <v>8258</v>
      </c>
      <c r="N309" s="25" t="s">
        <v>7445</v>
      </c>
      <c r="O309" s="26" t="s">
        <v>8546</v>
      </c>
      <c r="P309" s="26" t="n">
        <f aca="false">IF(A309=O309, 1, 0)</f>
        <v>0</v>
      </c>
    </row>
    <row r="310" customFormat="false" ht="13.8" hidden="false" customHeight="false" outlineLevel="0" collapsed="false">
      <c r="A310" s="26" t="s">
        <v>8547</v>
      </c>
      <c r="B310" s="26" t="n">
        <v>1920</v>
      </c>
      <c r="C310" s="26" t="s">
        <v>8548</v>
      </c>
      <c r="D310" s="28" t="n">
        <v>18000000</v>
      </c>
      <c r="E310" s="26" t="s">
        <v>8549</v>
      </c>
      <c r="F310" s="26" t="s">
        <v>8550</v>
      </c>
      <c r="G310" s="26" t="n">
        <v>-76.1474244</v>
      </c>
      <c r="H310" s="26" t="n">
        <v>43.0481221</v>
      </c>
      <c r="I310" s="26" t="s">
        <v>1408</v>
      </c>
      <c r="J310" s="26" t="s">
        <v>8551</v>
      </c>
      <c r="K310" s="26" t="s">
        <v>7430</v>
      </c>
      <c r="L310" s="26" t="s">
        <v>7398</v>
      </c>
      <c r="M310" s="26" t="s">
        <v>7488</v>
      </c>
      <c r="N310" s="26" t="s">
        <v>4306</v>
      </c>
      <c r="O310" s="26" t="s">
        <v>8552</v>
      </c>
      <c r="P310" s="26" t="n">
        <f aca="false">IF(A310=O310, 1, 0)</f>
        <v>0</v>
      </c>
    </row>
    <row r="311" customFormat="false" ht="13.8" hidden="false" customHeight="false" outlineLevel="0" collapsed="false">
      <c r="A311" s="26" t="s">
        <v>8553</v>
      </c>
      <c r="B311" s="26" t="n">
        <v>1920</v>
      </c>
      <c r="C311" s="26" t="s">
        <v>8554</v>
      </c>
      <c r="D311" s="28" t="n">
        <v>3000000</v>
      </c>
      <c r="E311" s="26" t="s">
        <v>8555</v>
      </c>
      <c r="F311" s="26" t="s">
        <v>1585</v>
      </c>
      <c r="G311" s="26" t="n">
        <v>-105.7820674</v>
      </c>
      <c r="H311" s="26" t="n">
        <v>39.5500507</v>
      </c>
      <c r="I311" s="26" t="s">
        <v>1683</v>
      </c>
      <c r="J311" s="26" t="s">
        <v>8556</v>
      </c>
      <c r="K311" s="26" t="s">
        <v>7430</v>
      </c>
      <c r="L311" s="26" t="s">
        <v>7398</v>
      </c>
      <c r="M311" s="26" t="s">
        <v>7488</v>
      </c>
      <c r="N311" s="25" t="s">
        <v>7445</v>
      </c>
      <c r="O311" s="26" t="s">
        <v>8557</v>
      </c>
      <c r="P311" s="26" t="n">
        <f aca="false">IF(A311=O311, 1, 0)</f>
        <v>0</v>
      </c>
    </row>
    <row r="312" customFormat="false" ht="13.8" hidden="false" customHeight="false" outlineLevel="0" collapsed="false">
      <c r="A312" s="26" t="s">
        <v>8558</v>
      </c>
      <c r="B312" s="26" t="n">
        <v>1920</v>
      </c>
      <c r="C312" s="26" t="s">
        <v>8559</v>
      </c>
      <c r="D312" s="26" t="n">
        <v>750000</v>
      </c>
      <c r="E312" s="26" t="s">
        <v>8560</v>
      </c>
      <c r="F312" s="26" t="s">
        <v>1467</v>
      </c>
      <c r="G312" s="26" t="n">
        <v>-85.6023643</v>
      </c>
      <c r="H312" s="26" t="n">
        <v>44.3148443</v>
      </c>
      <c r="I312" s="26" t="s">
        <v>1802</v>
      </c>
      <c r="J312" s="26" t="s">
        <v>8561</v>
      </c>
      <c r="K312" s="26" t="s">
        <v>7430</v>
      </c>
      <c r="L312" s="26" t="s">
        <v>7398</v>
      </c>
      <c r="M312" s="26" t="s">
        <v>1357</v>
      </c>
      <c r="N312" s="26" t="s">
        <v>7450</v>
      </c>
      <c r="O312" s="26" t="s">
        <v>8562</v>
      </c>
      <c r="P312" s="26" t="n">
        <f aca="false">IF(A312=O312, 1, 0)</f>
        <v>0</v>
      </c>
    </row>
    <row r="313" customFormat="false" ht="13.8" hidden="false" customHeight="false" outlineLevel="0" collapsed="false">
      <c r="A313" s="26" t="s">
        <v>8563</v>
      </c>
      <c r="B313" s="26" t="n">
        <v>1920</v>
      </c>
      <c r="C313" s="26" t="s">
        <v>8564</v>
      </c>
      <c r="D313" s="26" t="n">
        <v>250000</v>
      </c>
      <c r="E313" s="26" t="s">
        <v>8565</v>
      </c>
      <c r="F313" s="26" t="s">
        <v>2455</v>
      </c>
      <c r="G313" s="26" t="n">
        <v>-122.4194155</v>
      </c>
      <c r="H313" s="26" t="n">
        <v>37.7749295</v>
      </c>
      <c r="I313" s="26" t="s">
        <v>1408</v>
      </c>
      <c r="J313" s="26" t="s">
        <v>8566</v>
      </c>
      <c r="K313" s="26" t="s">
        <v>7430</v>
      </c>
      <c r="L313" s="26" t="s">
        <v>7398</v>
      </c>
      <c r="M313" s="26" t="s">
        <v>1357</v>
      </c>
      <c r="N313" s="26" t="s">
        <v>7450</v>
      </c>
      <c r="O313" s="26" t="s">
        <v>8567</v>
      </c>
      <c r="P313" s="26" t="n">
        <f aca="false">IF(A313=O313, 1, 0)</f>
        <v>0</v>
      </c>
    </row>
    <row r="314" customFormat="false" ht="13.8" hidden="false" customHeight="false" outlineLevel="0" collapsed="false">
      <c r="A314" s="26" t="s">
        <v>8568</v>
      </c>
      <c r="B314" s="26" t="n">
        <v>1920</v>
      </c>
      <c r="C314" s="26" t="s">
        <v>8569</v>
      </c>
      <c r="D314" s="28" t="n">
        <v>10000000</v>
      </c>
      <c r="E314" s="26" t="s">
        <v>8570</v>
      </c>
      <c r="F314" s="26" t="s">
        <v>2511</v>
      </c>
      <c r="G314" s="26" t="n">
        <v>-116.419389</v>
      </c>
      <c r="H314" s="26" t="n">
        <v>38.8026097</v>
      </c>
      <c r="I314" s="26" t="s">
        <v>1802</v>
      </c>
      <c r="J314" s="26" t="s">
        <v>8571</v>
      </c>
      <c r="K314" s="26" t="s">
        <v>7430</v>
      </c>
      <c r="L314" s="26" t="s">
        <v>7398</v>
      </c>
      <c r="M314" s="26" t="s">
        <v>3298</v>
      </c>
      <c r="N314" s="26" t="s">
        <v>4306</v>
      </c>
      <c r="O314" s="26" t="s">
        <v>8572</v>
      </c>
      <c r="P314" s="26" t="n">
        <f aca="false">IF(A314=O314, 1, 0)</f>
        <v>0</v>
      </c>
    </row>
    <row r="315" customFormat="false" ht="13.8" hidden="false" customHeight="false" outlineLevel="0" collapsed="false">
      <c r="A315" s="26" t="s">
        <v>8573</v>
      </c>
      <c r="B315" s="26" t="n">
        <v>1920</v>
      </c>
      <c r="C315" s="26" t="s">
        <v>8574</v>
      </c>
      <c r="D315" s="28" t="n">
        <v>1000000</v>
      </c>
      <c r="E315" s="26" t="s">
        <v>8575</v>
      </c>
      <c r="F315" s="26" t="s">
        <v>2511</v>
      </c>
      <c r="G315" s="26" t="n">
        <v>-116.419389</v>
      </c>
      <c r="H315" s="26" t="n">
        <v>38.8026097</v>
      </c>
      <c r="I315" s="26" t="s">
        <v>1802</v>
      </c>
      <c r="J315" s="26" t="s">
        <v>8576</v>
      </c>
      <c r="K315" s="26" t="s">
        <v>7430</v>
      </c>
      <c r="L315" s="26" t="s">
        <v>7398</v>
      </c>
      <c r="M315" s="26" t="s">
        <v>3298</v>
      </c>
      <c r="N315" s="26" t="s">
        <v>4306</v>
      </c>
      <c r="O315" s="26" t="s">
        <v>8577</v>
      </c>
      <c r="P315" s="26" t="n">
        <f aca="false">IF(A315=O315, 1, 0)</f>
        <v>0</v>
      </c>
    </row>
    <row r="316" customFormat="false" ht="13.8" hidden="false" customHeight="false" outlineLevel="0" collapsed="false">
      <c r="A316" s="26" t="s">
        <v>8578</v>
      </c>
      <c r="B316" s="26" t="n">
        <v>1920</v>
      </c>
      <c r="C316" s="26" t="s">
        <v>8579</v>
      </c>
      <c r="D316" s="28" t="n">
        <v>115000000</v>
      </c>
      <c r="E316" s="26" t="s">
        <v>8580</v>
      </c>
      <c r="F316" s="26" t="s">
        <v>8581</v>
      </c>
      <c r="G316" s="26" t="n">
        <v>-97.7430608</v>
      </c>
      <c r="H316" s="26" t="n">
        <v>30.267153</v>
      </c>
      <c r="I316" s="26" t="s">
        <v>1683</v>
      </c>
      <c r="J316" s="26" t="s">
        <v>8582</v>
      </c>
      <c r="K316" s="26" t="s">
        <v>7430</v>
      </c>
      <c r="L316" s="26" t="s">
        <v>7398</v>
      </c>
      <c r="M316" s="26" t="s">
        <v>3298</v>
      </c>
      <c r="N316" s="26" t="s">
        <v>4306</v>
      </c>
      <c r="O316" s="26" t="s">
        <v>8583</v>
      </c>
      <c r="P316" s="26" t="n">
        <f aca="false">IF(A316=O316, 1, 0)</f>
        <v>0</v>
      </c>
    </row>
    <row r="317" customFormat="false" ht="13.8" hidden="false" customHeight="false" outlineLevel="0" collapsed="false">
      <c r="A317" s="26" t="s">
        <v>8584</v>
      </c>
      <c r="B317" s="26" t="n">
        <v>1920</v>
      </c>
      <c r="C317" s="26" t="s">
        <v>8585</v>
      </c>
      <c r="D317" s="28" t="n">
        <v>4000000</v>
      </c>
      <c r="E317" s="26" t="s">
        <v>8586</v>
      </c>
      <c r="F317" s="26" t="s">
        <v>1763</v>
      </c>
      <c r="G317" s="26" t="n">
        <v>-74.0059728</v>
      </c>
      <c r="H317" s="26" t="n">
        <v>40.7127753</v>
      </c>
      <c r="I317" s="26" t="s">
        <v>2104</v>
      </c>
      <c r="J317" s="26" t="s">
        <v>8587</v>
      </c>
      <c r="K317" s="26" t="s">
        <v>152</v>
      </c>
      <c r="L317" s="26" t="s">
        <v>7398</v>
      </c>
      <c r="M317" s="26" t="s">
        <v>1357</v>
      </c>
      <c r="N317" s="25" t="s">
        <v>7435</v>
      </c>
      <c r="O317" s="26" t="s">
        <v>8588</v>
      </c>
      <c r="P317" s="26" t="n">
        <f aca="false">IF(A317=O317, 1, 0)</f>
        <v>0</v>
      </c>
    </row>
    <row r="318" customFormat="false" ht="13.8" hidden="false" customHeight="false" outlineLevel="0" collapsed="false">
      <c r="A318" s="26" t="s">
        <v>8589</v>
      </c>
      <c r="B318" s="26" t="n">
        <v>1920</v>
      </c>
      <c r="C318" s="26" t="s">
        <v>8590</v>
      </c>
      <c r="D318" s="26" t="n">
        <v>1500000</v>
      </c>
      <c r="E318" s="26" t="s">
        <v>8591</v>
      </c>
      <c r="F318" s="26" t="s">
        <v>8592</v>
      </c>
      <c r="G318" s="26" t="n">
        <v>-105.8700901</v>
      </c>
      <c r="H318" s="26" t="n">
        <v>34.5199402</v>
      </c>
      <c r="I318" s="26" t="s">
        <v>1408</v>
      </c>
      <c r="J318" s="26" t="s">
        <v>8593</v>
      </c>
      <c r="K318" s="26" t="s">
        <v>7430</v>
      </c>
      <c r="L318" s="26" t="s">
        <v>7398</v>
      </c>
      <c r="M318" s="26" t="s">
        <v>8393</v>
      </c>
      <c r="N318" s="26" t="s">
        <v>8594</v>
      </c>
      <c r="O318" s="26" t="s">
        <v>8595</v>
      </c>
      <c r="P318" s="26" t="n">
        <f aca="false">IF(A318=O318, 1, 0)</f>
        <v>0</v>
      </c>
    </row>
    <row r="319" customFormat="false" ht="13.8" hidden="false" customHeight="false" outlineLevel="0" collapsed="false">
      <c r="A319" s="26" t="s">
        <v>8596</v>
      </c>
      <c r="B319" s="26" t="n">
        <v>1920</v>
      </c>
      <c r="C319" s="26" t="s">
        <v>8597</v>
      </c>
      <c r="D319" s="28" t="n">
        <v>7000000</v>
      </c>
      <c r="E319" s="26" t="s">
        <v>8598</v>
      </c>
      <c r="F319" s="26" t="s">
        <v>2640</v>
      </c>
      <c r="G319" s="26" t="n">
        <v>-96.8064507</v>
      </c>
      <c r="H319" s="26" t="n">
        <v>32.7787249</v>
      </c>
      <c r="I319" s="26" t="s">
        <v>2104</v>
      </c>
      <c r="J319" s="26" t="s">
        <v>8599</v>
      </c>
      <c r="K319" s="26" t="s">
        <v>7430</v>
      </c>
      <c r="L319" s="26" t="s">
        <v>7398</v>
      </c>
      <c r="M319" s="26" t="s">
        <v>1357</v>
      </c>
      <c r="N319" s="26" t="s">
        <v>7450</v>
      </c>
      <c r="O319" s="26" t="s">
        <v>8600</v>
      </c>
      <c r="P319" s="26" t="n">
        <f aca="false">IF(A319=O319, 1, 0)</f>
        <v>0</v>
      </c>
    </row>
    <row r="320" customFormat="false" ht="13.8" hidden="false" customHeight="false" outlineLevel="0" collapsed="false">
      <c r="A320" s="26" t="s">
        <v>8601</v>
      </c>
      <c r="B320" s="26" t="n">
        <v>1920</v>
      </c>
      <c r="C320" s="26" t="s">
        <v>8602</v>
      </c>
      <c r="D320" s="28" t="n">
        <v>1000000</v>
      </c>
      <c r="E320" s="26" t="s">
        <v>8603</v>
      </c>
      <c r="F320" s="26" t="s">
        <v>152</v>
      </c>
      <c r="G320" s="26" t="s">
        <v>152</v>
      </c>
      <c r="H320" s="26" t="s">
        <v>152</v>
      </c>
      <c r="I320" s="26" t="s">
        <v>1983</v>
      </c>
      <c r="J320" s="26" t="s">
        <v>8604</v>
      </c>
      <c r="K320" s="26" t="s">
        <v>152</v>
      </c>
      <c r="L320" s="26" t="s">
        <v>7398</v>
      </c>
      <c r="M320" s="26" t="s">
        <v>7488</v>
      </c>
      <c r="N320" s="25" t="s">
        <v>7445</v>
      </c>
      <c r="O320" s="26" t="s">
        <v>8605</v>
      </c>
      <c r="P320" s="26" t="n">
        <f aca="false">IF(A320=O320, 1, 0)</f>
        <v>0</v>
      </c>
    </row>
    <row r="321" customFormat="false" ht="13.8" hidden="false" customHeight="false" outlineLevel="0" collapsed="false">
      <c r="A321" s="26" t="s">
        <v>8606</v>
      </c>
      <c r="B321" s="26" t="n">
        <v>1920</v>
      </c>
      <c r="C321" s="26" t="s">
        <v>8607</v>
      </c>
      <c r="D321" s="26" t="n">
        <v>375000</v>
      </c>
      <c r="E321" s="26" t="s">
        <v>8608</v>
      </c>
      <c r="F321" s="26" t="s">
        <v>152</v>
      </c>
      <c r="G321" s="26" t="s">
        <v>152</v>
      </c>
      <c r="H321" s="26" t="s">
        <v>152</v>
      </c>
      <c r="I321" s="26" t="s">
        <v>1408</v>
      </c>
      <c r="J321" s="26" t="s">
        <v>8609</v>
      </c>
      <c r="K321" s="26" t="s">
        <v>152</v>
      </c>
      <c r="L321" s="26" t="s">
        <v>7398</v>
      </c>
      <c r="M321" s="26" t="s">
        <v>1357</v>
      </c>
      <c r="N321" s="26" t="s">
        <v>7450</v>
      </c>
      <c r="O321" s="26" t="s">
        <v>8610</v>
      </c>
      <c r="P321" s="26" t="n">
        <f aca="false">IF(A321=O321, 1, 0)</f>
        <v>0</v>
      </c>
    </row>
    <row r="322" customFormat="false" ht="13.8" hidden="false" customHeight="false" outlineLevel="0" collapsed="false">
      <c r="A322" s="26" t="s">
        <v>8611</v>
      </c>
      <c r="B322" s="26" t="n">
        <v>1920</v>
      </c>
      <c r="C322" s="26" t="s">
        <v>8612</v>
      </c>
      <c r="D322" s="28" t="n">
        <v>100000</v>
      </c>
      <c r="E322" s="26" t="s">
        <v>8613</v>
      </c>
      <c r="F322" s="26" t="s">
        <v>152</v>
      </c>
      <c r="G322" s="26" t="s">
        <v>152</v>
      </c>
      <c r="H322" s="26" t="s">
        <v>152</v>
      </c>
      <c r="I322" s="26" t="s">
        <v>1683</v>
      </c>
      <c r="J322" s="26" t="s">
        <v>8614</v>
      </c>
      <c r="K322" s="26" t="s">
        <v>152</v>
      </c>
      <c r="L322" s="26" t="s">
        <v>7398</v>
      </c>
      <c r="M322" s="26" t="s">
        <v>1357</v>
      </c>
      <c r="N322" s="26" t="s">
        <v>7450</v>
      </c>
      <c r="O322" s="26" t="s">
        <v>8615</v>
      </c>
      <c r="P322" s="26" t="n">
        <f aca="false">IF(A322=O322, 1, 0)</f>
        <v>0</v>
      </c>
    </row>
    <row r="323" customFormat="false" ht="13.8" hidden="false" customHeight="false" outlineLevel="0" collapsed="false">
      <c r="A323" s="26" t="s">
        <v>8616</v>
      </c>
      <c r="B323" s="26" t="n">
        <v>1920</v>
      </c>
      <c r="C323" s="26" t="s">
        <v>8499</v>
      </c>
      <c r="D323" s="28" t="n">
        <v>1000000</v>
      </c>
      <c r="E323" s="26" t="s">
        <v>8617</v>
      </c>
      <c r="F323" s="26" t="s">
        <v>8618</v>
      </c>
      <c r="G323" s="26" t="n">
        <v>-127.6476205</v>
      </c>
      <c r="H323" s="26" t="n">
        <v>53.7266683</v>
      </c>
      <c r="I323" s="26" t="s">
        <v>1802</v>
      </c>
      <c r="J323" s="26" t="s">
        <v>8501</v>
      </c>
      <c r="K323" s="26" t="s">
        <v>361</v>
      </c>
      <c r="L323" s="26" t="s">
        <v>7398</v>
      </c>
      <c r="M323" s="26" t="s">
        <v>7488</v>
      </c>
      <c r="N323" s="26" t="s">
        <v>4900</v>
      </c>
      <c r="O323" s="26" t="s">
        <v>8502</v>
      </c>
      <c r="P323" s="26" t="n">
        <f aca="false">IF(A323=O323, 1, 0)</f>
        <v>0</v>
      </c>
    </row>
    <row r="324" customFormat="false" ht="13.8" hidden="false" customHeight="false" outlineLevel="0" collapsed="false">
      <c r="A324" s="26" t="s">
        <v>8619</v>
      </c>
      <c r="B324" s="26" t="n">
        <v>1920</v>
      </c>
      <c r="C324" s="26" t="s">
        <v>8620</v>
      </c>
      <c r="D324" s="28" t="n">
        <v>3000000000</v>
      </c>
      <c r="E324" s="26" t="s">
        <v>8621</v>
      </c>
      <c r="F324" s="26" t="s">
        <v>8622</v>
      </c>
      <c r="G324" s="26" t="n">
        <v>-85.323214</v>
      </c>
      <c r="H324" s="26" t="n">
        <v>51.253775</v>
      </c>
      <c r="I324" s="26" t="s">
        <v>1683</v>
      </c>
      <c r="J324" s="25" t="s">
        <v>8623</v>
      </c>
      <c r="K324" s="26" t="s">
        <v>361</v>
      </c>
      <c r="L324" s="26" t="s">
        <v>7398</v>
      </c>
      <c r="M324" s="26" t="s">
        <v>1357</v>
      </c>
      <c r="N324" s="25" t="s">
        <v>7435</v>
      </c>
      <c r="O324" s="26" t="s">
        <v>8624</v>
      </c>
      <c r="P324" s="26" t="n">
        <f aca="false">IF(A324=O324, 1, 0)</f>
        <v>0</v>
      </c>
    </row>
    <row r="325" customFormat="false" ht="13.8" hidden="false" customHeight="false" outlineLevel="0" collapsed="false">
      <c r="A325" s="26" t="s">
        <v>8625</v>
      </c>
      <c r="B325" s="26" t="n">
        <v>1920</v>
      </c>
      <c r="C325" s="26" t="s">
        <v>8626</v>
      </c>
      <c r="D325" s="28" t="n">
        <v>2000000</v>
      </c>
      <c r="E325" s="26" t="s">
        <v>8627</v>
      </c>
      <c r="F325" s="26" t="s">
        <v>1763</v>
      </c>
      <c r="G325" s="26" t="n">
        <v>-74.0059728</v>
      </c>
      <c r="H325" s="26" t="n">
        <v>40.7127753</v>
      </c>
      <c r="I325" s="26" t="s">
        <v>1408</v>
      </c>
      <c r="J325" s="26" t="s">
        <v>8628</v>
      </c>
      <c r="K325" s="26" t="s">
        <v>152</v>
      </c>
      <c r="L325" s="26" t="s">
        <v>7398</v>
      </c>
      <c r="M325" s="26" t="s">
        <v>7528</v>
      </c>
      <c r="N325" s="26" t="s">
        <v>4900</v>
      </c>
      <c r="O325" s="26" t="s">
        <v>8629</v>
      </c>
      <c r="P325" s="26" t="n">
        <f aca="false">IF(A325=O325, 1, 0)</f>
        <v>0</v>
      </c>
    </row>
    <row r="326" customFormat="false" ht="13.8" hidden="false" customHeight="false" outlineLevel="0" collapsed="false">
      <c r="A326" s="26" t="s">
        <v>8630</v>
      </c>
      <c r="B326" s="26" t="n">
        <v>1920</v>
      </c>
      <c r="C326" s="26" t="s">
        <v>8631</v>
      </c>
      <c r="D326" s="28" t="n">
        <v>3000000</v>
      </c>
      <c r="E326" s="26" t="s">
        <v>8632</v>
      </c>
      <c r="F326" s="26" t="s">
        <v>8633</v>
      </c>
      <c r="G326" s="26" t="n">
        <v>-87.6297982</v>
      </c>
      <c r="H326" s="26" t="n">
        <v>41.8781136</v>
      </c>
      <c r="I326" s="26" t="s">
        <v>1408</v>
      </c>
      <c r="J326" s="26" t="s">
        <v>8634</v>
      </c>
      <c r="K326" s="26" t="s">
        <v>7430</v>
      </c>
      <c r="L326" s="26" t="s">
        <v>7398</v>
      </c>
      <c r="M326" s="26" t="s">
        <v>152</v>
      </c>
      <c r="N326" s="25" t="s">
        <v>7445</v>
      </c>
      <c r="O326" s="26" t="s">
        <v>8635</v>
      </c>
      <c r="P326" s="26" t="n">
        <f aca="false">IF(A326=O326, 1, 0)</f>
        <v>0</v>
      </c>
    </row>
    <row r="327" customFormat="false" ht="13.8" hidden="false" customHeight="false" outlineLevel="0" collapsed="false">
      <c r="A327" s="26" t="s">
        <v>8636</v>
      </c>
      <c r="B327" s="26" t="n">
        <v>1922</v>
      </c>
      <c r="C327" s="26" t="s">
        <v>8637</v>
      </c>
      <c r="D327" s="28" t="n">
        <v>10000000</v>
      </c>
      <c r="E327" s="26" t="s">
        <v>8638</v>
      </c>
      <c r="F327" s="26" t="s">
        <v>1556</v>
      </c>
      <c r="G327" s="26" t="n">
        <v>-111.0937311</v>
      </c>
      <c r="H327" s="26" t="n">
        <v>34.0489281</v>
      </c>
      <c r="I327" s="26" t="s">
        <v>2623</v>
      </c>
      <c r="J327" s="26" t="s">
        <v>8639</v>
      </c>
      <c r="K327" s="26" t="s">
        <v>7430</v>
      </c>
      <c r="L327" s="26" t="s">
        <v>7398</v>
      </c>
      <c r="M327" s="26" t="s">
        <v>3298</v>
      </c>
      <c r="N327" s="25" t="s">
        <v>99</v>
      </c>
      <c r="O327" s="26" t="s">
        <v>8640</v>
      </c>
      <c r="P327" s="26" t="n">
        <f aca="false">IF(A327=O327, 1, 0)</f>
        <v>0</v>
      </c>
    </row>
    <row r="328" customFormat="false" ht="13.8" hidden="false" customHeight="false" outlineLevel="0" collapsed="false">
      <c r="A328" s="26" t="s">
        <v>8641</v>
      </c>
      <c r="B328" s="26" t="n">
        <v>1922</v>
      </c>
      <c r="C328" s="26" t="s">
        <v>8642</v>
      </c>
      <c r="D328" s="28" t="n">
        <v>2000000</v>
      </c>
      <c r="E328" s="26" t="s">
        <v>8643</v>
      </c>
      <c r="F328" s="26" t="s">
        <v>8644</v>
      </c>
      <c r="G328" s="26" t="n">
        <v>-99.9018131</v>
      </c>
      <c r="H328" s="26" t="n">
        <v>31.9685988</v>
      </c>
      <c r="I328" s="26" t="s">
        <v>1683</v>
      </c>
      <c r="J328" s="26" t="s">
        <v>8645</v>
      </c>
      <c r="K328" s="26" t="s">
        <v>7430</v>
      </c>
      <c r="L328" s="26" t="s">
        <v>7398</v>
      </c>
      <c r="M328" s="26" t="s">
        <v>7488</v>
      </c>
      <c r="N328" s="26" t="s">
        <v>4306</v>
      </c>
      <c r="O328" s="26" t="s">
        <v>8646</v>
      </c>
      <c r="P328" s="26" t="n">
        <f aca="false">IF(A328=O328, 1, 0)</f>
        <v>0</v>
      </c>
    </row>
    <row r="329" customFormat="false" ht="13.8" hidden="false" customHeight="false" outlineLevel="0" collapsed="false">
      <c r="A329" s="26" t="s">
        <v>8647</v>
      </c>
      <c r="B329" s="26" t="n">
        <v>1922</v>
      </c>
      <c r="C329" s="26" t="s">
        <v>8648</v>
      </c>
      <c r="D329" s="26" t="n">
        <v>1500000</v>
      </c>
      <c r="E329" s="26" t="s">
        <v>8649</v>
      </c>
      <c r="F329" s="26" t="s">
        <v>1813</v>
      </c>
      <c r="G329" s="26" t="n">
        <v>-112.1137716</v>
      </c>
      <c r="H329" s="26" t="n">
        <v>34.7489107</v>
      </c>
      <c r="I329" s="26" t="s">
        <v>1802</v>
      </c>
      <c r="J329" s="26" t="s">
        <v>8650</v>
      </c>
      <c r="K329" s="26" t="s">
        <v>7430</v>
      </c>
      <c r="L329" s="26" t="s">
        <v>7398</v>
      </c>
      <c r="M329" s="26" t="s">
        <v>1357</v>
      </c>
      <c r="N329" s="26" t="s">
        <v>7450</v>
      </c>
      <c r="O329" s="26" t="s">
        <v>8651</v>
      </c>
      <c r="P329" s="26" t="n">
        <f aca="false">IF(A329=O329, 1, 0)</f>
        <v>0</v>
      </c>
    </row>
    <row r="330" customFormat="false" ht="13.8" hidden="false" customHeight="false" outlineLevel="0" collapsed="false">
      <c r="A330" s="26" t="s">
        <v>8652</v>
      </c>
      <c r="B330" s="26" t="n">
        <v>1922</v>
      </c>
      <c r="C330" s="26" t="s">
        <v>8653</v>
      </c>
      <c r="D330" s="26" t="n">
        <v>750000</v>
      </c>
      <c r="E330" s="26" t="s">
        <v>8654</v>
      </c>
      <c r="F330" s="26" t="s">
        <v>1813</v>
      </c>
      <c r="G330" s="26" t="n">
        <v>-112.1137716</v>
      </c>
      <c r="H330" s="26" t="n">
        <v>34.7489107</v>
      </c>
      <c r="I330" s="26" t="s">
        <v>1683</v>
      </c>
      <c r="J330" s="26" t="s">
        <v>8655</v>
      </c>
      <c r="K330" s="26" t="s">
        <v>7430</v>
      </c>
      <c r="L330" s="26" t="s">
        <v>7398</v>
      </c>
      <c r="M330" s="26" t="s">
        <v>1357</v>
      </c>
      <c r="N330" s="26" t="s">
        <v>7450</v>
      </c>
      <c r="O330" s="26" t="s">
        <v>8656</v>
      </c>
      <c r="P330" s="26" t="n">
        <f aca="false">IF(A330=O330, 1, 0)</f>
        <v>0</v>
      </c>
    </row>
    <row r="331" customFormat="false" ht="13.8" hidden="false" customHeight="false" outlineLevel="0" collapsed="false">
      <c r="A331" s="26" t="s">
        <v>8657</v>
      </c>
      <c r="B331" s="26" t="n">
        <v>1922</v>
      </c>
      <c r="C331" s="26" t="s">
        <v>8658</v>
      </c>
      <c r="D331" s="26" t="n">
        <v>1500000</v>
      </c>
      <c r="E331" s="26" t="s">
        <v>8659</v>
      </c>
      <c r="F331" s="26" t="s">
        <v>8660</v>
      </c>
      <c r="G331" s="26" t="n">
        <v>-114.3835698</v>
      </c>
      <c r="H331" s="26" t="n">
        <v>35.0263915</v>
      </c>
      <c r="I331" s="26" t="s">
        <v>2623</v>
      </c>
      <c r="J331" s="26" t="s">
        <v>8661</v>
      </c>
      <c r="K331" s="26" t="s">
        <v>7430</v>
      </c>
      <c r="L331" s="26" t="s">
        <v>7398</v>
      </c>
      <c r="M331" s="26" t="s">
        <v>7657</v>
      </c>
      <c r="N331" s="26" t="s">
        <v>4900</v>
      </c>
      <c r="O331" s="26" t="s">
        <v>8662</v>
      </c>
      <c r="P331" s="26" t="n">
        <f aca="false">IF(A331=O331, 1, 0)</f>
        <v>0</v>
      </c>
    </row>
    <row r="332" customFormat="false" ht="13.8" hidden="false" customHeight="false" outlineLevel="0" collapsed="false">
      <c r="A332" s="26" t="s">
        <v>8663</v>
      </c>
      <c r="B332" s="26" t="n">
        <v>1922</v>
      </c>
      <c r="C332" s="26" t="s">
        <v>8664</v>
      </c>
      <c r="D332" s="26" t="n">
        <v>30000</v>
      </c>
      <c r="E332" s="26" t="s">
        <v>8665</v>
      </c>
      <c r="F332" s="26" t="s">
        <v>2447</v>
      </c>
      <c r="G332" s="26" t="n">
        <v>-119.4179324</v>
      </c>
      <c r="H332" s="26" t="n">
        <v>36.778261</v>
      </c>
      <c r="I332" s="26" t="s">
        <v>1802</v>
      </c>
      <c r="J332" s="26" t="s">
        <v>8666</v>
      </c>
      <c r="K332" s="26" t="s">
        <v>7430</v>
      </c>
      <c r="L332" s="26" t="s">
        <v>7398</v>
      </c>
      <c r="M332" s="26" t="s">
        <v>1357</v>
      </c>
      <c r="N332" s="26" t="s">
        <v>7450</v>
      </c>
      <c r="O332" s="26" t="s">
        <v>8667</v>
      </c>
      <c r="P332" s="26" t="n">
        <f aca="false">IF(A332=O332, 1, 0)</f>
        <v>0</v>
      </c>
    </row>
    <row r="333" customFormat="false" ht="13.8" hidden="false" customHeight="false" outlineLevel="0" collapsed="false">
      <c r="A333" s="26" t="s">
        <v>8668</v>
      </c>
      <c r="B333" s="26" t="n">
        <v>1922</v>
      </c>
      <c r="C333" s="26" t="s">
        <v>8669</v>
      </c>
      <c r="D333" s="28" t="n">
        <v>2000000</v>
      </c>
      <c r="E333" s="26" t="s">
        <v>8670</v>
      </c>
      <c r="F333" s="26" t="s">
        <v>8671</v>
      </c>
      <c r="G333" s="26" t="n">
        <v>-95.5828336</v>
      </c>
      <c r="H333" s="26" t="n">
        <v>37.0929586</v>
      </c>
      <c r="I333" s="26" t="s">
        <v>1683</v>
      </c>
      <c r="J333" s="26" t="s">
        <v>8672</v>
      </c>
      <c r="K333" s="26" t="s">
        <v>7430</v>
      </c>
      <c r="L333" s="26" t="s">
        <v>7398</v>
      </c>
      <c r="M333" s="26" t="s">
        <v>1357</v>
      </c>
      <c r="N333" s="25" t="s">
        <v>7435</v>
      </c>
      <c r="O333" s="26" t="s">
        <v>8673</v>
      </c>
      <c r="P333" s="26" t="n">
        <f aca="false">IF(A333=O333, 1, 0)</f>
        <v>0</v>
      </c>
    </row>
    <row r="334" customFormat="false" ht="13.8" hidden="false" customHeight="false" outlineLevel="0" collapsed="false">
      <c r="A334" s="26" t="s">
        <v>8674</v>
      </c>
      <c r="B334" s="26" t="n">
        <v>1922</v>
      </c>
      <c r="C334" s="26" t="s">
        <v>8675</v>
      </c>
      <c r="D334" s="28" t="n">
        <v>600000</v>
      </c>
      <c r="E334" s="26" t="s">
        <v>8676</v>
      </c>
      <c r="F334" s="26" t="s">
        <v>152</v>
      </c>
      <c r="G334" s="26" t="s">
        <v>152</v>
      </c>
      <c r="H334" s="26" t="s">
        <v>152</v>
      </c>
      <c r="I334" s="26" t="s">
        <v>1408</v>
      </c>
      <c r="J334" s="25" t="s">
        <v>8677</v>
      </c>
      <c r="K334" s="26" t="s">
        <v>152</v>
      </c>
      <c r="L334" s="26" t="s">
        <v>7398</v>
      </c>
      <c r="M334" s="26" t="s">
        <v>1357</v>
      </c>
      <c r="N334" s="26" t="s">
        <v>7450</v>
      </c>
      <c r="O334" s="26" t="s">
        <v>8678</v>
      </c>
      <c r="P334" s="26" t="n">
        <f aca="false">IF(A334=O334, 1, 0)</f>
        <v>0</v>
      </c>
    </row>
    <row r="335" customFormat="false" ht="13.8" hidden="false" customHeight="false" outlineLevel="0" collapsed="false">
      <c r="A335" s="26" t="s">
        <v>8679</v>
      </c>
      <c r="B335" s="26" t="n">
        <v>1922</v>
      </c>
      <c r="C335" s="26" t="s">
        <v>8680</v>
      </c>
      <c r="D335" s="28" t="n">
        <v>100000</v>
      </c>
      <c r="E335" s="26" t="s">
        <v>8681</v>
      </c>
      <c r="F335" s="26" t="s">
        <v>2447</v>
      </c>
      <c r="G335" s="26" t="n">
        <v>-119.4179324</v>
      </c>
      <c r="H335" s="26" t="n">
        <v>36.778261</v>
      </c>
      <c r="I335" s="26" t="s">
        <v>1802</v>
      </c>
      <c r="J335" s="26" t="s">
        <v>8682</v>
      </c>
      <c r="K335" s="26" t="s">
        <v>7430</v>
      </c>
      <c r="L335" s="26" t="s">
        <v>7398</v>
      </c>
      <c r="M335" s="26" t="s">
        <v>1357</v>
      </c>
      <c r="N335" s="26" t="s">
        <v>7450</v>
      </c>
      <c r="O335" s="26" t="s">
        <v>8683</v>
      </c>
      <c r="P335" s="26" t="n">
        <f aca="false">IF(A335=O335, 1, 0)</f>
        <v>0</v>
      </c>
    </row>
    <row r="336" customFormat="false" ht="13.8" hidden="false" customHeight="false" outlineLevel="0" collapsed="false">
      <c r="A336" s="26" t="s">
        <v>8684</v>
      </c>
      <c r="B336" s="26" t="n">
        <v>1922</v>
      </c>
      <c r="C336" s="26" t="s">
        <v>8685</v>
      </c>
      <c r="D336" s="26" t="n">
        <v>250000</v>
      </c>
      <c r="E336" s="26" t="s">
        <v>8686</v>
      </c>
      <c r="F336" s="26" t="s">
        <v>152</v>
      </c>
      <c r="G336" s="26" t="s">
        <v>152</v>
      </c>
      <c r="H336" s="26" t="s">
        <v>152</v>
      </c>
      <c r="I336" s="26" t="s">
        <v>1683</v>
      </c>
      <c r="J336" s="26" t="s">
        <v>8687</v>
      </c>
      <c r="K336" s="26" t="s">
        <v>152</v>
      </c>
      <c r="L336" s="26" t="s">
        <v>7398</v>
      </c>
      <c r="M336" s="26" t="s">
        <v>3298</v>
      </c>
      <c r="N336" s="25" t="s">
        <v>99</v>
      </c>
      <c r="O336" s="26" t="s">
        <v>8688</v>
      </c>
      <c r="P336" s="26" t="n">
        <f aca="false">IF(A336=O336, 1, 0)</f>
        <v>0</v>
      </c>
    </row>
    <row r="337" customFormat="false" ht="13.8" hidden="false" customHeight="false" outlineLevel="0" collapsed="false">
      <c r="A337" s="26" t="s">
        <v>8689</v>
      </c>
      <c r="B337" s="26" t="n">
        <v>1922</v>
      </c>
      <c r="C337" s="26" t="s">
        <v>8690</v>
      </c>
      <c r="D337" s="28" t="n">
        <v>100000</v>
      </c>
      <c r="E337" s="26" t="s">
        <v>8691</v>
      </c>
      <c r="F337" s="26" t="s">
        <v>2455</v>
      </c>
      <c r="G337" s="26" t="n">
        <v>-122.4194155</v>
      </c>
      <c r="H337" s="26" t="n">
        <v>37.7749295</v>
      </c>
      <c r="I337" s="26" t="s">
        <v>1683</v>
      </c>
      <c r="J337" s="26" t="s">
        <v>8692</v>
      </c>
      <c r="K337" s="26" t="s">
        <v>7430</v>
      </c>
      <c r="L337" s="26" t="s">
        <v>7398</v>
      </c>
      <c r="M337" s="26" t="s">
        <v>1357</v>
      </c>
      <c r="N337" s="26" t="s">
        <v>7450</v>
      </c>
      <c r="O337" s="26" t="s">
        <v>8693</v>
      </c>
      <c r="P337" s="26" t="n">
        <f aca="false">IF(A337=O337, 1, 0)</f>
        <v>0</v>
      </c>
    </row>
    <row r="338" customFormat="false" ht="13.8" hidden="false" customHeight="false" outlineLevel="0" collapsed="false">
      <c r="A338" s="26" t="s">
        <v>8694</v>
      </c>
      <c r="B338" s="26" t="n">
        <v>1922</v>
      </c>
      <c r="C338" s="26" t="s">
        <v>8695</v>
      </c>
      <c r="D338" s="28" t="n">
        <v>2000000</v>
      </c>
      <c r="E338" s="26" t="s">
        <v>8696</v>
      </c>
      <c r="F338" s="26" t="s">
        <v>152</v>
      </c>
      <c r="G338" s="26" t="s">
        <v>152</v>
      </c>
      <c r="H338" s="26" t="s">
        <v>152</v>
      </c>
      <c r="I338" s="26" t="s">
        <v>1683</v>
      </c>
      <c r="J338" s="26" t="s">
        <v>8697</v>
      </c>
      <c r="K338" s="26" t="s">
        <v>152</v>
      </c>
      <c r="L338" s="26" t="s">
        <v>7398</v>
      </c>
      <c r="M338" s="26" t="s">
        <v>1357</v>
      </c>
      <c r="N338" s="26" t="s">
        <v>7450</v>
      </c>
      <c r="O338" s="26" t="s">
        <v>8698</v>
      </c>
      <c r="P338" s="26" t="n">
        <f aca="false">IF(A338=O338, 1, 0)</f>
        <v>0</v>
      </c>
    </row>
    <row r="339" customFormat="false" ht="13.8" hidden="false" customHeight="false" outlineLevel="0" collapsed="false">
      <c r="A339" s="26" t="s">
        <v>8699</v>
      </c>
      <c r="B339" s="26" t="n">
        <v>1922</v>
      </c>
      <c r="C339" s="26" t="s">
        <v>8700</v>
      </c>
      <c r="D339" s="28" t="n">
        <v>100000</v>
      </c>
      <c r="E339" s="26" t="s">
        <v>8701</v>
      </c>
      <c r="F339" s="26" t="s">
        <v>1585</v>
      </c>
      <c r="G339" s="26" t="n">
        <v>-105.7820674</v>
      </c>
      <c r="H339" s="26" t="n">
        <v>39.5500507</v>
      </c>
      <c r="I339" s="26" t="s">
        <v>2104</v>
      </c>
      <c r="J339" s="26" t="s">
        <v>8702</v>
      </c>
      <c r="K339" s="26" t="s">
        <v>7430</v>
      </c>
      <c r="L339" s="26" t="s">
        <v>7398</v>
      </c>
      <c r="M339" s="26" t="s">
        <v>1357</v>
      </c>
      <c r="N339" s="26" t="s">
        <v>7450</v>
      </c>
      <c r="O339" s="26" t="s">
        <v>8703</v>
      </c>
      <c r="P339" s="26" t="n">
        <f aca="false">IF(A339=O339, 1, 0)</f>
        <v>0</v>
      </c>
    </row>
    <row r="340" customFormat="false" ht="13.8" hidden="false" customHeight="false" outlineLevel="0" collapsed="false">
      <c r="A340" s="26" t="s">
        <v>8704</v>
      </c>
      <c r="B340" s="26" t="n">
        <v>1922</v>
      </c>
      <c r="C340" s="26" t="s">
        <v>8705</v>
      </c>
      <c r="D340" s="28" t="n">
        <v>1000000</v>
      </c>
      <c r="E340" s="26" t="s">
        <v>8706</v>
      </c>
      <c r="F340" s="26" t="s">
        <v>8633</v>
      </c>
      <c r="G340" s="26" t="n">
        <v>-87.6297982</v>
      </c>
      <c r="H340" s="26" t="n">
        <v>41.8781136</v>
      </c>
      <c r="I340" s="26" t="s">
        <v>1408</v>
      </c>
      <c r="J340" s="26" t="s">
        <v>8707</v>
      </c>
      <c r="K340" s="26" t="s">
        <v>7430</v>
      </c>
      <c r="L340" s="26" t="s">
        <v>7398</v>
      </c>
      <c r="M340" s="26" t="s">
        <v>1357</v>
      </c>
      <c r="N340" s="26" t="s">
        <v>7450</v>
      </c>
      <c r="O340" s="26" t="s">
        <v>8708</v>
      </c>
      <c r="P340" s="26" t="n">
        <f aca="false">IF(A340=O340, 1, 0)</f>
        <v>0</v>
      </c>
    </row>
    <row r="341" customFormat="false" ht="13.8" hidden="false" customHeight="false" outlineLevel="0" collapsed="false">
      <c r="A341" s="26" t="s">
        <v>8709</v>
      </c>
      <c r="B341" s="26" t="n">
        <v>1922</v>
      </c>
      <c r="C341" s="26" t="s">
        <v>8710</v>
      </c>
      <c r="D341" s="28" t="n">
        <v>1000000</v>
      </c>
      <c r="E341" s="26" t="s">
        <v>8711</v>
      </c>
      <c r="F341" s="26" t="s">
        <v>8712</v>
      </c>
      <c r="G341" s="26" t="n">
        <v>-75.2207323</v>
      </c>
      <c r="H341" s="26" t="n">
        <v>40.688432</v>
      </c>
      <c r="I341" s="26" t="s">
        <v>1408</v>
      </c>
      <c r="J341" s="26" t="s">
        <v>8713</v>
      </c>
      <c r="K341" s="26" t="s">
        <v>7430</v>
      </c>
      <c r="L341" s="26" t="s">
        <v>7398</v>
      </c>
      <c r="M341" s="26" t="s">
        <v>8258</v>
      </c>
      <c r="N341" s="25" t="s">
        <v>7445</v>
      </c>
      <c r="O341" s="26" t="s">
        <v>8714</v>
      </c>
      <c r="P341" s="26" t="n">
        <f aca="false">IF(A341=O341, 1, 0)</f>
        <v>0</v>
      </c>
    </row>
    <row r="342" customFormat="false" ht="13.8" hidden="false" customHeight="false" outlineLevel="0" collapsed="false">
      <c r="A342" s="26" t="s">
        <v>8715</v>
      </c>
      <c r="B342" s="26" t="n">
        <v>1922</v>
      </c>
      <c r="C342" s="26" t="s">
        <v>8716</v>
      </c>
      <c r="D342" s="26" t="n">
        <v>1500000</v>
      </c>
      <c r="E342" s="26" t="s">
        <v>8717</v>
      </c>
      <c r="F342" s="26" t="s">
        <v>2064</v>
      </c>
      <c r="G342" s="26" t="n">
        <v>-117.4260465</v>
      </c>
      <c r="H342" s="26" t="n">
        <v>47.6587802</v>
      </c>
      <c r="I342" s="26" t="s">
        <v>1408</v>
      </c>
      <c r="J342" s="26" t="s">
        <v>8718</v>
      </c>
      <c r="K342" s="26" t="s">
        <v>7430</v>
      </c>
      <c r="L342" s="26" t="s">
        <v>7398</v>
      </c>
      <c r="M342" s="26" t="s">
        <v>1357</v>
      </c>
      <c r="N342" s="25" t="s">
        <v>7435</v>
      </c>
      <c r="O342" s="26" t="s">
        <v>8719</v>
      </c>
      <c r="P342" s="26" t="n">
        <f aca="false">IF(A342=O342, 1, 0)</f>
        <v>0</v>
      </c>
    </row>
    <row r="343" customFormat="false" ht="13.8" hidden="false" customHeight="false" outlineLevel="0" collapsed="false">
      <c r="A343" s="26" t="s">
        <v>8720</v>
      </c>
      <c r="B343" s="26" t="n">
        <v>1922</v>
      </c>
      <c r="C343" s="26" t="s">
        <v>8721</v>
      </c>
      <c r="D343" s="28" t="n">
        <v>100000</v>
      </c>
      <c r="E343" s="26" t="s">
        <v>8722</v>
      </c>
      <c r="F343" s="26" t="s">
        <v>8458</v>
      </c>
      <c r="G343" s="26" t="n">
        <v>-110.3625658</v>
      </c>
      <c r="H343" s="26" t="n">
        <v>46.8796822</v>
      </c>
      <c r="I343" s="26" t="s">
        <v>1896</v>
      </c>
      <c r="J343" s="26" t="s">
        <v>8723</v>
      </c>
      <c r="K343" s="26" t="s">
        <v>7430</v>
      </c>
      <c r="L343" s="26" t="s">
        <v>7398</v>
      </c>
      <c r="M343" s="26" t="s">
        <v>1357</v>
      </c>
      <c r="N343" s="26" t="s">
        <v>7450</v>
      </c>
      <c r="O343" s="26" t="s">
        <v>8724</v>
      </c>
      <c r="P343" s="26" t="n">
        <f aca="false">IF(A343=O343, 1, 0)</f>
        <v>0</v>
      </c>
    </row>
    <row r="344" customFormat="false" ht="13.8" hidden="false" customHeight="false" outlineLevel="0" collapsed="false">
      <c r="A344" s="26" t="s">
        <v>8725</v>
      </c>
      <c r="B344" s="26" t="n">
        <v>1922</v>
      </c>
      <c r="C344" s="26" t="s">
        <v>8726</v>
      </c>
      <c r="D344" s="26" t="n">
        <v>150000</v>
      </c>
      <c r="E344" s="26" t="s">
        <v>8727</v>
      </c>
      <c r="F344" s="26" t="s">
        <v>2511</v>
      </c>
      <c r="G344" s="26" t="n">
        <v>-116.419389</v>
      </c>
      <c r="H344" s="26" t="n">
        <v>38.8026097</v>
      </c>
      <c r="I344" s="26" t="s">
        <v>1408</v>
      </c>
      <c r="J344" s="26" t="s">
        <v>8728</v>
      </c>
      <c r="K344" s="26" t="s">
        <v>7430</v>
      </c>
      <c r="L344" s="26" t="s">
        <v>7398</v>
      </c>
      <c r="M344" s="26" t="s">
        <v>7606</v>
      </c>
      <c r="N344" s="25" t="s">
        <v>7445</v>
      </c>
      <c r="O344" s="26" t="s">
        <v>8729</v>
      </c>
      <c r="P344" s="26" t="n">
        <f aca="false">IF(A344=O344, 1, 0)</f>
        <v>0</v>
      </c>
    </row>
    <row r="345" customFormat="false" ht="13.8" hidden="false" customHeight="false" outlineLevel="0" collapsed="false">
      <c r="A345" s="26" t="s">
        <v>8730</v>
      </c>
      <c r="B345" s="26" t="n">
        <v>1922</v>
      </c>
      <c r="C345" s="26" t="s">
        <v>8569</v>
      </c>
      <c r="D345" s="28" t="n">
        <v>10000000</v>
      </c>
      <c r="E345" s="26" t="s">
        <v>8731</v>
      </c>
      <c r="F345" s="26" t="s">
        <v>2511</v>
      </c>
      <c r="G345" s="26" t="n">
        <v>-116.419389</v>
      </c>
      <c r="H345" s="26" t="n">
        <v>38.8026097</v>
      </c>
      <c r="I345" s="26" t="s">
        <v>1802</v>
      </c>
      <c r="J345" s="26" t="s">
        <v>8732</v>
      </c>
      <c r="K345" s="26" t="s">
        <v>7430</v>
      </c>
      <c r="L345" s="26" t="s">
        <v>7398</v>
      </c>
      <c r="M345" s="26" t="s">
        <v>3298</v>
      </c>
      <c r="N345" s="25" t="s">
        <v>99</v>
      </c>
      <c r="O345" s="26" t="s">
        <v>8733</v>
      </c>
      <c r="P345" s="26" t="n">
        <f aca="false">IF(A345=O345, 1, 0)</f>
        <v>0</v>
      </c>
    </row>
    <row r="346" customFormat="false" ht="13.8" hidden="false" customHeight="false" outlineLevel="0" collapsed="false">
      <c r="A346" s="26" t="s">
        <v>8734</v>
      </c>
      <c r="B346" s="26" t="n">
        <v>1922</v>
      </c>
      <c r="C346" s="26" t="s">
        <v>8735</v>
      </c>
      <c r="D346" s="28" t="n">
        <v>500000</v>
      </c>
      <c r="E346" s="26" t="s">
        <v>8736</v>
      </c>
      <c r="F346" s="26" t="s">
        <v>8737</v>
      </c>
      <c r="G346" s="26" t="n">
        <v>-108.7086649</v>
      </c>
      <c r="H346" s="26" t="n">
        <v>32.3503605</v>
      </c>
      <c r="I346" s="26" t="s">
        <v>1802</v>
      </c>
      <c r="J346" s="26" t="s">
        <v>8738</v>
      </c>
      <c r="K346" s="26" t="s">
        <v>7430</v>
      </c>
      <c r="L346" s="26" t="s">
        <v>7398</v>
      </c>
      <c r="M346" s="26" t="s">
        <v>7528</v>
      </c>
      <c r="N346" s="26" t="s">
        <v>4900</v>
      </c>
      <c r="O346" s="26" t="s">
        <v>8739</v>
      </c>
      <c r="P346" s="26" t="n">
        <f aca="false">IF(A346=O346, 1, 0)</f>
        <v>0</v>
      </c>
    </row>
    <row r="347" customFormat="false" ht="13.8" hidden="false" customHeight="false" outlineLevel="0" collapsed="false">
      <c r="A347" s="26" t="s">
        <v>8740</v>
      </c>
      <c r="B347" s="26" t="n">
        <v>1922</v>
      </c>
      <c r="C347" s="26" t="s">
        <v>8741</v>
      </c>
      <c r="D347" s="28" t="n">
        <v>50000000</v>
      </c>
      <c r="E347" s="26" t="s">
        <v>8742</v>
      </c>
      <c r="F347" s="26" t="s">
        <v>1763</v>
      </c>
      <c r="G347" s="26" t="n">
        <v>-74.0059728</v>
      </c>
      <c r="H347" s="26" t="n">
        <v>40.7127753</v>
      </c>
      <c r="I347" s="26" t="s">
        <v>1408</v>
      </c>
      <c r="J347" s="26" t="s">
        <v>8743</v>
      </c>
      <c r="K347" s="26" t="s">
        <v>152</v>
      </c>
      <c r="L347" s="26" t="s">
        <v>7398</v>
      </c>
      <c r="M347" s="26" t="s">
        <v>1357</v>
      </c>
      <c r="N347" s="26" t="s">
        <v>7450</v>
      </c>
      <c r="O347" s="26" t="s">
        <v>8744</v>
      </c>
      <c r="P347" s="26" t="n">
        <f aca="false">IF(A347=O347, 1, 0)</f>
        <v>0</v>
      </c>
    </row>
    <row r="348" customFormat="false" ht="13.8" hidden="false" customHeight="false" outlineLevel="0" collapsed="false">
      <c r="A348" s="26" t="s">
        <v>8745</v>
      </c>
      <c r="B348" s="26" t="n">
        <v>1922</v>
      </c>
      <c r="C348" s="26" t="s">
        <v>8746</v>
      </c>
      <c r="D348" s="28" t="n">
        <v>100000</v>
      </c>
      <c r="E348" s="26" t="s">
        <v>8747</v>
      </c>
      <c r="F348" s="26" t="s">
        <v>152</v>
      </c>
      <c r="G348" s="26" t="s">
        <v>152</v>
      </c>
      <c r="H348" s="26" t="s">
        <v>152</v>
      </c>
      <c r="I348" s="26" t="s">
        <v>1408</v>
      </c>
      <c r="J348" s="26" t="s">
        <v>8748</v>
      </c>
      <c r="K348" s="26" t="s">
        <v>152</v>
      </c>
      <c r="L348" s="26" t="s">
        <v>7398</v>
      </c>
      <c r="M348" s="26" t="s">
        <v>1357</v>
      </c>
      <c r="N348" s="26" t="s">
        <v>7450</v>
      </c>
      <c r="O348" s="26" t="s">
        <v>8749</v>
      </c>
      <c r="P348" s="26" t="n">
        <f aca="false">IF(A348=O348, 1, 0)</f>
        <v>0</v>
      </c>
    </row>
    <row r="349" customFormat="false" ht="13.8" hidden="false" customHeight="false" outlineLevel="0" collapsed="false">
      <c r="A349" s="26" t="s">
        <v>8750</v>
      </c>
      <c r="B349" s="26" t="n">
        <v>1922</v>
      </c>
      <c r="C349" s="26" t="s">
        <v>8751</v>
      </c>
      <c r="D349" s="28" t="n">
        <v>100000</v>
      </c>
      <c r="E349" s="26" t="s">
        <v>8752</v>
      </c>
      <c r="F349" s="26" t="s">
        <v>2064</v>
      </c>
      <c r="G349" s="26" t="n">
        <v>-117.4260465</v>
      </c>
      <c r="H349" s="26" t="n">
        <v>47.6587802</v>
      </c>
      <c r="I349" s="26" t="s">
        <v>1408</v>
      </c>
      <c r="J349" s="26" t="s">
        <v>8753</v>
      </c>
      <c r="K349" s="26" t="s">
        <v>7430</v>
      </c>
      <c r="L349" s="26" t="s">
        <v>7398</v>
      </c>
      <c r="M349" s="26" t="s">
        <v>1357</v>
      </c>
      <c r="N349" s="26" t="s">
        <v>7450</v>
      </c>
      <c r="O349" s="26" t="s">
        <v>8754</v>
      </c>
      <c r="P349" s="26" t="n">
        <f aca="false">IF(A349=O349, 1, 0)</f>
        <v>0</v>
      </c>
    </row>
    <row r="350" customFormat="false" ht="13.8" hidden="false" customHeight="false" outlineLevel="0" collapsed="false">
      <c r="A350" s="26" t="s">
        <v>8755</v>
      </c>
      <c r="B350" s="26" t="n">
        <v>1922</v>
      </c>
      <c r="C350" s="26" t="s">
        <v>8756</v>
      </c>
      <c r="D350" s="28" t="n">
        <v>1000000</v>
      </c>
      <c r="E350" s="26" t="s">
        <v>8757</v>
      </c>
      <c r="F350" s="26" t="s">
        <v>152</v>
      </c>
      <c r="G350" s="26" t="s">
        <v>152</v>
      </c>
      <c r="H350" s="26" t="s">
        <v>152</v>
      </c>
      <c r="I350" s="26" t="s">
        <v>1408</v>
      </c>
      <c r="J350" s="26" t="s">
        <v>8758</v>
      </c>
      <c r="K350" s="26" t="s">
        <v>152</v>
      </c>
      <c r="L350" s="26" t="s">
        <v>7398</v>
      </c>
      <c r="M350" s="26" t="s">
        <v>3298</v>
      </c>
      <c r="N350" s="26" t="s">
        <v>4894</v>
      </c>
      <c r="O350" s="26" t="s">
        <v>8759</v>
      </c>
      <c r="P350" s="26" t="n">
        <f aca="false">IF(A350=O350, 1, 0)</f>
        <v>0</v>
      </c>
    </row>
    <row r="351" customFormat="false" ht="13.8" hidden="false" customHeight="false" outlineLevel="0" collapsed="false">
      <c r="A351" s="26" t="s">
        <v>8760</v>
      </c>
      <c r="B351" s="26" t="n">
        <v>1922</v>
      </c>
      <c r="C351" s="26" t="s">
        <v>8761</v>
      </c>
      <c r="D351" s="26" t="n">
        <v>1500000</v>
      </c>
      <c r="E351" s="26" t="s">
        <v>8762</v>
      </c>
      <c r="F351" s="26" t="s">
        <v>1467</v>
      </c>
      <c r="G351" s="26" t="n">
        <v>-85.6023643</v>
      </c>
      <c r="H351" s="26" t="n">
        <v>44.3148443</v>
      </c>
      <c r="I351" s="26" t="s">
        <v>1683</v>
      </c>
      <c r="J351" s="26" t="s">
        <v>8763</v>
      </c>
      <c r="K351" s="26" t="s">
        <v>7430</v>
      </c>
      <c r="L351" s="26" t="s">
        <v>7398</v>
      </c>
      <c r="M351" s="26" t="s">
        <v>1357</v>
      </c>
      <c r="N351" s="26" t="s">
        <v>7450</v>
      </c>
      <c r="O351" s="26" t="s">
        <v>8764</v>
      </c>
      <c r="P351" s="26" t="n">
        <f aca="false">IF(A351=O351, 1, 0)</f>
        <v>0</v>
      </c>
    </row>
    <row r="352" customFormat="false" ht="13.8" hidden="false" customHeight="false" outlineLevel="0" collapsed="false">
      <c r="A352" s="26" t="s">
        <v>8765</v>
      </c>
      <c r="B352" s="26" t="n">
        <v>1922</v>
      </c>
      <c r="C352" s="26" t="s">
        <v>8766</v>
      </c>
      <c r="D352" s="28" t="n">
        <v>80000000</v>
      </c>
      <c r="E352" s="26" t="s">
        <v>8767</v>
      </c>
      <c r="F352" s="26" t="s">
        <v>8768</v>
      </c>
      <c r="G352" s="26" t="n">
        <v>-92.9376887</v>
      </c>
      <c r="H352" s="26" t="n">
        <v>47.4271546</v>
      </c>
      <c r="I352" s="26" t="s">
        <v>2623</v>
      </c>
      <c r="J352" s="26" t="s">
        <v>8769</v>
      </c>
      <c r="K352" s="26" t="s">
        <v>7430</v>
      </c>
      <c r="L352" s="26" t="s">
        <v>7398</v>
      </c>
      <c r="M352" s="26" t="s">
        <v>3298</v>
      </c>
      <c r="N352" s="26" t="s">
        <v>4297</v>
      </c>
      <c r="O352" s="26" t="s">
        <v>8770</v>
      </c>
      <c r="P352" s="26" t="n">
        <f aca="false">IF(A352=O352, 1, 0)</f>
        <v>0</v>
      </c>
    </row>
    <row r="353" customFormat="false" ht="13.8" hidden="false" customHeight="false" outlineLevel="0" collapsed="false">
      <c r="A353" s="26" t="s">
        <v>8771</v>
      </c>
      <c r="B353" s="26" t="n">
        <v>1922</v>
      </c>
      <c r="C353" s="26" t="s">
        <v>8772</v>
      </c>
      <c r="D353" s="28" t="n">
        <v>100000</v>
      </c>
      <c r="E353" s="26" t="s">
        <v>8773</v>
      </c>
      <c r="F353" s="26" t="s">
        <v>152</v>
      </c>
      <c r="G353" s="26" t="s">
        <v>152</v>
      </c>
      <c r="H353" s="26" t="s">
        <v>152</v>
      </c>
      <c r="I353" s="26" t="s">
        <v>1408</v>
      </c>
      <c r="J353" s="26" t="s">
        <v>8774</v>
      </c>
      <c r="K353" s="26" t="s">
        <v>152</v>
      </c>
      <c r="L353" s="26" t="s">
        <v>7398</v>
      </c>
      <c r="M353" s="26" t="s">
        <v>7488</v>
      </c>
      <c r="N353" s="26" t="s">
        <v>4988</v>
      </c>
      <c r="O353" s="26" t="s">
        <v>8775</v>
      </c>
      <c r="P353" s="26" t="n">
        <f aca="false">IF(A353=O353, 1, 0)</f>
        <v>0</v>
      </c>
    </row>
    <row r="354" customFormat="false" ht="13.8" hidden="false" customHeight="false" outlineLevel="0" collapsed="false">
      <c r="A354" s="26" t="s">
        <v>8776</v>
      </c>
      <c r="B354" s="26" t="n">
        <v>1922</v>
      </c>
      <c r="C354" s="26" t="s">
        <v>8777</v>
      </c>
      <c r="D354" s="26" t="n">
        <v>250000</v>
      </c>
      <c r="E354" s="26" t="s">
        <v>8778</v>
      </c>
      <c r="F354" s="26" t="s">
        <v>152</v>
      </c>
      <c r="G354" s="26" t="s">
        <v>152</v>
      </c>
      <c r="H354" s="26" t="s">
        <v>152</v>
      </c>
      <c r="I354" s="26" t="s">
        <v>1408</v>
      </c>
      <c r="J354" s="26" t="s">
        <v>8779</v>
      </c>
      <c r="K354" s="26" t="s">
        <v>152</v>
      </c>
      <c r="L354" s="26" t="s">
        <v>7398</v>
      </c>
      <c r="M354" s="26" t="s">
        <v>3298</v>
      </c>
      <c r="N354" s="25" t="s">
        <v>99</v>
      </c>
      <c r="O354" s="26" t="s">
        <v>8780</v>
      </c>
      <c r="P354" s="26" t="n">
        <f aca="false">IF(A354=O354, 1, 0)</f>
        <v>0</v>
      </c>
    </row>
    <row r="355" customFormat="false" ht="13.8" hidden="false" customHeight="false" outlineLevel="0" collapsed="false">
      <c r="A355" s="26" t="s">
        <v>8781</v>
      </c>
      <c r="B355" s="26" t="n">
        <v>1922</v>
      </c>
      <c r="C355" s="26" t="s">
        <v>8782</v>
      </c>
      <c r="D355" s="28" t="n">
        <v>1000000</v>
      </c>
      <c r="E355" s="26" t="s">
        <v>8783</v>
      </c>
      <c r="F355" s="26" t="s">
        <v>152</v>
      </c>
      <c r="G355" s="26" t="s">
        <v>152</v>
      </c>
      <c r="H355" s="26" t="s">
        <v>152</v>
      </c>
      <c r="I355" s="26" t="s">
        <v>1408</v>
      </c>
      <c r="J355" s="26" t="s">
        <v>8784</v>
      </c>
      <c r="K355" s="26" t="s">
        <v>152</v>
      </c>
      <c r="L355" s="26" t="s">
        <v>7398</v>
      </c>
      <c r="M355" s="26" t="s">
        <v>3298</v>
      </c>
      <c r="N355" s="26" t="s">
        <v>4306</v>
      </c>
      <c r="O355" s="26" t="s">
        <v>8785</v>
      </c>
      <c r="P355" s="26" t="n">
        <f aca="false">IF(A355=O355, 1, 0)</f>
        <v>0</v>
      </c>
    </row>
    <row r="356" customFormat="false" ht="13.8" hidden="false" customHeight="false" outlineLevel="0" collapsed="false">
      <c r="A356" s="26" t="s">
        <v>8786</v>
      </c>
      <c r="B356" s="26" t="n">
        <v>1922</v>
      </c>
      <c r="C356" s="26" t="s">
        <v>8787</v>
      </c>
      <c r="D356" s="26" t="n">
        <v>1500000</v>
      </c>
      <c r="E356" s="26" t="s">
        <v>8788</v>
      </c>
      <c r="F356" s="26" t="s">
        <v>2064</v>
      </c>
      <c r="G356" s="26" t="n">
        <v>-117.4260465</v>
      </c>
      <c r="H356" s="26" t="n">
        <v>47.6587802</v>
      </c>
      <c r="I356" s="26" t="s">
        <v>1996</v>
      </c>
      <c r="J356" s="26" t="s">
        <v>8789</v>
      </c>
      <c r="K356" s="26" t="s">
        <v>7430</v>
      </c>
      <c r="L356" s="26" t="s">
        <v>7398</v>
      </c>
      <c r="M356" s="26" t="s">
        <v>3936</v>
      </c>
      <c r="N356" s="25" t="s">
        <v>7445</v>
      </c>
      <c r="O356" s="26" t="s">
        <v>8790</v>
      </c>
      <c r="P356" s="26" t="n">
        <f aca="false">IF(A356=O356, 1, 0)</f>
        <v>0</v>
      </c>
    </row>
    <row r="357" customFormat="false" ht="13.8" hidden="false" customHeight="false" outlineLevel="0" collapsed="false">
      <c r="A357" s="26" t="s">
        <v>2684</v>
      </c>
      <c r="B357" s="26" t="n">
        <v>1922</v>
      </c>
      <c r="C357" s="26" t="s">
        <v>8791</v>
      </c>
      <c r="D357" s="28" t="n">
        <v>25000000</v>
      </c>
      <c r="E357" s="26" t="s">
        <v>2687</v>
      </c>
      <c r="F357" s="26" t="s">
        <v>2686</v>
      </c>
      <c r="G357" s="26" t="n">
        <v>-123.1207375</v>
      </c>
      <c r="H357" s="26" t="n">
        <v>49.2827291</v>
      </c>
      <c r="I357" s="26" t="s">
        <v>1683</v>
      </c>
      <c r="J357" s="26" t="s">
        <v>8792</v>
      </c>
      <c r="K357" s="26" t="s">
        <v>361</v>
      </c>
      <c r="L357" s="26" t="s">
        <v>7398</v>
      </c>
      <c r="M357" s="26" t="s">
        <v>1357</v>
      </c>
      <c r="N357" s="25" t="s">
        <v>7435</v>
      </c>
      <c r="O357" s="26" t="s">
        <v>8793</v>
      </c>
      <c r="P357" s="26" t="n">
        <f aca="false">IF(A357=O357, 1, 0)</f>
        <v>0</v>
      </c>
    </row>
    <row r="358" customFormat="false" ht="13.8" hidden="false" customHeight="false" outlineLevel="0" collapsed="false">
      <c r="A358" s="26" t="s">
        <v>8794</v>
      </c>
      <c r="B358" s="26" t="n">
        <v>1922</v>
      </c>
      <c r="C358" s="26" t="s">
        <v>8795</v>
      </c>
      <c r="D358" s="26" t="n">
        <v>50000</v>
      </c>
      <c r="E358" s="26" t="s">
        <v>8796</v>
      </c>
      <c r="F358" s="26" t="s">
        <v>2455</v>
      </c>
      <c r="G358" s="26" t="n">
        <v>-122.4194155</v>
      </c>
      <c r="H358" s="26" t="n">
        <v>37.7749295</v>
      </c>
      <c r="I358" s="26" t="s">
        <v>1408</v>
      </c>
      <c r="J358" s="26" t="s">
        <v>8797</v>
      </c>
      <c r="K358" s="26" t="s">
        <v>7430</v>
      </c>
      <c r="L358" s="26" t="s">
        <v>7398</v>
      </c>
      <c r="M358" s="26" t="s">
        <v>1357</v>
      </c>
      <c r="N358" s="26" t="s">
        <v>7450</v>
      </c>
      <c r="O358" s="26" t="s">
        <v>8798</v>
      </c>
      <c r="P358" s="26" t="n">
        <f aca="false">IF(A358=O358, 1, 0)</f>
        <v>0</v>
      </c>
    </row>
    <row r="359" customFormat="false" ht="13.8" hidden="false" customHeight="false" outlineLevel="0" collapsed="false">
      <c r="A359" s="26" t="s">
        <v>8799</v>
      </c>
      <c r="B359" s="26" t="n">
        <v>1922</v>
      </c>
      <c r="C359" s="26" t="s">
        <v>8800</v>
      </c>
      <c r="D359" s="26" t="n">
        <v>8300250</v>
      </c>
      <c r="E359" s="26" t="s">
        <v>8801</v>
      </c>
      <c r="F359" s="26" t="s">
        <v>8622</v>
      </c>
      <c r="G359" s="26" t="n">
        <v>-85.323214</v>
      </c>
      <c r="H359" s="26" t="n">
        <v>51.253775</v>
      </c>
      <c r="I359" s="26" t="s">
        <v>1595</v>
      </c>
      <c r="J359" s="26" t="s">
        <v>8802</v>
      </c>
      <c r="K359" s="26" t="s">
        <v>361</v>
      </c>
      <c r="L359" s="26" t="s">
        <v>7398</v>
      </c>
      <c r="M359" s="26" t="s">
        <v>1357</v>
      </c>
      <c r="N359" s="25" t="s">
        <v>7435</v>
      </c>
      <c r="O359" s="26" t="s">
        <v>8803</v>
      </c>
      <c r="P359" s="26" t="n">
        <f aca="false">IF(A359=O359, 1, 0)</f>
        <v>0</v>
      </c>
    </row>
    <row r="360" customFormat="false" ht="13.8" hidden="false" customHeight="false" outlineLevel="0" collapsed="false">
      <c r="A360" s="26" t="s">
        <v>8804</v>
      </c>
      <c r="B360" s="26" t="n">
        <v>1922</v>
      </c>
      <c r="C360" s="26" t="s">
        <v>8805</v>
      </c>
      <c r="D360" s="28" t="n">
        <v>500000</v>
      </c>
      <c r="E360" s="26" t="s">
        <v>8806</v>
      </c>
      <c r="F360" s="26" t="s">
        <v>152</v>
      </c>
      <c r="G360" s="26" t="s">
        <v>152</v>
      </c>
      <c r="H360" s="26" t="s">
        <v>152</v>
      </c>
      <c r="I360" s="26" t="s">
        <v>1595</v>
      </c>
      <c r="J360" s="26" t="s">
        <v>8807</v>
      </c>
      <c r="K360" s="26" t="s">
        <v>152</v>
      </c>
      <c r="L360" s="26" t="s">
        <v>7398</v>
      </c>
      <c r="M360" s="26" t="s">
        <v>3298</v>
      </c>
      <c r="N360" s="26" t="s">
        <v>4306</v>
      </c>
      <c r="O360" s="26" t="s">
        <v>8808</v>
      </c>
      <c r="P360" s="26" t="n">
        <f aca="false">IF(A360=O360, 1, 0)</f>
        <v>0</v>
      </c>
    </row>
    <row r="361" customFormat="false" ht="13.8" hidden="false" customHeight="false" outlineLevel="0" collapsed="false">
      <c r="A361" s="26" t="s">
        <v>8809</v>
      </c>
      <c r="B361" s="26" t="n">
        <v>1922</v>
      </c>
      <c r="C361" s="26" t="s">
        <v>8810</v>
      </c>
      <c r="D361" s="28" t="n">
        <v>25000000</v>
      </c>
      <c r="E361" s="26" t="s">
        <v>8811</v>
      </c>
      <c r="F361" s="26" t="s">
        <v>8812</v>
      </c>
      <c r="G361" s="26" t="n">
        <v>-106.4508639</v>
      </c>
      <c r="H361" s="26" t="n">
        <v>52.9399159</v>
      </c>
      <c r="I361" s="26" t="s">
        <v>1595</v>
      </c>
      <c r="J361" s="26" t="s">
        <v>8813</v>
      </c>
      <c r="K361" s="26" t="s">
        <v>361</v>
      </c>
      <c r="L361" s="26" t="s">
        <v>7398</v>
      </c>
      <c r="M361" s="26" t="s">
        <v>152</v>
      </c>
      <c r="N361" s="25" t="s">
        <v>7445</v>
      </c>
      <c r="O361" s="26" t="s">
        <v>8814</v>
      </c>
      <c r="P361" s="26" t="n">
        <f aca="false">IF(A361=O361, 1, 0)</f>
        <v>0</v>
      </c>
    </row>
    <row r="362" customFormat="false" ht="13.8" hidden="false" customHeight="false" outlineLevel="0" collapsed="false">
      <c r="A362" s="26" t="n">
        <v>61046</v>
      </c>
      <c r="B362" s="26" t="n">
        <v>1889</v>
      </c>
      <c r="C362" s="26" t="s">
        <v>8025</v>
      </c>
      <c r="D362" s="26" t="n">
        <v>48685.49172</v>
      </c>
      <c r="E362" s="26" t="s">
        <v>8815</v>
      </c>
      <c r="F362" s="26" t="s">
        <v>686</v>
      </c>
      <c r="G362" s="26" t="n">
        <v>-95.7813885</v>
      </c>
      <c r="H362" s="26" t="n">
        <v>36.0628961</v>
      </c>
      <c r="I362" s="26" t="s">
        <v>110</v>
      </c>
      <c r="J362" s="29" t="s">
        <v>8816</v>
      </c>
      <c r="K362" s="26" t="s">
        <v>7430</v>
      </c>
      <c r="L362" s="26" t="s">
        <v>7396</v>
      </c>
      <c r="M362" s="26" t="s">
        <v>7552</v>
      </c>
      <c r="N362" s="26" t="s">
        <v>4306</v>
      </c>
      <c r="O362" s="26" t="s">
        <v>8817</v>
      </c>
      <c r="P362" s="26" t="n">
        <v>1</v>
      </c>
    </row>
    <row r="363" customFormat="false" ht="13.8" hidden="false" customHeight="false" outlineLevel="0" collapsed="false">
      <c r="A363" s="26" t="n">
        <v>104948</v>
      </c>
      <c r="B363" s="26" t="n">
        <v>1891</v>
      </c>
      <c r="C363" s="26" t="s">
        <v>8818</v>
      </c>
      <c r="D363" s="26" t="n">
        <v>486144.9</v>
      </c>
      <c r="E363" s="26" t="s">
        <v>8819</v>
      </c>
      <c r="F363" s="26" t="s">
        <v>967</v>
      </c>
      <c r="G363" s="26" t="n">
        <v>-78.6766374</v>
      </c>
      <c r="H363" s="26" t="n">
        <v>35.7893925</v>
      </c>
      <c r="I363" s="26" t="s">
        <v>110</v>
      </c>
      <c r="J363" s="26" t="s">
        <v>8820</v>
      </c>
      <c r="K363" s="26" t="s">
        <v>7430</v>
      </c>
      <c r="L363" s="26" t="s">
        <v>7396</v>
      </c>
      <c r="M363" s="26" t="s">
        <v>7488</v>
      </c>
      <c r="N363" s="26" t="s">
        <v>4900</v>
      </c>
      <c r="O363" s="26" t="s">
        <v>8821</v>
      </c>
      <c r="P363" s="26" t="n">
        <v>1</v>
      </c>
    </row>
    <row r="364" customFormat="false" ht="13.8" hidden="false" customHeight="false" outlineLevel="0" collapsed="false">
      <c r="A364" s="26" t="n">
        <v>176007</v>
      </c>
      <c r="B364" s="26" t="n">
        <v>1894</v>
      </c>
      <c r="C364" s="26" t="s">
        <v>8822</v>
      </c>
      <c r="D364" s="26" t="n">
        <v>1121951</v>
      </c>
      <c r="E364" s="26" t="s">
        <v>8823</v>
      </c>
      <c r="F364" s="26" t="s">
        <v>32</v>
      </c>
      <c r="G364" s="26" t="n">
        <v>-0.1277583</v>
      </c>
      <c r="H364" s="26" t="n">
        <v>51.50735</v>
      </c>
      <c r="I364" s="26" t="s">
        <v>214</v>
      </c>
      <c r="J364" s="29" t="s">
        <v>8824</v>
      </c>
      <c r="K364" s="26" t="s">
        <v>340</v>
      </c>
      <c r="L364" s="26" t="s">
        <v>7396</v>
      </c>
      <c r="M364" s="26" t="s">
        <v>7440</v>
      </c>
      <c r="N364" s="26" t="s">
        <v>4306</v>
      </c>
      <c r="O364" s="26" t="s">
        <v>8825</v>
      </c>
      <c r="P364" s="26" t="n">
        <v>1</v>
      </c>
    </row>
    <row r="365" customFormat="false" ht="13.8" hidden="false" customHeight="false" outlineLevel="0" collapsed="false">
      <c r="A365" s="26" t="n">
        <v>260192</v>
      </c>
      <c r="B365" s="26" t="n">
        <v>1903</v>
      </c>
      <c r="C365" s="26" t="s">
        <v>8826</v>
      </c>
      <c r="D365" s="26" t="n">
        <v>48638.13</v>
      </c>
      <c r="E365" s="26" t="s">
        <v>8827</v>
      </c>
      <c r="F365" s="26" t="s">
        <v>616</v>
      </c>
      <c r="G365" s="26" t="n">
        <v>-3.74922</v>
      </c>
      <c r="H365" s="26" t="n">
        <v>40.46367</v>
      </c>
      <c r="I365" s="26" t="s">
        <v>110</v>
      </c>
      <c r="J365" s="29" t="s">
        <v>8828</v>
      </c>
      <c r="K365" s="26" t="s">
        <v>616</v>
      </c>
      <c r="L365" s="26" t="s">
        <v>7396</v>
      </c>
      <c r="M365" s="26" t="s">
        <v>7488</v>
      </c>
      <c r="N365" s="26" t="s">
        <v>4306</v>
      </c>
      <c r="O365" s="26" t="s">
        <v>8829</v>
      </c>
      <c r="P365" s="26" t="n">
        <v>1</v>
      </c>
    </row>
    <row r="366" customFormat="false" ht="13.8" hidden="false" customHeight="false" outlineLevel="0" collapsed="false">
      <c r="A366" s="26" t="n">
        <v>473215</v>
      </c>
      <c r="B366" s="26" t="n">
        <v>1911</v>
      </c>
      <c r="C366" s="26" t="s">
        <v>6656</v>
      </c>
      <c r="D366" s="26" t="n">
        <v>1088965</v>
      </c>
      <c r="E366" s="26" t="s">
        <v>8830</v>
      </c>
      <c r="F366" s="26" t="s">
        <v>32</v>
      </c>
      <c r="G366" s="26" t="n">
        <v>-0.1277583</v>
      </c>
      <c r="H366" s="26" t="n">
        <v>51.5073509</v>
      </c>
      <c r="I366" s="26" t="s">
        <v>110</v>
      </c>
      <c r="J366" s="29" t="s">
        <v>8831</v>
      </c>
      <c r="K366" s="26" t="s">
        <v>340</v>
      </c>
      <c r="L366" s="26" t="s">
        <v>7396</v>
      </c>
      <c r="M366" s="26" t="s">
        <v>152</v>
      </c>
      <c r="N366" s="25" t="s">
        <v>7445</v>
      </c>
      <c r="O366" s="26" t="s">
        <v>8832</v>
      </c>
      <c r="P366" s="26" t="n">
        <v>1</v>
      </c>
    </row>
    <row r="367" customFormat="false" ht="13.8" hidden="false" customHeight="false" outlineLevel="0" collapsed="false">
      <c r="A367" s="26" t="n">
        <v>502735</v>
      </c>
      <c r="B367" s="26" t="n">
        <v>1911</v>
      </c>
      <c r="C367" s="26" t="s">
        <v>8833</v>
      </c>
      <c r="D367" s="26" t="n">
        <v>12834.22</v>
      </c>
      <c r="E367" s="26" t="s">
        <v>8834</v>
      </c>
      <c r="F367" s="26" t="s">
        <v>475</v>
      </c>
      <c r="G367" s="26" t="n">
        <v>-2.0571868</v>
      </c>
      <c r="H367" s="26" t="n">
        <v>52.8792745</v>
      </c>
      <c r="I367" s="26" t="s">
        <v>110</v>
      </c>
      <c r="J367" s="29" t="s">
        <v>8835</v>
      </c>
      <c r="K367" s="26" t="s">
        <v>340</v>
      </c>
      <c r="L367" s="26" t="s">
        <v>7396</v>
      </c>
      <c r="M367" s="26" t="s">
        <v>1357</v>
      </c>
      <c r="N367" s="26" t="s">
        <v>7450</v>
      </c>
      <c r="O367" s="26" t="s">
        <v>8836</v>
      </c>
      <c r="P367" s="26" t="n">
        <v>1</v>
      </c>
    </row>
    <row r="368" customFormat="false" ht="13.8" hidden="false" customHeight="false" outlineLevel="0" collapsed="false">
      <c r="A368" s="26" t="n">
        <v>1016046</v>
      </c>
      <c r="B368" s="26" t="n">
        <v>1920</v>
      </c>
      <c r="C368" s="26" t="s">
        <v>8837</v>
      </c>
      <c r="D368" s="26" t="n">
        <v>442673.7494</v>
      </c>
      <c r="E368" s="26" t="s">
        <v>8838</v>
      </c>
      <c r="F368" s="26" t="s">
        <v>32</v>
      </c>
      <c r="G368" s="26" t="n">
        <v>-0.1277583</v>
      </c>
      <c r="H368" s="26" t="n">
        <v>51.50735</v>
      </c>
      <c r="I368" s="26" t="s">
        <v>110</v>
      </c>
      <c r="J368" s="26" t="s">
        <v>8839</v>
      </c>
      <c r="K368" s="26" t="s">
        <v>340</v>
      </c>
      <c r="L368" s="26" t="s">
        <v>7396</v>
      </c>
      <c r="M368" s="26" t="s">
        <v>152</v>
      </c>
      <c r="N368" s="26" t="s">
        <v>7445</v>
      </c>
      <c r="O368" s="26" t="s">
        <v>8840</v>
      </c>
      <c r="P368" s="26" t="n">
        <v>1</v>
      </c>
    </row>
    <row r="369" customFormat="false" ht="13.8" hidden="false" customHeight="false" outlineLevel="0" collapsed="false">
      <c r="A369" s="26" t="n">
        <v>1059043</v>
      </c>
      <c r="B369" s="26" t="n">
        <v>1921</v>
      </c>
      <c r="C369" s="26" t="s">
        <v>8841</v>
      </c>
      <c r="D369" s="26" t="n">
        <v>3175520</v>
      </c>
      <c r="E369" s="26" t="s">
        <v>8842</v>
      </c>
      <c r="F369" s="26" t="s">
        <v>559</v>
      </c>
      <c r="G369" s="26" t="n">
        <v>-1.470085</v>
      </c>
      <c r="H369" s="26" t="n">
        <v>53.38113</v>
      </c>
      <c r="I369" s="26" t="s">
        <v>214</v>
      </c>
      <c r="J369" s="26" t="s">
        <v>8843</v>
      </c>
      <c r="K369" s="26" t="s">
        <v>340</v>
      </c>
      <c r="L369" s="26" t="s">
        <v>7396</v>
      </c>
      <c r="M369" s="26" t="s">
        <v>3298</v>
      </c>
      <c r="N369" s="26" t="s">
        <v>4719</v>
      </c>
      <c r="O369" s="26" t="s">
        <v>8844</v>
      </c>
      <c r="P369" s="26" t="n">
        <v>1</v>
      </c>
    </row>
    <row r="370" customFormat="false" ht="13.8" hidden="false" customHeight="false" outlineLevel="0" collapsed="false">
      <c r="A370" s="26" t="n">
        <v>1063853</v>
      </c>
      <c r="B370" s="26" t="n">
        <v>1921</v>
      </c>
      <c r="C370" s="26" t="s">
        <v>8845</v>
      </c>
      <c r="D370" s="26" t="n">
        <v>2309469</v>
      </c>
      <c r="E370" s="26" t="s">
        <v>8846</v>
      </c>
      <c r="F370" s="26" t="s">
        <v>8847</v>
      </c>
      <c r="G370" s="26" t="n">
        <v>-96.85059</v>
      </c>
      <c r="H370" s="26" t="n">
        <v>32.86123</v>
      </c>
      <c r="I370" s="26" t="s">
        <v>110</v>
      </c>
      <c r="J370" s="26" t="s">
        <v>8820</v>
      </c>
      <c r="K370" s="26" t="s">
        <v>7430</v>
      </c>
      <c r="L370" s="26" t="s">
        <v>7396</v>
      </c>
      <c r="M370" s="26" t="s">
        <v>7488</v>
      </c>
      <c r="N370" s="26" t="s">
        <v>4900</v>
      </c>
      <c r="O370" s="26" t="s">
        <v>8821</v>
      </c>
      <c r="P370" s="26" t="n">
        <v>1</v>
      </c>
    </row>
    <row r="371" customFormat="false" ht="13.8" hidden="false" customHeight="false" outlineLevel="0" collapsed="false">
      <c r="A371" s="26" t="n">
        <v>1115391</v>
      </c>
      <c r="B371" s="26" t="n">
        <v>1922</v>
      </c>
      <c r="C371" s="26" t="s">
        <v>8070</v>
      </c>
      <c r="D371" s="26" t="n">
        <v>1550044</v>
      </c>
      <c r="E371" s="26" t="s">
        <v>8848</v>
      </c>
      <c r="F371" s="26" t="s">
        <v>137</v>
      </c>
      <c r="G371" s="26" t="n">
        <v>28.04731</v>
      </c>
      <c r="H371" s="26" t="n">
        <v>-26.2041</v>
      </c>
      <c r="I371" s="26" t="s">
        <v>110</v>
      </c>
      <c r="J371" s="29" t="s">
        <v>8849</v>
      </c>
      <c r="K371" s="26" t="s">
        <v>7480</v>
      </c>
      <c r="L371" s="26" t="s">
        <v>7396</v>
      </c>
      <c r="M371" s="26" t="s">
        <v>3298</v>
      </c>
      <c r="N371" s="25" t="s">
        <v>99</v>
      </c>
      <c r="O371" s="26" t="s">
        <v>8850</v>
      </c>
      <c r="P371" s="26" t="n">
        <v>1</v>
      </c>
    </row>
    <row r="372" customFormat="false" ht="13.8" hidden="false" customHeight="false" outlineLevel="0" collapsed="false">
      <c r="A372" s="26" t="s">
        <v>8851</v>
      </c>
      <c r="B372" s="26" t="n">
        <v>1922</v>
      </c>
      <c r="C372" s="26" t="s">
        <v>8852</v>
      </c>
      <c r="D372" s="26" t="n">
        <v>50000</v>
      </c>
      <c r="E372" s="26" t="s">
        <v>8853</v>
      </c>
      <c r="F372" s="26" t="s">
        <v>8458</v>
      </c>
      <c r="G372" s="26" t="n">
        <v>-110.3625658</v>
      </c>
      <c r="H372" s="26" t="n">
        <v>46.8796822</v>
      </c>
      <c r="I372" s="26" t="s">
        <v>1683</v>
      </c>
      <c r="J372" s="29" t="s">
        <v>8854</v>
      </c>
      <c r="K372" s="26" t="s">
        <v>7430</v>
      </c>
      <c r="L372" s="26" t="s">
        <v>7398</v>
      </c>
      <c r="M372" s="26" t="s">
        <v>7528</v>
      </c>
      <c r="N372" s="26" t="s">
        <v>4306</v>
      </c>
      <c r="O372" s="26" t="s">
        <v>8855</v>
      </c>
      <c r="P372" s="26" t="n">
        <v>1</v>
      </c>
    </row>
    <row r="373" customFormat="false" ht="13.8" hidden="false" customHeight="false" outlineLevel="0" collapsed="false">
      <c r="A373" s="26" t="n">
        <v>1075677</v>
      </c>
      <c r="B373" s="26" t="n">
        <v>1922</v>
      </c>
      <c r="C373" s="26" t="s">
        <v>8856</v>
      </c>
      <c r="D373" s="26" t="n">
        <v>2214349</v>
      </c>
      <c r="E373" s="26" t="s">
        <v>8857</v>
      </c>
      <c r="F373" s="26" t="s">
        <v>549</v>
      </c>
      <c r="G373" s="26" t="n">
        <v>-75.59937</v>
      </c>
      <c r="H373" s="26" t="n">
        <v>38.36067</v>
      </c>
      <c r="I373" s="26" t="s">
        <v>110</v>
      </c>
      <c r="J373" s="26" t="s">
        <v>8858</v>
      </c>
      <c r="K373" s="26" t="s">
        <v>7430</v>
      </c>
      <c r="L373" s="26" t="s">
        <v>7396</v>
      </c>
      <c r="M373" s="26" t="s">
        <v>1357</v>
      </c>
      <c r="N373" s="26" t="s">
        <v>7435</v>
      </c>
      <c r="O373" s="26" t="s">
        <v>8859</v>
      </c>
      <c r="P373" s="26" t="n">
        <v>0</v>
      </c>
    </row>
    <row r="374" customFormat="false" ht="13.8" hidden="false" customHeight="false" outlineLevel="0" collapsed="false">
      <c r="A374" s="26" t="n">
        <v>1078960</v>
      </c>
      <c r="B374" s="26" t="n">
        <v>1922</v>
      </c>
      <c r="C374" s="26" t="s">
        <v>8860</v>
      </c>
      <c r="D374" s="26" t="n">
        <v>1594331</v>
      </c>
      <c r="E374" s="26" t="s">
        <v>8861</v>
      </c>
      <c r="F374" s="26" t="s">
        <v>8862</v>
      </c>
      <c r="G374" s="26" t="n">
        <v>-95.93588</v>
      </c>
      <c r="H374" s="26" t="n">
        <v>36.80031</v>
      </c>
      <c r="I374" s="26" t="s">
        <v>110</v>
      </c>
      <c r="J374" s="26" t="s">
        <v>8863</v>
      </c>
      <c r="K374" s="26" t="s">
        <v>7430</v>
      </c>
      <c r="L374" s="26" t="s">
        <v>7396</v>
      </c>
      <c r="M374" s="26" t="s">
        <v>1357</v>
      </c>
      <c r="N374" s="26" t="s">
        <v>7435</v>
      </c>
      <c r="O374" s="26" t="s">
        <v>8864</v>
      </c>
      <c r="P374" s="26" t="n">
        <v>0</v>
      </c>
    </row>
    <row r="375" customFormat="false" ht="13.8" hidden="false" customHeight="false" outlineLevel="0" collapsed="false">
      <c r="A375" s="26" t="n">
        <v>1083202</v>
      </c>
      <c r="B375" s="26" t="n">
        <v>1922</v>
      </c>
      <c r="C375" s="26" t="s">
        <v>8865</v>
      </c>
      <c r="D375" s="26" t="n">
        <v>4000000</v>
      </c>
      <c r="E375" s="26" t="s">
        <v>8866</v>
      </c>
      <c r="F375" s="26" t="s">
        <v>586</v>
      </c>
      <c r="G375" s="26" t="n">
        <v>-85.32321</v>
      </c>
      <c r="H375" s="26" t="n">
        <v>51.25377</v>
      </c>
      <c r="I375" s="26" t="s">
        <v>110</v>
      </c>
      <c r="J375" s="26" t="s">
        <v>8867</v>
      </c>
      <c r="K375" s="26" t="s">
        <v>361</v>
      </c>
      <c r="L375" s="26" t="s">
        <v>7396</v>
      </c>
      <c r="M375" s="26" t="s">
        <v>1357</v>
      </c>
      <c r="N375" s="26" t="s">
        <v>7435</v>
      </c>
      <c r="O375" s="26" t="s">
        <v>8868</v>
      </c>
      <c r="P375" s="26" t="n">
        <v>0</v>
      </c>
    </row>
    <row r="376" customFormat="false" ht="13.8" hidden="false" customHeight="false" outlineLevel="0" collapsed="false">
      <c r="A376" s="26" t="n">
        <v>1083780</v>
      </c>
      <c r="B376" s="26" t="n">
        <v>1922</v>
      </c>
      <c r="C376" s="26" t="s">
        <v>7723</v>
      </c>
      <c r="D376" s="26" t="n">
        <v>292294.1</v>
      </c>
      <c r="E376" s="26" t="s">
        <v>8869</v>
      </c>
      <c r="F376" s="26" t="s">
        <v>137</v>
      </c>
      <c r="G376" s="26" t="n">
        <v>28.04731</v>
      </c>
      <c r="H376" s="26" t="n">
        <v>-26.2041</v>
      </c>
      <c r="I376" s="26" t="s">
        <v>1357</v>
      </c>
      <c r="J376" s="26" t="s">
        <v>8870</v>
      </c>
      <c r="K376" s="26" t="s">
        <v>7480</v>
      </c>
      <c r="L376" s="26" t="s">
        <v>7396</v>
      </c>
      <c r="M376" s="26" t="s">
        <v>1357</v>
      </c>
      <c r="N376" s="26" t="s">
        <v>7435</v>
      </c>
      <c r="O376" s="26" t="s">
        <v>8871</v>
      </c>
      <c r="P376" s="26" t="n">
        <v>0</v>
      </c>
    </row>
    <row r="377" customFormat="false" ht="13.8" hidden="false" customHeight="false" outlineLevel="0" collapsed="false">
      <c r="A377" s="26" t="n">
        <v>1084724</v>
      </c>
      <c r="B377" s="26" t="n">
        <v>1922</v>
      </c>
      <c r="C377" s="26" t="s">
        <v>8312</v>
      </c>
      <c r="D377" s="26" t="n">
        <v>664304.7</v>
      </c>
      <c r="E377" s="26" t="s">
        <v>8872</v>
      </c>
      <c r="F377" s="26" t="s">
        <v>582</v>
      </c>
      <c r="G377" s="26" t="n">
        <v>-3.17909</v>
      </c>
      <c r="H377" s="26" t="n">
        <v>51.48158</v>
      </c>
      <c r="I377" s="26" t="s">
        <v>110</v>
      </c>
      <c r="J377" s="26" t="s">
        <v>8873</v>
      </c>
      <c r="K377" s="26" t="s">
        <v>340</v>
      </c>
      <c r="L377" s="26" t="s">
        <v>7396</v>
      </c>
      <c r="M377" s="26" t="s">
        <v>1357</v>
      </c>
      <c r="N377" s="26" t="s">
        <v>7435</v>
      </c>
      <c r="O377" s="26" t="s">
        <v>8315</v>
      </c>
      <c r="P377" s="26" t="n">
        <v>0</v>
      </c>
    </row>
    <row r="378" customFormat="false" ht="13.8" hidden="false" customHeight="false" outlineLevel="0" collapsed="false">
      <c r="A378" s="26" t="n">
        <v>1092327</v>
      </c>
      <c r="B378" s="26" t="n">
        <v>1922</v>
      </c>
      <c r="C378" s="26" t="s">
        <v>7001</v>
      </c>
      <c r="D378" s="26" t="n">
        <v>19929141</v>
      </c>
      <c r="E378" s="26" t="s">
        <v>8874</v>
      </c>
      <c r="F378" s="26" t="s">
        <v>137</v>
      </c>
      <c r="G378" s="26" t="n">
        <v>28.04731</v>
      </c>
      <c r="H378" s="26" t="n">
        <v>-26.2041</v>
      </c>
      <c r="I378" s="26" t="s">
        <v>882</v>
      </c>
      <c r="J378" s="26" t="s">
        <v>8192</v>
      </c>
      <c r="K378" s="26" t="s">
        <v>7480</v>
      </c>
      <c r="L378" s="26" t="s">
        <v>7396</v>
      </c>
      <c r="M378" s="26" t="s">
        <v>1357</v>
      </c>
      <c r="N378" s="26" t="s">
        <v>7435</v>
      </c>
      <c r="O378" s="26" t="s">
        <v>8193</v>
      </c>
      <c r="P378" s="26" t="n">
        <v>0</v>
      </c>
    </row>
    <row r="379" customFormat="false" ht="13.8" hidden="false" customHeight="false" outlineLevel="0" collapsed="false">
      <c r="A379" s="26" t="n">
        <v>1092702</v>
      </c>
      <c r="B379" s="26" t="n">
        <v>1922</v>
      </c>
      <c r="C379" s="26" t="s">
        <v>8875</v>
      </c>
      <c r="D379" s="26" t="n">
        <v>1660762</v>
      </c>
      <c r="E379" s="26" t="s">
        <v>8876</v>
      </c>
      <c r="F379" s="26" t="s">
        <v>686</v>
      </c>
      <c r="G379" s="26" t="n">
        <v>-95.78139</v>
      </c>
      <c r="H379" s="26" t="n">
        <v>36.0629</v>
      </c>
      <c r="I379" s="26" t="s">
        <v>1357</v>
      </c>
      <c r="J379" s="26" t="s">
        <v>8877</v>
      </c>
      <c r="K379" s="26" t="s">
        <v>7430</v>
      </c>
      <c r="L379" s="26" t="s">
        <v>7396</v>
      </c>
      <c r="M379" s="26" t="s">
        <v>1357</v>
      </c>
      <c r="N379" s="26" t="s">
        <v>7435</v>
      </c>
      <c r="O379" s="26" t="s">
        <v>8878</v>
      </c>
      <c r="P379" s="26" t="n">
        <v>0</v>
      </c>
    </row>
    <row r="380" customFormat="false" ht="13.8" hidden="false" customHeight="false" outlineLevel="0" collapsed="false">
      <c r="A380" s="26" t="n">
        <v>1098388</v>
      </c>
      <c r="B380" s="26" t="n">
        <v>1922</v>
      </c>
      <c r="C380" s="26" t="s">
        <v>7832</v>
      </c>
      <c r="D380" s="26" t="n">
        <v>1107174</v>
      </c>
      <c r="E380" s="26" t="s">
        <v>8879</v>
      </c>
      <c r="F380" s="26" t="s">
        <v>1129</v>
      </c>
      <c r="G380" s="26" t="n">
        <v>-122.4194</v>
      </c>
      <c r="H380" s="26" t="n">
        <v>37.77493</v>
      </c>
      <c r="I380" s="26" t="s">
        <v>882</v>
      </c>
      <c r="J380" s="26" t="s">
        <v>8880</v>
      </c>
      <c r="K380" s="26" t="s">
        <v>7430</v>
      </c>
      <c r="L380" s="26" t="s">
        <v>7396</v>
      </c>
      <c r="M380" s="26" t="s">
        <v>1357</v>
      </c>
      <c r="N380" s="26" t="s">
        <v>7435</v>
      </c>
      <c r="O380" s="26" t="s">
        <v>8881</v>
      </c>
      <c r="P380" s="26" t="n">
        <v>0</v>
      </c>
    </row>
    <row r="381" customFormat="false" ht="13.8" hidden="false" customHeight="false" outlineLevel="0" collapsed="false">
      <c r="A381" s="26" t="n">
        <v>1099467</v>
      </c>
      <c r="B381" s="26" t="n">
        <v>1922</v>
      </c>
      <c r="C381" s="26" t="s">
        <v>8882</v>
      </c>
      <c r="D381" s="26" t="n">
        <v>132860.9</v>
      </c>
      <c r="E381" s="26" t="s">
        <v>8883</v>
      </c>
      <c r="F381" s="26" t="s">
        <v>8884</v>
      </c>
      <c r="G381" s="26" t="n">
        <v>-97.14168</v>
      </c>
      <c r="H381" s="26" t="n">
        <v>32.56319</v>
      </c>
      <c r="I381" s="26" t="s">
        <v>110</v>
      </c>
      <c r="J381" s="26" t="s">
        <v>8302</v>
      </c>
      <c r="K381" s="26" t="s">
        <v>7430</v>
      </c>
      <c r="L381" s="26" t="s">
        <v>7396</v>
      </c>
      <c r="M381" s="26" t="s">
        <v>1357</v>
      </c>
      <c r="N381" s="26" t="s">
        <v>7435</v>
      </c>
      <c r="O381" s="26" t="s">
        <v>8303</v>
      </c>
      <c r="P381" s="26" t="n">
        <v>0</v>
      </c>
    </row>
    <row r="382" customFormat="false" ht="13.8" hidden="false" customHeight="false" outlineLevel="0" collapsed="false">
      <c r="A382" s="26" t="n">
        <v>1109670</v>
      </c>
      <c r="B382" s="26" t="n">
        <v>1922</v>
      </c>
      <c r="C382" s="26" t="s">
        <v>8885</v>
      </c>
      <c r="D382" s="26" t="n">
        <v>44286.98</v>
      </c>
      <c r="E382" s="26" t="s">
        <v>8886</v>
      </c>
      <c r="F382" s="26" t="s">
        <v>32</v>
      </c>
      <c r="G382" s="26" t="n">
        <v>-0.1277583</v>
      </c>
      <c r="H382" s="26" t="n">
        <v>51.50735</v>
      </c>
      <c r="I382" s="26" t="s">
        <v>110</v>
      </c>
      <c r="J382" s="26" t="s">
        <v>8887</v>
      </c>
      <c r="K382" s="26" t="s">
        <v>340</v>
      </c>
      <c r="L382" s="26" t="s">
        <v>7396</v>
      </c>
      <c r="M382" s="26" t="s">
        <v>1357</v>
      </c>
      <c r="N382" s="26" t="s">
        <v>7435</v>
      </c>
      <c r="O382" s="26" t="s">
        <v>8888</v>
      </c>
      <c r="P382" s="26" t="n">
        <v>0</v>
      </c>
    </row>
    <row r="383" customFormat="false" ht="13.8" hidden="false" customHeight="false" outlineLevel="0" collapsed="false">
      <c r="A383" s="26" t="n">
        <v>1111773</v>
      </c>
      <c r="B383" s="26" t="n">
        <v>1922</v>
      </c>
      <c r="C383" s="26" t="s">
        <v>8889</v>
      </c>
      <c r="D383" s="26" t="n">
        <v>1107174</v>
      </c>
      <c r="E383" s="26" t="s">
        <v>8890</v>
      </c>
      <c r="F383" s="26" t="s">
        <v>177</v>
      </c>
      <c r="G383" s="26" t="n">
        <v>-81.1831</v>
      </c>
      <c r="H383" s="26" t="n">
        <v>43.23256</v>
      </c>
      <c r="I383" s="26" t="s">
        <v>1357</v>
      </c>
      <c r="J383" s="26" t="s">
        <v>8870</v>
      </c>
      <c r="K383" s="26" t="s">
        <v>361</v>
      </c>
      <c r="L383" s="26" t="s">
        <v>7396</v>
      </c>
      <c r="M383" s="26" t="s">
        <v>1357</v>
      </c>
      <c r="N383" s="26" t="s">
        <v>7435</v>
      </c>
      <c r="O383" s="26" t="s">
        <v>8871</v>
      </c>
      <c r="P383" s="26" t="n">
        <v>0</v>
      </c>
    </row>
    <row r="384" customFormat="false" ht="13.8" hidden="false" customHeight="false" outlineLevel="0" collapsed="false">
      <c r="A384" s="26" t="s">
        <v>8891</v>
      </c>
      <c r="B384" s="26"/>
      <c r="C384" s="26"/>
      <c r="D384" s="26"/>
      <c r="E384" s="26"/>
      <c r="J384" s="26"/>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2020-10-12T23:54:42Z</dcterms:created>
  <dc:creator>Israel Garcìa Solares</dc:creator>
  <dc:description/>
  <dc:language>en-US</dc:language>
  <cp:lastModifiedBy/>
  <dcterms:modified xsi:type="dcterms:W3CDTF">2026-06-20T18:11:06Z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